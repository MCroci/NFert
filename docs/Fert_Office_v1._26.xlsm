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5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egioneemiliaromagna-my.sharepoint.com/personal/guido_novembre_regione_emilia-romagna_it/Documents/SW/DPI/FertDPI2022/"/>
    </mc:Choice>
  </mc:AlternateContent>
  <xr:revisionPtr revIDLastSave="26" documentId="8_{17BB25DB-27A8-49FF-B6A6-8A84061890E9}" xr6:coauthVersionLast="47" xr6:coauthVersionMax="47" xr10:uidLastSave="{0F7908BE-D950-42BF-82CD-C0949F08BA51}"/>
  <bookViews>
    <workbookView xWindow="-108" yWindow="-108" windowWidth="23256" windowHeight="12456" tabRatio="913" activeTab="12" xr2:uid="{00000000-000D-0000-FFFF-FFFF00000000}"/>
  </bookViews>
  <sheets>
    <sheet name="Istruzioni" sheetId="29" r:id="rId1"/>
    <sheet name="Inserimento" sheetId="2" r:id="rId2"/>
    <sheet name="Coltura" sheetId="4" state="hidden" r:id="rId3"/>
    <sheet name="Gruppo" sheetId="1" state="hidden" r:id="rId4"/>
    <sheet name="A" sheetId="6" state="hidden" r:id="rId5"/>
    <sheet name="MAS" sheetId="42" state="hidden" r:id="rId6"/>
    <sheet name="Valori da riportare" sheetId="47" state="hidden" r:id="rId7"/>
    <sheet name="Bilancio" sheetId="23" r:id="rId8"/>
    <sheet name="Scheda_N" sheetId="26" r:id="rId9"/>
    <sheet name="Scheda_PK" sheetId="27" r:id="rId10"/>
    <sheet name="Standard" sheetId="25" state="hidden" r:id="rId11"/>
    <sheet name="C_tempo" sheetId="43" state="hidden" r:id="rId12"/>
    <sheet name="Distribuz" sheetId="37" r:id="rId13"/>
    <sheet name="Registra_Piano" sheetId="40" r:id="rId14"/>
    <sheet name="Apporti al terreno" sheetId="39" r:id="rId15"/>
    <sheet name="Cicli_Fase" sheetId="44" state="hidden" r:id="rId16"/>
    <sheet name="Metodo" sheetId="38" state="hidden" r:id="rId17"/>
    <sheet name="Ciclo_Modalità" sheetId="35" state="hidden" r:id="rId18"/>
    <sheet name="Concimi" sheetId="32" state="hidden" r:id="rId19"/>
    <sheet name="Mod_distribuz" sheetId="34" state="hidden" r:id="rId20"/>
    <sheet name="Cicli" sheetId="36" state="hidden" r:id="rId21"/>
    <sheet name="Suolo" sheetId="7" state="hidden" r:id="rId22"/>
    <sheet name="Ragg_Tes" sheetId="14" state="hidden" r:id="rId23"/>
    <sheet name="CN" sheetId="13" state="hidden" r:id="rId24"/>
    <sheet name="B" sheetId="12" state="hidden" r:id="rId25"/>
    <sheet name="C&amp;D" sheetId="18" state="hidden" r:id="rId26"/>
    <sheet name="E" sheetId="19" state="hidden" r:id="rId27"/>
    <sheet name="F" sheetId="21" state="hidden" r:id="rId28"/>
    <sheet name="Fert_org" sheetId="30" state="hidden" r:id="rId29"/>
    <sheet name="G" sheetId="24" state="hidden" r:id="rId30"/>
    <sheet name="Efficienza" sheetId="33" state="hidden" r:id="rId31"/>
    <sheet name="Tipo_Fert" sheetId="31" state="hidden" r:id="rId32"/>
    <sheet name="Gri_P" sheetId="15" state="hidden" r:id="rId33"/>
    <sheet name="Gri_K" sheetId="16" state="hidden" r:id="rId34"/>
    <sheet name="Calcare" sheetId="17" state="hidden" r:id="rId35"/>
    <sheet name="pH" sheetId="46" state="hidden" r:id="rId36"/>
    <sheet name="Codici" sheetId="3" r:id="rId37"/>
    <sheet name="Work" sheetId="41" state="hidden" r:id="rId38"/>
    <sheet name="TRI1" sheetId="10" state="hidden" r:id="rId39"/>
    <sheet name="TRI2" sheetId="11" state="hidden" r:id="rId40"/>
    <sheet name="TRI3" sheetId="22" state="hidden" r:id="rId41"/>
    <sheet name="SO" sheetId="45" state="hidden" r:id="rId42"/>
  </sheets>
  <definedNames>
    <definedName name="_xlnm.Print_Area" localSheetId="4">A!$B$3:$F$237</definedName>
    <definedName name="_xlnm.Print_Area" localSheetId="14">'Apporti al terreno'!$A$1:$T$41</definedName>
    <definedName name="_xlnm.Print_Area" localSheetId="7">Bilancio!$B$1:$K$37</definedName>
    <definedName name="_xlnm.Print_Area" localSheetId="20">Cicli!$A$1:$D$7</definedName>
    <definedName name="_xlnm.Print_Area" localSheetId="12">Distribuz!$A$1:$AB$39</definedName>
    <definedName name="_xlnm.Print_Area" localSheetId="28">Fert_org!$A$1:$U$32</definedName>
    <definedName name="_xlnm.Print_Area" localSheetId="33">Gri_K!$A$1:$Y$39</definedName>
    <definedName name="_xlnm.Print_Area" localSheetId="1">Inserimento!$B$1:$X$37</definedName>
    <definedName name="_xlnm.Print_Area" localSheetId="13">Registra_Piano!$A$1:$S$39</definedName>
    <definedName name="_xlnm.Print_Area" localSheetId="8">Scheda_N!$A$2:$M$40</definedName>
    <definedName name="_xlnm.Print_Area" localSheetId="9">Scheda_PK!$B$1:$M$38</definedName>
    <definedName name="_xlnm.Print_Area" localSheetId="31">Tipo_Fert!$A$1:$H$14</definedName>
    <definedName name="Coltura">INDIRECT(Gruppo!$D$12)</definedName>
    <definedName name="Tempo">INDIRECT(Gruppo!$N$18)</definedName>
    <definedName name="zona_ciclo">INDIRECT(Ciclo_Modalità!$N$13)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5" l="1"/>
  <c r="C17" i="25"/>
  <c r="B18" i="25"/>
  <c r="C18" i="25"/>
  <c r="B19" i="25"/>
  <c r="C19" i="25"/>
  <c r="B20" i="25"/>
  <c r="C20" i="25"/>
  <c r="B21" i="25"/>
  <c r="C21" i="25"/>
  <c r="B22" i="25"/>
  <c r="C22" i="25"/>
  <c r="N21" i="42"/>
  <c r="O21" i="42"/>
  <c r="P21" i="42"/>
  <c r="N17" i="42"/>
  <c r="O17" i="42"/>
  <c r="P17" i="42"/>
  <c r="L21" i="42"/>
  <c r="L17" i="42"/>
  <c r="C17" i="42"/>
  <c r="E17" i="42"/>
  <c r="C18" i="42"/>
  <c r="E18" i="42"/>
  <c r="C19" i="42"/>
  <c r="E19" i="42"/>
  <c r="C20" i="42"/>
  <c r="E20" i="42"/>
  <c r="C21" i="42"/>
  <c r="E21" i="42"/>
  <c r="H17" i="6"/>
  <c r="I17" i="6" s="1"/>
  <c r="H21" i="6"/>
  <c r="I21" i="6" s="1"/>
  <c r="G21" i="6"/>
  <c r="G17" i="6"/>
  <c r="C17" i="6"/>
  <c r="C18" i="6"/>
  <c r="C19" i="6"/>
  <c r="C20" i="6"/>
  <c r="C21" i="6"/>
  <c r="B17" i="6"/>
  <c r="B18" i="6"/>
  <c r="B19" i="6"/>
  <c r="B20" i="6"/>
  <c r="B21" i="6"/>
  <c r="B22" i="6"/>
  <c r="A17" i="42"/>
  <c r="B17" i="42"/>
  <c r="A18" i="42"/>
  <c r="B18" i="42"/>
  <c r="A19" i="42"/>
  <c r="B19" i="42"/>
  <c r="A20" i="42"/>
  <c r="B20" i="42"/>
  <c r="A21" i="42"/>
  <c r="B21" i="42"/>
  <c r="A22" i="42"/>
  <c r="B22" i="42"/>
  <c r="A23" i="42"/>
  <c r="B23" i="42"/>
  <c r="A24" i="42"/>
  <c r="B24" i="42"/>
  <c r="A25" i="42"/>
  <c r="B25" i="42"/>
  <c r="A26" i="42"/>
  <c r="B26" i="42"/>
  <c r="A27" i="42"/>
  <c r="B27" i="42"/>
  <c r="A28" i="42"/>
  <c r="B28" i="42"/>
  <c r="A29" i="42"/>
  <c r="B29" i="42"/>
  <c r="A30" i="42"/>
  <c r="B30" i="42"/>
  <c r="A31" i="42"/>
  <c r="B31" i="42"/>
  <c r="A32" i="42"/>
  <c r="B32" i="42"/>
  <c r="A33" i="42"/>
  <c r="B33" i="42"/>
  <c r="A34" i="42"/>
  <c r="B34" i="42"/>
  <c r="A35" i="42"/>
  <c r="B35" i="42"/>
  <c r="A36" i="42"/>
  <c r="B36" i="42"/>
  <c r="L36" i="42"/>
  <c r="L134" i="42"/>
  <c r="B13" i="25"/>
  <c r="C13" i="25"/>
  <c r="C13" i="42"/>
  <c r="E13" i="42"/>
  <c r="C14" i="42"/>
  <c r="E14" i="42"/>
  <c r="P13" i="42"/>
  <c r="O13" i="42"/>
  <c r="N13" i="42"/>
  <c r="L13" i="42"/>
  <c r="K13" i="6"/>
  <c r="J13" i="6"/>
  <c r="I13" i="6"/>
  <c r="G13" i="6"/>
  <c r="B13" i="6"/>
  <c r="C13" i="6"/>
  <c r="B37" i="6"/>
  <c r="C37" i="6"/>
  <c r="L222" i="42"/>
  <c r="L223" i="42"/>
  <c r="N222" i="42"/>
  <c r="L224" i="42"/>
  <c r="L219" i="42"/>
  <c r="P222" i="42"/>
  <c r="O222" i="42"/>
  <c r="E222" i="42"/>
  <c r="H228" i="6"/>
  <c r="I228" i="6" s="1"/>
  <c r="G228" i="6"/>
  <c r="H226" i="6"/>
  <c r="I226" i="6" s="1"/>
  <c r="G226" i="6"/>
  <c r="H224" i="6"/>
  <c r="K224" i="6" s="1"/>
  <c r="G224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B235" i="6"/>
  <c r="C235" i="6"/>
  <c r="B236" i="6"/>
  <c r="C236" i="6"/>
  <c r="B237" i="6"/>
  <c r="C237" i="6"/>
  <c r="C225" i="25"/>
  <c r="C223" i="25"/>
  <c r="B222" i="42"/>
  <c r="C222" i="42"/>
  <c r="B223" i="25"/>
  <c r="B224" i="25"/>
  <c r="B225" i="25"/>
  <c r="B226" i="25"/>
  <c r="B222" i="25"/>
  <c r="C222" i="25"/>
  <c r="G222" i="6"/>
  <c r="C222" i="6"/>
  <c r="B222" i="6"/>
  <c r="L126" i="42"/>
  <c r="N126" i="42"/>
  <c r="O126" i="42"/>
  <c r="P126" i="42"/>
  <c r="E126" i="42"/>
  <c r="B126" i="42"/>
  <c r="B127" i="42"/>
  <c r="C126" i="25"/>
  <c r="H126" i="6"/>
  <c r="K126" i="6" s="1"/>
  <c r="G126" i="6"/>
  <c r="C126" i="6"/>
  <c r="C125" i="4"/>
  <c r="B127" i="25" s="1"/>
  <c r="C124" i="4"/>
  <c r="B126" i="6" s="1"/>
  <c r="Q21" i="42" l="1"/>
  <c r="J21" i="6"/>
  <c r="K21" i="6"/>
  <c r="Q17" i="42"/>
  <c r="K17" i="6"/>
  <c r="J17" i="6"/>
  <c r="Q13" i="42"/>
  <c r="Q126" i="42"/>
  <c r="Q222" i="42"/>
  <c r="J224" i="6"/>
  <c r="K228" i="6"/>
  <c r="J228" i="6"/>
  <c r="J226" i="6"/>
  <c r="K226" i="6"/>
  <c r="I224" i="6"/>
  <c r="C224" i="25"/>
  <c r="C226" i="25"/>
  <c r="C126" i="42"/>
  <c r="B126" i="25"/>
  <c r="C127" i="42"/>
  <c r="I126" i="6"/>
  <c r="J126" i="6"/>
  <c r="A2" i="3"/>
  <c r="C2" i="3" l="1"/>
  <c r="H117" i="6"/>
  <c r="H118" i="6"/>
  <c r="H121" i="6"/>
  <c r="I112" i="6"/>
  <c r="E116" i="25"/>
  <c r="N116" i="42" s="1"/>
  <c r="L116" i="42"/>
  <c r="E115" i="25"/>
  <c r="N115" i="42" s="1"/>
  <c r="E114" i="25"/>
  <c r="N114" i="42" s="1"/>
  <c r="P113" i="42"/>
  <c r="P114" i="42"/>
  <c r="E113" i="25"/>
  <c r="N113" i="42" s="1"/>
  <c r="B113" i="42"/>
  <c r="C113" i="42"/>
  <c r="B114" i="42"/>
  <c r="C114" i="42"/>
  <c r="B115" i="42"/>
  <c r="C115" i="42"/>
  <c r="B116" i="42"/>
  <c r="C116" i="42"/>
  <c r="O113" i="42"/>
  <c r="O114" i="42"/>
  <c r="O115" i="42"/>
  <c r="P115" i="42"/>
  <c r="O116" i="42"/>
  <c r="P116" i="42"/>
  <c r="H116" i="42"/>
  <c r="L115" i="42" s="1"/>
  <c r="H115" i="42"/>
  <c r="L114" i="42" s="1"/>
  <c r="H114" i="42"/>
  <c r="L113" i="42" s="1"/>
  <c r="H113" i="42"/>
  <c r="E113" i="42"/>
  <c r="E114" i="42"/>
  <c r="E115" i="42"/>
  <c r="E116" i="42"/>
  <c r="B113" i="25"/>
  <c r="C113" i="25"/>
  <c r="B114" i="25"/>
  <c r="C114" i="25"/>
  <c r="B115" i="25"/>
  <c r="C115" i="25"/>
  <c r="B116" i="25"/>
  <c r="C116" i="25"/>
  <c r="H95" i="6"/>
  <c r="H94" i="6"/>
  <c r="H103" i="6"/>
  <c r="B113" i="6"/>
  <c r="C113" i="6"/>
  <c r="G113" i="6"/>
  <c r="B114" i="6"/>
  <c r="C114" i="6"/>
  <c r="G114" i="6"/>
  <c r="B115" i="6"/>
  <c r="C115" i="6"/>
  <c r="G115" i="6"/>
  <c r="B116" i="6"/>
  <c r="C116" i="6"/>
  <c r="G116" i="6"/>
  <c r="P153" i="42"/>
  <c r="O153" i="42"/>
  <c r="N153" i="42"/>
  <c r="L153" i="42"/>
  <c r="E153" i="42"/>
  <c r="B153" i="42"/>
  <c r="C153" i="25"/>
  <c r="H153" i="6"/>
  <c r="J153" i="6" s="1"/>
  <c r="G153" i="6"/>
  <c r="C153" i="6"/>
  <c r="C151" i="4"/>
  <c r="B153" i="25" s="1"/>
  <c r="C152" i="4"/>
  <c r="C153" i="4"/>
  <c r="B117" i="42"/>
  <c r="C117" i="42"/>
  <c r="B118" i="42"/>
  <c r="C118" i="42"/>
  <c r="B117" i="25"/>
  <c r="C117" i="25"/>
  <c r="B118" i="25"/>
  <c r="C118" i="25"/>
  <c r="Q114" i="42" l="1"/>
  <c r="H114" i="6"/>
  <c r="I114" i="6" s="1"/>
  <c r="H116" i="6"/>
  <c r="I116" i="6" s="1"/>
  <c r="Q153" i="42"/>
  <c r="Q116" i="42"/>
  <c r="H113" i="6"/>
  <c r="K113" i="6" s="1"/>
  <c r="Q115" i="42"/>
  <c r="Q113" i="42"/>
  <c r="H115" i="6"/>
  <c r="J115" i="6" s="1"/>
  <c r="J114" i="6"/>
  <c r="C153" i="42"/>
  <c r="B153" i="6"/>
  <c r="K153" i="6"/>
  <c r="I153" i="6"/>
  <c r="K114" i="6" l="1"/>
  <c r="I113" i="6"/>
  <c r="K116" i="6"/>
  <c r="J116" i="6"/>
  <c r="I115" i="6"/>
  <c r="K115" i="6"/>
  <c r="J113" i="6"/>
  <c r="G10" i="39"/>
  <c r="G7" i="39"/>
  <c r="G4" i="39"/>
  <c r="H11" i="30"/>
  <c r="Q11" i="30"/>
  <c r="N11" i="30"/>
  <c r="K11" i="30"/>
  <c r="H175" i="6"/>
  <c r="H7" i="6" l="1"/>
  <c r="H5" i="6"/>
  <c r="I5" i="6" s="1"/>
  <c r="A5" i="42"/>
  <c r="B5" i="42"/>
  <c r="C5" i="42"/>
  <c r="E5" i="42"/>
  <c r="L5" i="42"/>
  <c r="N5" i="42"/>
  <c r="O5" i="42"/>
  <c r="P5" i="42"/>
  <c r="B5" i="25"/>
  <c r="C5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G5" i="6"/>
  <c r="B5" i="6"/>
  <c r="C5" i="6"/>
  <c r="A6" i="6"/>
  <c r="A7" i="6" s="1"/>
  <c r="A8" i="6" s="1"/>
  <c r="A9" i="6" s="1"/>
  <c r="A10" i="6" s="1"/>
  <c r="A11" i="6" s="1"/>
  <c r="A12" i="6" s="1"/>
  <c r="B4" i="4"/>
  <c r="B5" i="4" s="1"/>
  <c r="B6" i="4" s="1"/>
  <c r="B7" i="4" s="1"/>
  <c r="B8" i="4" s="1"/>
  <c r="B9" i="4" s="1"/>
  <c r="B10" i="4" s="1"/>
  <c r="A4" i="4"/>
  <c r="A5" i="4" s="1"/>
  <c r="A6" i="4" s="1"/>
  <c r="A7" i="4" s="1"/>
  <c r="A8" i="4" s="1"/>
  <c r="A9" i="4" s="1"/>
  <c r="A10" i="4" s="1"/>
  <c r="A11" i="4" s="1"/>
  <c r="A17" i="25" l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s="1"/>
  <c r="A229" i="25" s="1"/>
  <c r="A230" i="25" s="1"/>
  <c r="A231" i="25" s="1"/>
  <c r="A232" i="25" s="1"/>
  <c r="A233" i="25" s="1"/>
  <c r="A234" i="25" s="1"/>
  <c r="A235" i="25" s="1"/>
  <c r="A236" i="25" s="1"/>
  <c r="A237" i="25" s="1"/>
  <c r="A238" i="25" s="1"/>
  <c r="A12" i="4"/>
  <c r="A13" i="42"/>
  <c r="A13" i="6"/>
  <c r="A14" i="6" s="1"/>
  <c r="A15" i="6" s="1"/>
  <c r="A16" i="6" s="1"/>
  <c r="B11" i="4"/>
  <c r="Q5" i="42"/>
  <c r="J5" i="6"/>
  <c r="K5" i="6"/>
  <c r="P221" i="42"/>
  <c r="O221" i="42"/>
  <c r="N221" i="42"/>
  <c r="L221" i="42"/>
  <c r="B221" i="42"/>
  <c r="C221" i="42"/>
  <c r="E221" i="42"/>
  <c r="B221" i="25"/>
  <c r="C221" i="25"/>
  <c r="H221" i="6"/>
  <c r="G221" i="6"/>
  <c r="B221" i="6"/>
  <c r="C221" i="6"/>
  <c r="A17" i="6" l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B13" i="42"/>
  <c r="B12" i="4"/>
  <c r="A13" i="4"/>
  <c r="A14" i="4" s="1"/>
  <c r="A14" i="42"/>
  <c r="J221" i="6"/>
  <c r="I221" i="6"/>
  <c r="K221" i="6"/>
  <c r="Q221" i="42"/>
  <c r="H219" i="6"/>
  <c r="K219" i="6" s="1"/>
  <c r="G219" i="6"/>
  <c r="B219" i="6"/>
  <c r="C219" i="6"/>
  <c r="P219" i="42"/>
  <c r="O219" i="42"/>
  <c r="N219" i="42"/>
  <c r="B219" i="42"/>
  <c r="C219" i="42"/>
  <c r="E219" i="42"/>
  <c r="C219" i="25"/>
  <c r="B219" i="25"/>
  <c r="A15" i="4" l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B13" i="4"/>
  <c r="B14" i="4" s="1"/>
  <c r="B14" i="42"/>
  <c r="Q219" i="42"/>
  <c r="J219" i="6"/>
  <c r="I219" i="6"/>
  <c r="B231" i="42"/>
  <c r="B226" i="42"/>
  <c r="C226" i="42"/>
  <c r="C235" i="42"/>
  <c r="B235" i="42"/>
  <c r="B233" i="42"/>
  <c r="C233" i="42"/>
  <c r="C231" i="42"/>
  <c r="C231" i="25"/>
  <c r="B231" i="25"/>
  <c r="G231" i="6"/>
  <c r="H231" i="6"/>
  <c r="I231" i="6" s="1"/>
  <c r="C235" i="25"/>
  <c r="C236" i="25"/>
  <c r="C237" i="25"/>
  <c r="B235" i="25"/>
  <c r="B236" i="25"/>
  <c r="B237" i="25"/>
  <c r="B238" i="25"/>
  <c r="G235" i="6"/>
  <c r="H235" i="6"/>
  <c r="I235" i="6" s="1"/>
  <c r="C233" i="25"/>
  <c r="B234" i="25"/>
  <c r="B233" i="25"/>
  <c r="G233" i="6"/>
  <c r="H233" i="6"/>
  <c r="I233" i="6" s="1"/>
  <c r="B15" i="4" l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A114" i="42"/>
  <c r="A115" i="42"/>
  <c r="A113" i="42"/>
  <c r="A116" i="42"/>
  <c r="J233" i="6"/>
  <c r="J231" i="6"/>
  <c r="J235" i="6"/>
  <c r="K231" i="6"/>
  <c r="K233" i="6"/>
  <c r="K235" i="6"/>
  <c r="N175" i="42"/>
  <c r="O175" i="42"/>
  <c r="P175" i="42"/>
  <c r="L175" i="42"/>
  <c r="B175" i="42"/>
  <c r="E175" i="42"/>
  <c r="C175" i="25"/>
  <c r="I175" i="6"/>
  <c r="G175" i="6"/>
  <c r="C175" i="6"/>
  <c r="C123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B175" i="6" s="1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22" i="4"/>
  <c r="N7" i="42"/>
  <c r="O7" i="42"/>
  <c r="P7" i="42"/>
  <c r="L7" i="42"/>
  <c r="C7" i="42"/>
  <c r="E7" i="42"/>
  <c r="B7" i="25"/>
  <c r="C7" i="25"/>
  <c r="I7" i="6"/>
  <c r="J7" i="6"/>
  <c r="K7" i="6"/>
  <c r="B7" i="6"/>
  <c r="C7" i="6"/>
  <c r="A117" i="42" l="1"/>
  <c r="Q175" i="42"/>
  <c r="Q7" i="42"/>
  <c r="A7" i="42"/>
  <c r="B175" i="25"/>
  <c r="C175" i="42"/>
  <c r="B7" i="42"/>
  <c r="J175" i="6"/>
  <c r="K175" i="6"/>
  <c r="I164" i="6"/>
  <c r="J164" i="6"/>
  <c r="K164" i="6"/>
  <c r="I160" i="6"/>
  <c r="J160" i="6"/>
  <c r="K160" i="6"/>
  <c r="I159" i="6"/>
  <c r="J159" i="6"/>
  <c r="K159" i="6"/>
  <c r="A118" i="42" l="1"/>
  <c r="H31" i="6"/>
  <c r="J172" i="6"/>
  <c r="H158" i="6"/>
  <c r="H161" i="6"/>
  <c r="H162" i="6"/>
  <c r="J162" i="6" s="1"/>
  <c r="H163" i="6"/>
  <c r="H165" i="6"/>
  <c r="I165" i="6" s="1"/>
  <c r="H166" i="6"/>
  <c r="H167" i="6"/>
  <c r="I167" i="6" s="1"/>
  <c r="H168" i="6"/>
  <c r="H169" i="6"/>
  <c r="I169" i="6" s="1"/>
  <c r="H170" i="6"/>
  <c r="H171" i="6"/>
  <c r="H173" i="6"/>
  <c r="H174" i="6"/>
  <c r="H176" i="6"/>
  <c r="H177" i="6"/>
  <c r="J177" i="6" s="1"/>
  <c r="H178" i="6"/>
  <c r="H179" i="6"/>
  <c r="J179" i="6" s="1"/>
  <c r="H180" i="6"/>
  <c r="H181" i="6"/>
  <c r="J181" i="6" s="1"/>
  <c r="H182" i="6"/>
  <c r="H183" i="6"/>
  <c r="H184" i="6"/>
  <c r="H185" i="6"/>
  <c r="H186" i="6"/>
  <c r="H187" i="6"/>
  <c r="J187" i="6" s="1"/>
  <c r="H188" i="6"/>
  <c r="H189" i="6"/>
  <c r="H190" i="6"/>
  <c r="H191" i="6"/>
  <c r="J191" i="6" s="1"/>
  <c r="H192" i="6"/>
  <c r="H193" i="6"/>
  <c r="H194" i="6"/>
  <c r="H195" i="6"/>
  <c r="J195" i="6" s="1"/>
  <c r="H196" i="6"/>
  <c r="K196" i="6" s="1"/>
  <c r="H197" i="6"/>
  <c r="H198" i="6"/>
  <c r="H199" i="6"/>
  <c r="J199" i="6" s="1"/>
  <c r="H200" i="6"/>
  <c r="H201" i="6"/>
  <c r="H202" i="6"/>
  <c r="I202" i="6" s="1"/>
  <c r="H203" i="6"/>
  <c r="H204" i="6"/>
  <c r="H205" i="6"/>
  <c r="H206" i="6"/>
  <c r="H207" i="6"/>
  <c r="H208" i="6"/>
  <c r="H209" i="6"/>
  <c r="H210" i="6"/>
  <c r="H211" i="6"/>
  <c r="J211" i="6" s="1"/>
  <c r="H212" i="6"/>
  <c r="H213" i="6"/>
  <c r="J213" i="6" s="1"/>
  <c r="H214" i="6"/>
  <c r="H215" i="6"/>
  <c r="H216" i="6"/>
  <c r="H217" i="6"/>
  <c r="H218" i="6"/>
  <c r="H220" i="6"/>
  <c r="J220" i="6" s="1"/>
  <c r="H223" i="6"/>
  <c r="I223" i="6" s="1"/>
  <c r="H225" i="6"/>
  <c r="J225" i="6" s="1"/>
  <c r="H227" i="6"/>
  <c r="I227" i="6" s="1"/>
  <c r="H229" i="6"/>
  <c r="J229" i="6" s="1"/>
  <c r="H230" i="6"/>
  <c r="I230" i="6" s="1"/>
  <c r="H232" i="6"/>
  <c r="J232" i="6" s="1"/>
  <c r="H234" i="6"/>
  <c r="I234" i="6" s="1"/>
  <c r="H236" i="6"/>
  <c r="J236" i="6" s="1"/>
  <c r="H237" i="6"/>
  <c r="I237" i="6" s="1"/>
  <c r="H125" i="6"/>
  <c r="H127" i="6"/>
  <c r="J127" i="6" s="1"/>
  <c r="H128" i="6"/>
  <c r="H129" i="6"/>
  <c r="H130" i="6"/>
  <c r="J130" i="6" s="1"/>
  <c r="H131" i="6"/>
  <c r="H132" i="6"/>
  <c r="H133" i="6"/>
  <c r="H134" i="6"/>
  <c r="J134" i="6" s="1"/>
  <c r="H135" i="6"/>
  <c r="H136" i="6"/>
  <c r="J136" i="6" s="1"/>
  <c r="H137" i="6"/>
  <c r="H138" i="6"/>
  <c r="J138" i="6" s="1"/>
  <c r="H139" i="6"/>
  <c r="H140" i="6"/>
  <c r="J140" i="6" s="1"/>
  <c r="H141" i="6"/>
  <c r="H142" i="6"/>
  <c r="J142" i="6" s="1"/>
  <c r="H143" i="6"/>
  <c r="H144" i="6"/>
  <c r="J144" i="6" s="1"/>
  <c r="H145" i="6"/>
  <c r="H146" i="6"/>
  <c r="J146" i="6" s="1"/>
  <c r="H147" i="6"/>
  <c r="H148" i="6"/>
  <c r="J148" i="6" s="1"/>
  <c r="H149" i="6"/>
  <c r="H150" i="6"/>
  <c r="J150" i="6" s="1"/>
  <c r="H151" i="6"/>
  <c r="H152" i="6"/>
  <c r="J152" i="6" s="1"/>
  <c r="H154" i="6"/>
  <c r="H155" i="6"/>
  <c r="J155" i="6" s="1"/>
  <c r="H156" i="6"/>
  <c r="H157" i="6"/>
  <c r="J157" i="6" s="1"/>
  <c r="H124" i="6"/>
  <c r="H101" i="6"/>
  <c r="H100" i="6"/>
  <c r="H97" i="6"/>
  <c r="H96" i="6"/>
  <c r="H93" i="6"/>
  <c r="H81" i="6"/>
  <c r="H82" i="6"/>
  <c r="H83" i="6"/>
  <c r="H84" i="6"/>
  <c r="H85" i="6"/>
  <c r="H86" i="6"/>
  <c r="H87" i="6"/>
  <c r="H88" i="6"/>
  <c r="H89" i="6"/>
  <c r="H90" i="6"/>
  <c r="H91" i="6"/>
  <c r="H92" i="6"/>
  <c r="H74" i="6"/>
  <c r="H75" i="6"/>
  <c r="H76" i="6"/>
  <c r="H77" i="6"/>
  <c r="H78" i="6"/>
  <c r="J78" i="6" s="1"/>
  <c r="H79" i="6"/>
  <c r="H80" i="6"/>
  <c r="H73" i="6"/>
  <c r="H58" i="6"/>
  <c r="I58" i="6" s="1"/>
  <c r="H59" i="6"/>
  <c r="J59" i="6" s="1"/>
  <c r="H60" i="6"/>
  <c r="H61" i="6"/>
  <c r="H62" i="6"/>
  <c r="H63" i="6"/>
  <c r="H64" i="6"/>
  <c r="K64" i="6" s="1"/>
  <c r="H65" i="6"/>
  <c r="H66" i="6"/>
  <c r="H67" i="6"/>
  <c r="J67" i="6" s="1"/>
  <c r="H68" i="6"/>
  <c r="H69" i="6"/>
  <c r="H70" i="6"/>
  <c r="I70" i="6" s="1"/>
  <c r="H71" i="6"/>
  <c r="J71" i="6" s="1"/>
  <c r="H72" i="6"/>
  <c r="K72" i="6" s="1"/>
  <c r="H57" i="6"/>
  <c r="I57" i="6" s="1"/>
  <c r="H54" i="6"/>
  <c r="H55" i="6"/>
  <c r="H56" i="6"/>
  <c r="J56" i="6" s="1"/>
  <c r="H53" i="6"/>
  <c r="H49" i="6"/>
  <c r="H50" i="6"/>
  <c r="H51" i="6"/>
  <c r="I51" i="6" s="1"/>
  <c r="H52" i="6"/>
  <c r="J52" i="6" s="1"/>
  <c r="H46" i="6"/>
  <c r="H47" i="6"/>
  <c r="J47" i="6" s="1"/>
  <c r="H48" i="6"/>
  <c r="I48" i="6" s="1"/>
  <c r="H41" i="6"/>
  <c r="H42" i="6"/>
  <c r="H43" i="6"/>
  <c r="H44" i="6"/>
  <c r="H45" i="6"/>
  <c r="J45" i="6" s="1"/>
  <c r="H40" i="6"/>
  <c r="K40" i="6" s="1"/>
  <c r="H39" i="6"/>
  <c r="H38" i="6"/>
  <c r="H6" i="6"/>
  <c r="H8" i="6"/>
  <c r="H9" i="6"/>
  <c r="H10" i="6"/>
  <c r="H11" i="6"/>
  <c r="H12" i="6"/>
  <c r="H14" i="6"/>
  <c r="H15" i="6"/>
  <c r="K15" i="6" s="1"/>
  <c r="H16" i="6"/>
  <c r="H18" i="6"/>
  <c r="H19" i="6"/>
  <c r="H20" i="6"/>
  <c r="J20" i="6" s="1"/>
  <c r="H22" i="6"/>
  <c r="H23" i="6"/>
  <c r="H24" i="6"/>
  <c r="H25" i="6"/>
  <c r="H26" i="6"/>
  <c r="H27" i="6"/>
  <c r="I27" i="6" s="1"/>
  <c r="H28" i="6"/>
  <c r="J28" i="6" s="1"/>
  <c r="H29" i="6"/>
  <c r="K29" i="6" s="1"/>
  <c r="H30" i="6"/>
  <c r="H32" i="6"/>
  <c r="H33" i="6"/>
  <c r="H34" i="6"/>
  <c r="J34" i="6" s="1"/>
  <c r="H35" i="6"/>
  <c r="H36" i="6"/>
  <c r="H37" i="6"/>
  <c r="H4" i="6"/>
  <c r="J4" i="6" s="1"/>
  <c r="I123" i="6"/>
  <c r="I120" i="6"/>
  <c r="J120" i="6"/>
  <c r="K120" i="6"/>
  <c r="K119" i="6"/>
  <c r="J119" i="6"/>
  <c r="I119" i="6"/>
  <c r="I111" i="6"/>
  <c r="J111" i="6"/>
  <c r="K111" i="6"/>
  <c r="J109" i="6"/>
  <c r="K109" i="6"/>
  <c r="I109" i="6"/>
  <c r="I103" i="6"/>
  <c r="J103" i="6"/>
  <c r="K103" i="6"/>
  <c r="I104" i="6"/>
  <c r="J104" i="6"/>
  <c r="K104" i="6"/>
  <c r="I108" i="6"/>
  <c r="J108" i="6"/>
  <c r="K108" i="6"/>
  <c r="J107" i="6"/>
  <c r="K107" i="6"/>
  <c r="I107" i="6"/>
  <c r="H106" i="6"/>
  <c r="I106" i="6" s="1"/>
  <c r="H105" i="6"/>
  <c r="H102" i="6"/>
  <c r="K47" i="6" l="1"/>
  <c r="I47" i="6"/>
  <c r="M102" i="6" s="1"/>
  <c r="J227" i="6"/>
  <c r="I211" i="6"/>
  <c r="K179" i="6"/>
  <c r="J169" i="6"/>
  <c r="J165" i="6"/>
  <c r="I155" i="6"/>
  <c r="I150" i="6"/>
  <c r="I146" i="6"/>
  <c r="I142" i="6"/>
  <c r="I138" i="6"/>
  <c r="I134" i="6"/>
  <c r="J234" i="6"/>
  <c r="K213" i="6"/>
  <c r="I181" i="6"/>
  <c r="J167" i="6"/>
  <c r="K157" i="6"/>
  <c r="K152" i="6"/>
  <c r="K148" i="6"/>
  <c r="K144" i="6"/>
  <c r="K140" i="6"/>
  <c r="K136" i="6"/>
  <c r="M106" i="6"/>
  <c r="J35" i="6"/>
  <c r="K35" i="6"/>
  <c r="J33" i="6"/>
  <c r="I33" i="6"/>
  <c r="J24" i="6"/>
  <c r="K24" i="6"/>
  <c r="J11" i="6"/>
  <c r="I11" i="6"/>
  <c r="J6" i="6"/>
  <c r="K6" i="6"/>
  <c r="K53" i="6"/>
  <c r="O105" i="6" s="1"/>
  <c r="F105" i="6" s="1"/>
  <c r="K105" i="6" s="1"/>
  <c r="J53" i="6"/>
  <c r="N105" i="6" s="1"/>
  <c r="E105" i="6" s="1"/>
  <c r="J105" i="6" s="1"/>
  <c r="J55" i="6"/>
  <c r="I55" i="6"/>
  <c r="J57" i="6"/>
  <c r="N106" i="6" s="1"/>
  <c r="E106" i="6" s="1"/>
  <c r="J106" i="6" s="1"/>
  <c r="K57" i="6"/>
  <c r="O106" i="6" s="1"/>
  <c r="F106" i="6" s="1"/>
  <c r="K106" i="6" s="1"/>
  <c r="J79" i="6"/>
  <c r="K79" i="6"/>
  <c r="J92" i="6"/>
  <c r="K92" i="6"/>
  <c r="J86" i="6"/>
  <c r="I86" i="6"/>
  <c r="I93" i="6"/>
  <c r="M123" i="6" s="1"/>
  <c r="J93" i="6"/>
  <c r="N123" i="6" s="1"/>
  <c r="E123" i="6" s="1"/>
  <c r="J123" i="6" s="1"/>
  <c r="I156" i="6"/>
  <c r="J156" i="6"/>
  <c r="I154" i="6"/>
  <c r="J154" i="6"/>
  <c r="I151" i="6"/>
  <c r="J151" i="6"/>
  <c r="I149" i="6"/>
  <c r="J149" i="6"/>
  <c r="I147" i="6"/>
  <c r="J147" i="6"/>
  <c r="I145" i="6"/>
  <c r="J145" i="6"/>
  <c r="I143" i="6"/>
  <c r="J143" i="6"/>
  <c r="I141" i="6"/>
  <c r="J141" i="6"/>
  <c r="I139" i="6"/>
  <c r="J139" i="6"/>
  <c r="I137" i="6"/>
  <c r="J137" i="6"/>
  <c r="I135" i="6"/>
  <c r="J135" i="6"/>
  <c r="J131" i="6"/>
  <c r="K131" i="6"/>
  <c r="I131" i="6"/>
  <c r="J129" i="6"/>
  <c r="I129" i="6"/>
  <c r="K129" i="6"/>
  <c r="I212" i="6"/>
  <c r="J212" i="6"/>
  <c r="J202" i="6"/>
  <c r="K202" i="6"/>
  <c r="J198" i="6"/>
  <c r="I198" i="6"/>
  <c r="J196" i="6"/>
  <c r="I196" i="6"/>
  <c r="J194" i="6"/>
  <c r="K194" i="6"/>
  <c r="I194" i="6"/>
  <c r="J192" i="6"/>
  <c r="K192" i="6"/>
  <c r="I192" i="6"/>
  <c r="J190" i="6"/>
  <c r="I190" i="6"/>
  <c r="K190" i="6"/>
  <c r="J188" i="6"/>
  <c r="I188" i="6"/>
  <c r="K188" i="6"/>
  <c r="J186" i="6"/>
  <c r="K186" i="6"/>
  <c r="I186" i="6"/>
  <c r="J184" i="6"/>
  <c r="K184" i="6"/>
  <c r="I184" i="6"/>
  <c r="I182" i="6"/>
  <c r="J182" i="6"/>
  <c r="I180" i="6"/>
  <c r="J180" i="6"/>
  <c r="J176" i="6"/>
  <c r="I176" i="6"/>
  <c r="K176" i="6"/>
  <c r="J173" i="6"/>
  <c r="I173" i="6"/>
  <c r="K173" i="6"/>
  <c r="J170" i="6"/>
  <c r="I170" i="6"/>
  <c r="J168" i="6"/>
  <c r="K168" i="6"/>
  <c r="J166" i="6"/>
  <c r="I166" i="6"/>
  <c r="J163" i="6"/>
  <c r="K163" i="6"/>
  <c r="I163" i="6"/>
  <c r="J161" i="6"/>
  <c r="I161" i="6"/>
  <c r="K161" i="6"/>
  <c r="J237" i="6"/>
  <c r="J230" i="6"/>
  <c r="J223" i="6"/>
  <c r="K198" i="6"/>
  <c r="J183" i="6"/>
  <c r="I183" i="6"/>
  <c r="K183" i="6"/>
  <c r="I236" i="6"/>
  <c r="K232" i="6"/>
  <c r="I229" i="6"/>
  <c r="K225" i="6"/>
  <c r="I220" i="6"/>
  <c r="J178" i="6"/>
  <c r="I178" i="6"/>
  <c r="K178" i="6"/>
  <c r="I4" i="6"/>
  <c r="K4" i="6"/>
  <c r="I36" i="6"/>
  <c r="K36" i="6"/>
  <c r="J36" i="6"/>
  <c r="I34" i="6"/>
  <c r="K34" i="6"/>
  <c r="J29" i="6"/>
  <c r="I29" i="6"/>
  <c r="J27" i="6"/>
  <c r="K27" i="6"/>
  <c r="I20" i="6"/>
  <c r="K20" i="6"/>
  <c r="J18" i="6"/>
  <c r="K18" i="6"/>
  <c r="J15" i="6"/>
  <c r="I15" i="6"/>
  <c r="I12" i="6"/>
  <c r="K12" i="6"/>
  <c r="J40" i="6"/>
  <c r="I40" i="6"/>
  <c r="J44" i="6"/>
  <c r="K44" i="6"/>
  <c r="J51" i="6"/>
  <c r="K51" i="6"/>
  <c r="J49" i="6"/>
  <c r="I49" i="6"/>
  <c r="I56" i="6"/>
  <c r="K56" i="6"/>
  <c r="I54" i="6"/>
  <c r="K54" i="6"/>
  <c r="J54" i="6"/>
  <c r="J72" i="6"/>
  <c r="I72" i="6"/>
  <c r="J70" i="6"/>
  <c r="K70" i="6"/>
  <c r="J68" i="6"/>
  <c r="I68" i="6"/>
  <c r="J66" i="6"/>
  <c r="K66" i="6"/>
  <c r="J64" i="6"/>
  <c r="I64" i="6"/>
  <c r="J58" i="6"/>
  <c r="K58" i="6"/>
  <c r="I80" i="6"/>
  <c r="K80" i="6"/>
  <c r="J80" i="6"/>
  <c r="I78" i="6"/>
  <c r="K78" i="6"/>
  <c r="J76" i="6"/>
  <c r="K76" i="6"/>
  <c r="I87" i="6"/>
  <c r="K87" i="6"/>
  <c r="J83" i="6"/>
  <c r="I83" i="6"/>
  <c r="K83" i="6"/>
  <c r="K81" i="6"/>
  <c r="O122" i="6" s="1"/>
  <c r="F122" i="6" s="1"/>
  <c r="K122" i="6" s="1"/>
  <c r="J81" i="6"/>
  <c r="N122" i="6" s="1"/>
  <c r="E122" i="6" s="1"/>
  <c r="J122" i="6" s="1"/>
  <c r="I132" i="6"/>
  <c r="K132" i="6"/>
  <c r="I130" i="6"/>
  <c r="K130" i="6"/>
  <c r="I128" i="6"/>
  <c r="K128" i="6"/>
  <c r="J125" i="6"/>
  <c r="K125" i="6"/>
  <c r="I215" i="6"/>
  <c r="K215" i="6"/>
  <c r="I207" i="6"/>
  <c r="K207" i="6"/>
  <c r="I199" i="6"/>
  <c r="K199" i="6"/>
  <c r="I197" i="6"/>
  <c r="K197" i="6"/>
  <c r="I195" i="6"/>
  <c r="K195" i="6"/>
  <c r="I193" i="6"/>
  <c r="K193" i="6"/>
  <c r="I191" i="6"/>
  <c r="K191" i="6"/>
  <c r="I189" i="6"/>
  <c r="K189" i="6"/>
  <c r="I187" i="6"/>
  <c r="K187" i="6"/>
  <c r="I185" i="6"/>
  <c r="K185" i="6"/>
  <c r="I177" i="6"/>
  <c r="K177" i="6"/>
  <c r="I174" i="6"/>
  <c r="K174" i="6"/>
  <c r="I172" i="6"/>
  <c r="K172" i="6"/>
  <c r="I162" i="6"/>
  <c r="K162" i="6"/>
  <c r="I158" i="6"/>
  <c r="K158" i="6"/>
  <c r="K236" i="6"/>
  <c r="I232" i="6"/>
  <c r="K229" i="6"/>
  <c r="I225" i="6"/>
  <c r="K220" i="6"/>
  <c r="J215" i="6"/>
  <c r="I213" i="6"/>
  <c r="K211" i="6"/>
  <c r="J207" i="6"/>
  <c r="J197" i="6"/>
  <c r="J193" i="6"/>
  <c r="J189" i="6"/>
  <c r="J185" i="6"/>
  <c r="K181" i="6"/>
  <c r="I179" i="6"/>
  <c r="J174" i="6"/>
  <c r="K170" i="6"/>
  <c r="I168" i="6"/>
  <c r="K166" i="6"/>
  <c r="J158" i="6"/>
  <c r="I157" i="6"/>
  <c r="K155" i="6"/>
  <c r="I152" i="6"/>
  <c r="K150" i="6"/>
  <c r="I148" i="6"/>
  <c r="K146" i="6"/>
  <c r="I144" i="6"/>
  <c r="K142" i="6"/>
  <c r="I140" i="6"/>
  <c r="K138" i="6"/>
  <c r="I136" i="6"/>
  <c r="K134" i="6"/>
  <c r="J132" i="6"/>
  <c r="J128" i="6"/>
  <c r="I125" i="6"/>
  <c r="I18" i="6"/>
  <c r="J12" i="6"/>
  <c r="I44" i="6"/>
  <c r="K49" i="6"/>
  <c r="K68" i="6"/>
  <c r="I66" i="6"/>
  <c r="I76" i="6"/>
  <c r="J87" i="6"/>
  <c r="I30" i="6"/>
  <c r="K30" i="6"/>
  <c r="I28" i="6"/>
  <c r="K28" i="6"/>
  <c r="I26" i="6"/>
  <c r="K26" i="6"/>
  <c r="I16" i="6"/>
  <c r="K16" i="6"/>
  <c r="I9" i="6"/>
  <c r="K9" i="6"/>
  <c r="I45" i="6"/>
  <c r="K45" i="6"/>
  <c r="I41" i="6"/>
  <c r="K41" i="6"/>
  <c r="I52" i="6"/>
  <c r="K52" i="6"/>
  <c r="I50" i="6"/>
  <c r="K50" i="6"/>
  <c r="I71" i="6"/>
  <c r="K71" i="6"/>
  <c r="I69" i="6"/>
  <c r="K69" i="6"/>
  <c r="I67" i="6"/>
  <c r="K67" i="6"/>
  <c r="I65" i="6"/>
  <c r="K65" i="6"/>
  <c r="I59" i="6"/>
  <c r="K59" i="6"/>
  <c r="I75" i="6"/>
  <c r="K75" i="6"/>
  <c r="I84" i="6"/>
  <c r="K84" i="6"/>
  <c r="I124" i="6"/>
  <c r="K124" i="6"/>
  <c r="I127" i="6"/>
  <c r="K127" i="6"/>
  <c r="K237" i="6"/>
  <c r="K234" i="6"/>
  <c r="K230" i="6"/>
  <c r="K227" i="6"/>
  <c r="K223" i="6"/>
  <c r="K212" i="6"/>
  <c r="K182" i="6"/>
  <c r="K180" i="6"/>
  <c r="K169" i="6"/>
  <c r="K167" i="6"/>
  <c r="K165" i="6"/>
  <c r="K156" i="6"/>
  <c r="K154" i="6"/>
  <c r="K151" i="6"/>
  <c r="K149" i="6"/>
  <c r="K147" i="6"/>
  <c r="K145" i="6"/>
  <c r="K143" i="6"/>
  <c r="K141" i="6"/>
  <c r="K139" i="6"/>
  <c r="K137" i="6"/>
  <c r="K135" i="6"/>
  <c r="J124" i="6"/>
  <c r="I35" i="6"/>
  <c r="K33" i="6"/>
  <c r="J30" i="6"/>
  <c r="J26" i="6"/>
  <c r="I24" i="6"/>
  <c r="J16" i="6"/>
  <c r="K11" i="6"/>
  <c r="J9" i="6"/>
  <c r="I6" i="6"/>
  <c r="J41" i="6"/>
  <c r="J50" i="6"/>
  <c r="K55" i="6"/>
  <c r="J69" i="6"/>
  <c r="J65" i="6"/>
  <c r="I79" i="6"/>
  <c r="J75" i="6"/>
  <c r="I92" i="6"/>
  <c r="K86" i="6"/>
  <c r="J84" i="6"/>
  <c r="J48" i="6"/>
  <c r="N102" i="6" s="1"/>
  <c r="E102" i="6" s="1"/>
  <c r="J102" i="6" s="1"/>
  <c r="K93" i="6"/>
  <c r="O123" i="6" s="1"/>
  <c r="F123" i="6" s="1"/>
  <c r="K123" i="6" s="1"/>
  <c r="I81" i="6"/>
  <c r="M122" i="6" s="1"/>
  <c r="I53" i="6"/>
  <c r="M105" i="6" s="1"/>
  <c r="K48" i="6"/>
  <c r="O102" i="6" s="1"/>
  <c r="F102" i="6" s="1"/>
  <c r="K102" i="6" s="1"/>
  <c r="I122" i="6"/>
  <c r="I110" i="6"/>
  <c r="I105" i="6"/>
  <c r="I102" i="6"/>
  <c r="E99" i="6"/>
  <c r="J99" i="6" s="1"/>
  <c r="F99" i="6"/>
  <c r="K99" i="6" s="1"/>
  <c r="K112" i="6"/>
  <c r="J112" i="6"/>
  <c r="I99" i="6"/>
  <c r="G120" i="6"/>
  <c r="K73" i="6"/>
  <c r="O110" i="6" s="1"/>
  <c r="F110" i="6" s="1"/>
  <c r="K110" i="6" s="1"/>
  <c r="J73" i="6"/>
  <c r="N110" i="6" s="1"/>
  <c r="E110" i="6" s="1"/>
  <c r="J110" i="6" s="1"/>
  <c r="I73" i="6"/>
  <c r="M110" i="6" s="1"/>
  <c r="F98" i="6"/>
  <c r="K98" i="6" s="1"/>
  <c r="E98" i="6"/>
  <c r="J98" i="6" s="1"/>
  <c r="I98" i="6"/>
  <c r="A126" i="42" l="1"/>
  <c r="J46" i="6"/>
  <c r="K46" i="6"/>
  <c r="I46" i="6"/>
  <c r="I39" i="6"/>
  <c r="J39" i="6"/>
  <c r="K39" i="6"/>
  <c r="J38" i="6"/>
  <c r="K38" i="6"/>
  <c r="I38" i="6"/>
  <c r="I94" i="6"/>
  <c r="O8" i="6"/>
  <c r="F8" i="6" s="1"/>
  <c r="N8" i="6"/>
  <c r="E8" i="6" s="1"/>
  <c r="A127" i="42" l="1"/>
  <c r="O94" i="6"/>
  <c r="F94" i="6" s="1"/>
  <c r="K94" i="6" s="1"/>
  <c r="M94" i="6"/>
  <c r="O95" i="6"/>
  <c r="F95" i="6" s="1"/>
  <c r="K95" i="6" s="1"/>
  <c r="N94" i="6"/>
  <c r="E94" i="6" s="1"/>
  <c r="J94" i="6" s="1"/>
  <c r="M95" i="6"/>
  <c r="N95" i="6"/>
  <c r="I95" i="6"/>
  <c r="B29" i="6"/>
  <c r="C29" i="6"/>
  <c r="G29" i="6"/>
  <c r="C29" i="42"/>
  <c r="E29" i="42"/>
  <c r="L29" i="42"/>
  <c r="N29" i="42"/>
  <c r="O29" i="42"/>
  <c r="P29" i="42"/>
  <c r="B29" i="25"/>
  <c r="C29" i="25"/>
  <c r="A153" i="42" l="1"/>
  <c r="A222" i="42"/>
  <c r="E95" i="6"/>
  <c r="J95" i="6" s="1"/>
  <c r="Q29" i="42"/>
  <c r="L131" i="42"/>
  <c r="N131" i="42"/>
  <c r="P131" i="42"/>
  <c r="P132" i="42"/>
  <c r="N132" i="42"/>
  <c r="L132" i="42"/>
  <c r="B201" i="42"/>
  <c r="C201" i="42"/>
  <c r="B202" i="42"/>
  <c r="C202" i="42"/>
  <c r="B203" i="42"/>
  <c r="C203" i="42"/>
  <c r="B204" i="42"/>
  <c r="C204" i="42"/>
  <c r="B205" i="42"/>
  <c r="C205" i="42"/>
  <c r="B206" i="42"/>
  <c r="C206" i="42"/>
  <c r="B207" i="42"/>
  <c r="C207" i="42"/>
  <c r="B208" i="42"/>
  <c r="C208" i="42"/>
  <c r="B209" i="42"/>
  <c r="C209" i="42"/>
  <c r="B210" i="42"/>
  <c r="C210" i="42"/>
  <c r="B211" i="42"/>
  <c r="C211" i="42"/>
  <c r="B212" i="42"/>
  <c r="C212" i="42"/>
  <c r="B213" i="42"/>
  <c r="C213" i="42"/>
  <c r="B214" i="42"/>
  <c r="C214" i="42"/>
  <c r="B215" i="42"/>
  <c r="C215" i="42"/>
  <c r="B216" i="42"/>
  <c r="C216" i="42"/>
  <c r="B217" i="42"/>
  <c r="C217" i="42"/>
  <c r="B218" i="42"/>
  <c r="C218" i="42"/>
  <c r="B220" i="42"/>
  <c r="C220" i="42"/>
  <c r="C200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E132" i="42"/>
  <c r="E133" i="42"/>
  <c r="E134" i="42"/>
  <c r="B125" i="42"/>
  <c r="C125" i="42"/>
  <c r="B128" i="42"/>
  <c r="C128" i="42"/>
  <c r="B129" i="42"/>
  <c r="C129" i="42"/>
  <c r="B130" i="42"/>
  <c r="C130" i="42"/>
  <c r="C131" i="42"/>
  <c r="E189" i="42"/>
  <c r="B199" i="6"/>
  <c r="C199" i="6"/>
  <c r="G199" i="6"/>
  <c r="B197" i="6"/>
  <c r="C197" i="6"/>
  <c r="G197" i="6"/>
  <c r="L199" i="42"/>
  <c r="N199" i="42"/>
  <c r="O199" i="42"/>
  <c r="P199" i="42"/>
  <c r="L197" i="42"/>
  <c r="N197" i="42"/>
  <c r="O197" i="42"/>
  <c r="P197" i="42"/>
  <c r="E199" i="42"/>
  <c r="E197" i="42"/>
  <c r="B199" i="25"/>
  <c r="C199" i="25"/>
  <c r="B197" i="25"/>
  <c r="C197" i="25"/>
  <c r="B189" i="6"/>
  <c r="C189" i="6"/>
  <c r="G189" i="6"/>
  <c r="N188" i="42"/>
  <c r="O188" i="42"/>
  <c r="P188" i="42"/>
  <c r="N189" i="42"/>
  <c r="O189" i="42"/>
  <c r="P189" i="42"/>
  <c r="L188" i="42"/>
  <c r="E188" i="42"/>
  <c r="B189" i="25"/>
  <c r="C189" i="25"/>
  <c r="B190" i="25"/>
  <c r="C190" i="25"/>
  <c r="Q197" i="42" l="1"/>
  <c r="Q199" i="42"/>
  <c r="Q188" i="42"/>
  <c r="Q189" i="42"/>
  <c r="G185" i="6"/>
  <c r="B185" i="6"/>
  <c r="C185" i="6"/>
  <c r="B186" i="6"/>
  <c r="C186" i="6"/>
  <c r="E185" i="42"/>
  <c r="L185" i="42"/>
  <c r="N185" i="42"/>
  <c r="O185" i="42"/>
  <c r="P185" i="42"/>
  <c r="E186" i="42"/>
  <c r="L186" i="42"/>
  <c r="N186" i="42"/>
  <c r="P186" i="42"/>
  <c r="B185" i="25"/>
  <c r="C185" i="25"/>
  <c r="B186" i="25"/>
  <c r="C186" i="25"/>
  <c r="B182" i="6"/>
  <c r="C182" i="6"/>
  <c r="G182" i="6"/>
  <c r="E182" i="42"/>
  <c r="L182" i="42"/>
  <c r="N182" i="42"/>
  <c r="O182" i="42"/>
  <c r="P182" i="42"/>
  <c r="B182" i="25"/>
  <c r="C182" i="25"/>
  <c r="B183" i="25"/>
  <c r="C183" i="25"/>
  <c r="A223" i="42" l="1"/>
  <c r="Q185" i="42"/>
  <c r="Q182" i="42"/>
  <c r="B181" i="6"/>
  <c r="C181" i="6"/>
  <c r="B180" i="6"/>
  <c r="C180" i="6"/>
  <c r="G180" i="6"/>
  <c r="N176" i="42"/>
  <c r="O176" i="42"/>
  <c r="P176" i="42"/>
  <c r="N177" i="42"/>
  <c r="O177" i="42"/>
  <c r="P177" i="42"/>
  <c r="N178" i="42"/>
  <c r="O178" i="42"/>
  <c r="P178" i="42"/>
  <c r="N179" i="42"/>
  <c r="O179" i="42"/>
  <c r="P179" i="42"/>
  <c r="N180" i="42"/>
  <c r="P180" i="42"/>
  <c r="N181" i="42"/>
  <c r="O181" i="42"/>
  <c r="P181" i="42"/>
  <c r="N183" i="42"/>
  <c r="O183" i="42"/>
  <c r="P183" i="42"/>
  <c r="N184" i="42"/>
  <c r="O184" i="42"/>
  <c r="P184" i="42"/>
  <c r="N187" i="42"/>
  <c r="O187" i="42"/>
  <c r="P187" i="42"/>
  <c r="N190" i="42"/>
  <c r="P190" i="42"/>
  <c r="N191" i="42"/>
  <c r="O191" i="42"/>
  <c r="P191" i="42"/>
  <c r="N192" i="42"/>
  <c r="O192" i="42"/>
  <c r="P192" i="42"/>
  <c r="N193" i="42"/>
  <c r="O193" i="42"/>
  <c r="P193" i="42"/>
  <c r="N194" i="42"/>
  <c r="O194" i="42"/>
  <c r="P194" i="42"/>
  <c r="N195" i="42"/>
  <c r="O195" i="42"/>
  <c r="P195" i="42"/>
  <c r="N196" i="42"/>
  <c r="O196" i="42"/>
  <c r="P196" i="42"/>
  <c r="N198" i="42"/>
  <c r="O198" i="42"/>
  <c r="P198" i="42"/>
  <c r="N200" i="42"/>
  <c r="O200" i="42"/>
  <c r="P200" i="42"/>
  <c r="N201" i="42"/>
  <c r="O201" i="42"/>
  <c r="P201" i="42"/>
  <c r="N202" i="42"/>
  <c r="O202" i="42"/>
  <c r="P202" i="42"/>
  <c r="N203" i="42"/>
  <c r="O203" i="42"/>
  <c r="P203" i="42"/>
  <c r="N204" i="42"/>
  <c r="O204" i="42"/>
  <c r="P204" i="42"/>
  <c r="N205" i="42"/>
  <c r="O205" i="42"/>
  <c r="P205" i="42"/>
  <c r="N206" i="42"/>
  <c r="O206" i="42"/>
  <c r="P206" i="42"/>
  <c r="N207" i="42"/>
  <c r="O207" i="42"/>
  <c r="P207" i="42"/>
  <c r="N208" i="42"/>
  <c r="O208" i="42"/>
  <c r="P208" i="42"/>
  <c r="N209" i="42"/>
  <c r="O209" i="42"/>
  <c r="P209" i="42"/>
  <c r="N210" i="42"/>
  <c r="O210" i="42"/>
  <c r="P210" i="42"/>
  <c r="N211" i="42"/>
  <c r="O211" i="42"/>
  <c r="P211" i="42"/>
  <c r="N212" i="42"/>
  <c r="O212" i="42"/>
  <c r="P212" i="42"/>
  <c r="N213" i="42"/>
  <c r="O213" i="42"/>
  <c r="P213" i="42"/>
  <c r="N214" i="42"/>
  <c r="O214" i="42"/>
  <c r="P214" i="42"/>
  <c r="N215" i="42"/>
  <c r="O215" i="42"/>
  <c r="P215" i="42"/>
  <c r="N216" i="42"/>
  <c r="O216" i="42"/>
  <c r="P216" i="42"/>
  <c r="N217" i="42"/>
  <c r="O217" i="42"/>
  <c r="P217" i="42"/>
  <c r="N218" i="42"/>
  <c r="O218" i="42"/>
  <c r="P218" i="42"/>
  <c r="N220" i="42"/>
  <c r="O220" i="42"/>
  <c r="P220" i="42"/>
  <c r="N223" i="42"/>
  <c r="O223" i="42"/>
  <c r="P223" i="42"/>
  <c r="N224" i="42"/>
  <c r="O224" i="42"/>
  <c r="P224" i="42"/>
  <c r="N225" i="42"/>
  <c r="O225" i="42"/>
  <c r="P225" i="42"/>
  <c r="N226" i="42"/>
  <c r="O226" i="42"/>
  <c r="P226" i="42"/>
  <c r="N227" i="42"/>
  <c r="O227" i="42"/>
  <c r="P227" i="42"/>
  <c r="N228" i="42"/>
  <c r="O228" i="42"/>
  <c r="P228" i="42"/>
  <c r="N229" i="42"/>
  <c r="O229" i="42"/>
  <c r="P229" i="42"/>
  <c r="N230" i="42"/>
  <c r="O230" i="42"/>
  <c r="P230" i="42"/>
  <c r="N231" i="42"/>
  <c r="O231" i="42"/>
  <c r="P231" i="42"/>
  <c r="N232" i="42"/>
  <c r="O232" i="42"/>
  <c r="P232" i="42"/>
  <c r="N233" i="42"/>
  <c r="O233" i="42"/>
  <c r="P233" i="42"/>
  <c r="N234" i="42"/>
  <c r="O234" i="42"/>
  <c r="P234" i="42"/>
  <c r="N235" i="42"/>
  <c r="O235" i="42"/>
  <c r="P235" i="42"/>
  <c r="N236" i="42"/>
  <c r="O236" i="42"/>
  <c r="P236" i="42"/>
  <c r="N237" i="42"/>
  <c r="O237" i="42"/>
  <c r="P237" i="42"/>
  <c r="N172" i="42"/>
  <c r="O172" i="42"/>
  <c r="P172" i="42"/>
  <c r="N173" i="42"/>
  <c r="O173" i="42"/>
  <c r="P173" i="42"/>
  <c r="N174" i="42"/>
  <c r="O174" i="42"/>
  <c r="P174" i="42"/>
  <c r="E174" i="42"/>
  <c r="E176" i="42"/>
  <c r="E177" i="42"/>
  <c r="E178" i="42"/>
  <c r="E179" i="42"/>
  <c r="E180" i="42"/>
  <c r="E181" i="42"/>
  <c r="E183" i="42"/>
  <c r="E184" i="42"/>
  <c r="E187" i="42"/>
  <c r="E190" i="42"/>
  <c r="E191" i="42"/>
  <c r="E192" i="42"/>
  <c r="E193" i="42"/>
  <c r="E194" i="42"/>
  <c r="E195" i="42"/>
  <c r="E196" i="42"/>
  <c r="E198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20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L171" i="42"/>
  <c r="N171" i="42"/>
  <c r="O171" i="42"/>
  <c r="P171" i="42"/>
  <c r="B180" i="25"/>
  <c r="C180" i="25"/>
  <c r="A224" i="42" l="1"/>
  <c r="Q171" i="42"/>
  <c r="B165" i="6"/>
  <c r="C165" i="6"/>
  <c r="G165" i="6"/>
  <c r="L165" i="42"/>
  <c r="N165" i="42"/>
  <c r="O165" i="42"/>
  <c r="P165" i="42"/>
  <c r="B165" i="25"/>
  <c r="C165" i="25"/>
  <c r="B156" i="6"/>
  <c r="C156" i="6"/>
  <c r="G156" i="6"/>
  <c r="L156" i="42"/>
  <c r="N156" i="42"/>
  <c r="O156" i="42"/>
  <c r="P156" i="42"/>
  <c r="B156" i="25"/>
  <c r="C156" i="25"/>
  <c r="A225" i="42" l="1"/>
  <c r="Q165" i="42"/>
  <c r="Q156" i="42"/>
  <c r="B151" i="6"/>
  <c r="C151" i="6"/>
  <c r="G151" i="6"/>
  <c r="B152" i="6"/>
  <c r="C152" i="6"/>
  <c r="G152" i="6"/>
  <c r="L151" i="42"/>
  <c r="N151" i="42"/>
  <c r="P151" i="42"/>
  <c r="B151" i="25"/>
  <c r="C151" i="25"/>
  <c r="B150" i="6"/>
  <c r="C150" i="6"/>
  <c r="G150" i="6"/>
  <c r="L150" i="42"/>
  <c r="N150" i="42"/>
  <c r="O150" i="42"/>
  <c r="P150" i="42"/>
  <c r="B150" i="25"/>
  <c r="C150" i="25"/>
  <c r="B148" i="6"/>
  <c r="C148" i="6"/>
  <c r="G148" i="6"/>
  <c r="L148" i="42"/>
  <c r="N148" i="42"/>
  <c r="O148" i="42"/>
  <c r="P148" i="42"/>
  <c r="B148" i="25"/>
  <c r="C148" i="25"/>
  <c r="B144" i="6"/>
  <c r="C144" i="6"/>
  <c r="G144" i="6"/>
  <c r="B145" i="6"/>
  <c r="C145" i="6"/>
  <c r="G145" i="6"/>
  <c r="L144" i="42"/>
  <c r="N144" i="42"/>
  <c r="O144" i="42"/>
  <c r="P144" i="42"/>
  <c r="L145" i="42"/>
  <c r="N145" i="42"/>
  <c r="O145" i="42"/>
  <c r="P145" i="42"/>
  <c r="B144" i="25"/>
  <c r="C144" i="25"/>
  <c r="B145" i="25"/>
  <c r="C145" i="25"/>
  <c r="B146" i="25"/>
  <c r="C146" i="25"/>
  <c r="B193" i="6"/>
  <c r="C193" i="6"/>
  <c r="G193" i="6"/>
  <c r="L193" i="42"/>
  <c r="B193" i="25"/>
  <c r="C193" i="25"/>
  <c r="A226" i="42" l="1"/>
  <c r="Q150" i="42"/>
  <c r="Q148" i="42"/>
  <c r="Q193" i="42"/>
  <c r="Q145" i="42"/>
  <c r="Q144" i="42"/>
  <c r="L137" i="42"/>
  <c r="L146" i="42"/>
  <c r="B137" i="6"/>
  <c r="C137" i="6"/>
  <c r="G137" i="6"/>
  <c r="B138" i="6"/>
  <c r="C138" i="6"/>
  <c r="G138" i="6"/>
  <c r="Q137" i="42"/>
  <c r="E137" i="42"/>
  <c r="B137" i="25"/>
  <c r="C137" i="25"/>
  <c r="B135" i="6"/>
  <c r="C135" i="6"/>
  <c r="G135" i="6"/>
  <c r="L135" i="42"/>
  <c r="N135" i="42"/>
  <c r="O135" i="42"/>
  <c r="P135" i="42"/>
  <c r="E135" i="42"/>
  <c r="B135" i="25"/>
  <c r="C135" i="25"/>
  <c r="B143" i="6"/>
  <c r="C143" i="6"/>
  <c r="G143" i="6"/>
  <c r="L143" i="42"/>
  <c r="N143" i="42"/>
  <c r="O143" i="42"/>
  <c r="P143" i="42"/>
  <c r="B143" i="25"/>
  <c r="C143" i="25"/>
  <c r="A227" i="42" l="1"/>
  <c r="Q135" i="42"/>
  <c r="Q143" i="42"/>
  <c r="B132" i="6"/>
  <c r="C132" i="6"/>
  <c r="G132" i="6"/>
  <c r="B140" i="6"/>
  <c r="C140" i="6"/>
  <c r="G140" i="6"/>
  <c r="L140" i="42"/>
  <c r="N140" i="42"/>
  <c r="O140" i="42"/>
  <c r="P140" i="42"/>
  <c r="B140" i="25"/>
  <c r="C140" i="25"/>
  <c r="B149" i="25"/>
  <c r="B152" i="25"/>
  <c r="B154" i="25"/>
  <c r="B155" i="25"/>
  <c r="B157" i="25"/>
  <c r="B158" i="25"/>
  <c r="B159" i="25"/>
  <c r="B160" i="25"/>
  <c r="B161" i="25"/>
  <c r="B162" i="25"/>
  <c r="B163" i="25"/>
  <c r="B164" i="25"/>
  <c r="B166" i="25"/>
  <c r="B167" i="25"/>
  <c r="B168" i="25"/>
  <c r="B169" i="25"/>
  <c r="B170" i="25"/>
  <c r="B171" i="25"/>
  <c r="B172" i="25"/>
  <c r="B173" i="25"/>
  <c r="B174" i="25"/>
  <c r="B176" i="25"/>
  <c r="B177" i="25"/>
  <c r="B178" i="25"/>
  <c r="B179" i="25"/>
  <c r="B181" i="25"/>
  <c r="B184" i="25"/>
  <c r="B187" i="25"/>
  <c r="B188" i="25"/>
  <c r="B191" i="25"/>
  <c r="B192" i="25"/>
  <c r="B194" i="25"/>
  <c r="B195" i="25"/>
  <c r="B196" i="25"/>
  <c r="B198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20" i="25"/>
  <c r="B227" i="25"/>
  <c r="B228" i="25"/>
  <c r="B229" i="25"/>
  <c r="B230" i="25"/>
  <c r="B232" i="25"/>
  <c r="B141" i="25"/>
  <c r="B142" i="25"/>
  <c r="B147" i="25"/>
  <c r="B133" i="25"/>
  <c r="B134" i="25"/>
  <c r="B136" i="25"/>
  <c r="B138" i="25"/>
  <c r="B139" i="25"/>
  <c r="B132" i="25"/>
  <c r="C132" i="25"/>
  <c r="L130" i="42"/>
  <c r="B130" i="6"/>
  <c r="C130" i="6"/>
  <c r="B131" i="6"/>
  <c r="C131" i="6"/>
  <c r="N130" i="42"/>
  <c r="P130" i="42"/>
  <c r="E130" i="42"/>
  <c r="B130" i="25"/>
  <c r="C130" i="25"/>
  <c r="A228" i="42" l="1"/>
  <c r="Q140" i="42"/>
  <c r="A229" i="42" l="1"/>
  <c r="BA2" i="3"/>
  <c r="B128" i="6"/>
  <c r="B129" i="6"/>
  <c r="L128" i="42"/>
  <c r="P128" i="42"/>
  <c r="N128" i="42"/>
  <c r="E128" i="42"/>
  <c r="A230" i="42" l="1"/>
  <c r="M190" i="25"/>
  <c r="K190" i="25"/>
  <c r="M186" i="25"/>
  <c r="K186" i="25"/>
  <c r="N190" i="25"/>
  <c r="L190" i="25"/>
  <c r="F190" i="25"/>
  <c r="O190" i="42" s="1"/>
  <c r="N186" i="25"/>
  <c r="L186" i="25"/>
  <c r="F186" i="25"/>
  <c r="O186" i="42" s="1"/>
  <c r="Q186" i="42" s="1"/>
  <c r="M180" i="25"/>
  <c r="K180" i="25"/>
  <c r="N180" i="25"/>
  <c r="L180" i="25"/>
  <c r="F180" i="25"/>
  <c r="O180" i="42" s="1"/>
  <c r="N151" i="25"/>
  <c r="M151" i="25"/>
  <c r="K151" i="25"/>
  <c r="L151" i="25"/>
  <c r="O151" i="42"/>
  <c r="Q151" i="42" s="1"/>
  <c r="F131" i="25"/>
  <c r="O131" i="42" s="1"/>
  <c r="Q131" i="42" s="1"/>
  <c r="F132" i="25"/>
  <c r="O132" i="42" s="1"/>
  <c r="Q132" i="42" s="1"/>
  <c r="L132" i="25"/>
  <c r="N132" i="25"/>
  <c r="M131" i="25"/>
  <c r="K131" i="25"/>
  <c r="N130" i="25"/>
  <c r="L130" i="25"/>
  <c r="F130" i="25"/>
  <c r="O130" i="42" s="1"/>
  <c r="Q130" i="42" s="1"/>
  <c r="K132" i="25"/>
  <c r="M132" i="25"/>
  <c r="N131" i="25"/>
  <c r="L131" i="25"/>
  <c r="K130" i="25"/>
  <c r="M128" i="25"/>
  <c r="K128" i="25"/>
  <c r="L128" i="25"/>
  <c r="N128" i="25"/>
  <c r="F128" i="25"/>
  <c r="O128" i="42" s="1"/>
  <c r="Q128" i="42" s="1"/>
  <c r="G128" i="42" s="1"/>
  <c r="BT128" i="25"/>
  <c r="B129" i="25"/>
  <c r="C129" i="25"/>
  <c r="B131" i="25"/>
  <c r="C131" i="25"/>
  <c r="C133" i="25"/>
  <c r="C134" i="25"/>
  <c r="C136" i="25"/>
  <c r="C138" i="25"/>
  <c r="C139" i="25"/>
  <c r="C141" i="25"/>
  <c r="C142" i="25"/>
  <c r="C147" i="25"/>
  <c r="C149" i="25"/>
  <c r="C152" i="25"/>
  <c r="C154" i="25"/>
  <c r="C155" i="25"/>
  <c r="C157" i="25"/>
  <c r="C158" i="25"/>
  <c r="C159" i="25"/>
  <c r="C160" i="25"/>
  <c r="C161" i="25"/>
  <c r="C162" i="25"/>
  <c r="C163" i="25"/>
  <c r="C164" i="25"/>
  <c r="C166" i="25"/>
  <c r="C167" i="25"/>
  <c r="C168" i="25"/>
  <c r="C169" i="25"/>
  <c r="C170" i="25"/>
  <c r="C171" i="25"/>
  <c r="C172" i="25"/>
  <c r="C173" i="25"/>
  <c r="C174" i="25"/>
  <c r="C176" i="25"/>
  <c r="C177" i="25"/>
  <c r="C178" i="25"/>
  <c r="C179" i="25"/>
  <c r="C181" i="25"/>
  <c r="C184" i="25"/>
  <c r="C187" i="25"/>
  <c r="C188" i="25"/>
  <c r="C191" i="25"/>
  <c r="C192" i="25"/>
  <c r="C194" i="25"/>
  <c r="C195" i="25"/>
  <c r="C196" i="25"/>
  <c r="C198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20" i="25"/>
  <c r="C227" i="25"/>
  <c r="C228" i="25"/>
  <c r="C229" i="25"/>
  <c r="C230" i="25"/>
  <c r="C232" i="25"/>
  <c r="C234" i="25"/>
  <c r="C238" i="25"/>
  <c r="B128" i="25"/>
  <c r="C128" i="25"/>
  <c r="C128" i="6"/>
  <c r="A231" i="42" l="1"/>
  <c r="K48" i="35"/>
  <c r="K46" i="35"/>
  <c r="K44" i="35"/>
  <c r="J48" i="35"/>
  <c r="J46" i="35"/>
  <c r="J44" i="35"/>
  <c r="A232" i="42" l="1"/>
  <c r="E5" i="47"/>
  <c r="A233" i="42" l="1"/>
  <c r="N24" i="39"/>
  <c r="O24" i="39"/>
  <c r="Q24" i="39"/>
  <c r="R24" i="39"/>
  <c r="AB33" i="37"/>
  <c r="AA33" i="37"/>
  <c r="Z33" i="37"/>
  <c r="AB31" i="37"/>
  <c r="AA31" i="37"/>
  <c r="Z31" i="37"/>
  <c r="AB29" i="37"/>
  <c r="AA29" i="37"/>
  <c r="Z29" i="37"/>
  <c r="AB27" i="37"/>
  <c r="AA27" i="37"/>
  <c r="Z27" i="37"/>
  <c r="A234" i="42" l="1"/>
  <c r="C29" i="18"/>
  <c r="A235" i="42" l="1"/>
  <c r="S18" i="16"/>
  <c r="A237" i="42" l="1"/>
  <c r="A236" i="42"/>
  <c r="X10" i="16"/>
  <c r="S23" i="16"/>
  <c r="B12" i="46"/>
  <c r="D12" i="46" s="1"/>
  <c r="C12" i="46" l="1"/>
  <c r="Y10" i="16"/>
  <c r="W10" i="16" s="1"/>
  <c r="G23" i="2"/>
  <c r="A12" i="46"/>
  <c r="G21" i="16"/>
  <c r="S26" i="2" l="1"/>
  <c r="S22" i="16" l="1"/>
  <c r="S19" i="16"/>
  <c r="S21" i="16"/>
  <c r="AL2" i="3"/>
  <c r="Q7" i="16"/>
  <c r="S7" i="16" s="1"/>
  <c r="S2" i="16"/>
  <c r="O11" i="16"/>
  <c r="M12" i="16"/>
  <c r="S20" i="16"/>
  <c r="K34" i="16"/>
  <c r="R11" i="16" l="1"/>
  <c r="R7" i="16"/>
  <c r="R2" i="16" s="1"/>
  <c r="O12" i="16"/>
  <c r="S20" i="2"/>
  <c r="N12" i="16"/>
  <c r="N2" i="16" s="1"/>
  <c r="K32" i="16"/>
  <c r="K33" i="16"/>
  <c r="K31" i="16"/>
  <c r="R12" i="16" l="1"/>
  <c r="X22" i="16"/>
  <c r="Y22" i="16" s="1"/>
  <c r="D28" i="18"/>
  <c r="D18" i="18"/>
  <c r="D19" i="18" l="1"/>
  <c r="D30" i="18" s="1"/>
  <c r="C31" i="18" s="1"/>
  <c r="C32" i="18" s="1"/>
  <c r="D35" i="18"/>
  <c r="L18" i="26" s="1"/>
  <c r="S23" i="2"/>
  <c r="S24" i="2" s="1"/>
  <c r="W22" i="16"/>
  <c r="Q20" i="30"/>
  <c r="N20" i="30"/>
  <c r="K20" i="30"/>
  <c r="H20" i="30"/>
  <c r="Q19" i="30"/>
  <c r="N19" i="30"/>
  <c r="Q18" i="30"/>
  <c r="N18" i="30"/>
  <c r="K18" i="30"/>
  <c r="Q17" i="30"/>
  <c r="Q16" i="30"/>
  <c r="N16" i="30"/>
  <c r="Q14" i="30"/>
  <c r="N14" i="30"/>
  <c r="Q13" i="30"/>
  <c r="N13" i="30"/>
  <c r="N17" i="30"/>
  <c r="K17" i="30"/>
  <c r="Q22" i="30"/>
  <c r="N22" i="30"/>
  <c r="K22" i="30"/>
  <c r="F219" i="33"/>
  <c r="F218" i="33"/>
  <c r="F217" i="33"/>
  <c r="F216" i="33"/>
  <c r="F215" i="33"/>
  <c r="F214" i="33"/>
  <c r="F213" i="33"/>
  <c r="F212" i="33"/>
  <c r="F211" i="33"/>
  <c r="F210" i="33"/>
  <c r="F209" i="33"/>
  <c r="F208" i="33"/>
  <c r="F195" i="33"/>
  <c r="F194" i="33"/>
  <c r="F193" i="33"/>
  <c r="F192" i="33"/>
  <c r="F191" i="33"/>
  <c r="F190" i="33"/>
  <c r="F189" i="33"/>
  <c r="F188" i="33"/>
  <c r="F187" i="33"/>
  <c r="F186" i="33"/>
  <c r="F185" i="33"/>
  <c r="F184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99" i="33"/>
  <c r="F98" i="33"/>
  <c r="F97" i="33"/>
  <c r="F96" i="33"/>
  <c r="F95" i="33"/>
  <c r="F94" i="33"/>
  <c r="F75" i="33"/>
  <c r="F74" i="33"/>
  <c r="F73" i="33"/>
  <c r="F72" i="33"/>
  <c r="F71" i="33"/>
  <c r="F70" i="33"/>
  <c r="F69" i="33"/>
  <c r="F68" i="33"/>
  <c r="F67" i="33"/>
  <c r="F66" i="33"/>
  <c r="F65" i="33"/>
  <c r="F93" i="33"/>
  <c r="F92" i="33"/>
  <c r="F91" i="33"/>
  <c r="F90" i="33"/>
  <c r="F89" i="33"/>
  <c r="F88" i="33"/>
  <c r="F40" i="33"/>
  <c r="F64" i="33"/>
  <c r="F63" i="33"/>
  <c r="F62" i="33"/>
  <c r="F61" i="33"/>
  <c r="F60" i="33"/>
  <c r="F59" i="33"/>
  <c r="F58" i="33"/>
  <c r="F51" i="33"/>
  <c r="F50" i="33"/>
  <c r="F49" i="33"/>
  <c r="F48" i="33"/>
  <c r="F47" i="33"/>
  <c r="F46" i="33"/>
  <c r="F45" i="33"/>
  <c r="F44" i="33"/>
  <c r="F43" i="33"/>
  <c r="F42" i="33"/>
  <c r="F41" i="33"/>
  <c r="F39" i="33"/>
  <c r="F38" i="33"/>
  <c r="F37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36" i="33"/>
  <c r="F35" i="33"/>
  <c r="F34" i="33"/>
  <c r="F12" i="33"/>
  <c r="F11" i="33"/>
  <c r="F10" i="33"/>
  <c r="Q7" i="30"/>
  <c r="N7" i="30"/>
  <c r="K7" i="30"/>
  <c r="H7" i="30"/>
  <c r="Q6" i="30"/>
  <c r="N6" i="30"/>
  <c r="K6" i="30"/>
  <c r="H6" i="30"/>
  <c r="L22" i="4"/>
  <c r="M22" i="4" s="1"/>
  <c r="C11" i="23" s="1"/>
  <c r="G232" i="6"/>
  <c r="G234" i="6"/>
  <c r="G236" i="6"/>
  <c r="G237" i="6"/>
  <c r="P4" i="12"/>
  <c r="U28" i="40"/>
  <c r="DV2" i="3"/>
  <c r="DU2" i="3"/>
  <c r="DT2" i="3"/>
  <c r="AI2" i="3"/>
  <c r="O2" i="16" s="1"/>
  <c r="M7" i="16"/>
  <c r="B23" i="7"/>
  <c r="F23" i="7" s="1"/>
  <c r="B24" i="7"/>
  <c r="F24" i="7" s="1"/>
  <c r="E30" i="44"/>
  <c r="A9" i="1"/>
  <c r="C9" i="1" s="1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B4" i="25"/>
  <c r="B6" i="25"/>
  <c r="B8" i="25"/>
  <c r="B9" i="25"/>
  <c r="B10" i="25"/>
  <c r="B11" i="25"/>
  <c r="B12" i="25"/>
  <c r="B14" i="25"/>
  <c r="B15" i="25"/>
  <c r="B16" i="25"/>
  <c r="B23" i="25"/>
  <c r="B24" i="25"/>
  <c r="B25" i="25"/>
  <c r="B26" i="25"/>
  <c r="B27" i="25"/>
  <c r="B28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9" i="25"/>
  <c r="B120" i="25"/>
  <c r="B121" i="25"/>
  <c r="B122" i="25"/>
  <c r="B123" i="25"/>
  <c r="B124" i="25"/>
  <c r="B125" i="25"/>
  <c r="M2" i="3"/>
  <c r="N246" i="42" s="1"/>
  <c r="M30" i="27"/>
  <c r="E30" i="27"/>
  <c r="E32" i="27"/>
  <c r="Z2" i="3"/>
  <c r="G18" i="12" s="1"/>
  <c r="G19" i="12" s="1"/>
  <c r="M11" i="27"/>
  <c r="W2" i="3"/>
  <c r="C26" i="17" s="1"/>
  <c r="M15" i="27"/>
  <c r="M17" i="27"/>
  <c r="AE2" i="3"/>
  <c r="K8" i="15" s="1"/>
  <c r="K4" i="15"/>
  <c r="M4" i="15" s="1"/>
  <c r="E13" i="27"/>
  <c r="E15" i="27"/>
  <c r="E22" i="26"/>
  <c r="E26" i="26"/>
  <c r="M20" i="26"/>
  <c r="M24" i="26"/>
  <c r="M30" i="26"/>
  <c r="F37" i="6"/>
  <c r="E37" i="6"/>
  <c r="D37" i="6"/>
  <c r="B14" i="35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C48" i="35"/>
  <c r="C46" i="35"/>
  <c r="C44" i="35"/>
  <c r="B163" i="6"/>
  <c r="L2" i="3"/>
  <c r="AV2" i="3"/>
  <c r="Q2" i="3"/>
  <c r="K20" i="16" s="1"/>
  <c r="Y2" i="3"/>
  <c r="H18" i="12" s="1"/>
  <c r="H19" i="12" s="1"/>
  <c r="C23" i="18"/>
  <c r="C21" i="18"/>
  <c r="A27" i="19"/>
  <c r="C28" i="19" s="1"/>
  <c r="L23" i="2"/>
  <c r="E7" i="13" s="1"/>
  <c r="C7" i="13" s="1"/>
  <c r="H15" i="18"/>
  <c r="AS2" i="3"/>
  <c r="K14" i="21" s="1"/>
  <c r="H10" i="21"/>
  <c r="I10" i="21" s="1"/>
  <c r="A11" i="21"/>
  <c r="A10" i="24"/>
  <c r="C11" i="24" s="1"/>
  <c r="AT2" i="3"/>
  <c r="E153" i="32"/>
  <c r="H19" i="37" s="1"/>
  <c r="AA19" i="37" s="1"/>
  <c r="E156" i="32"/>
  <c r="H21" i="37" s="1"/>
  <c r="AA21" i="37" s="1"/>
  <c r="E159" i="32"/>
  <c r="H23" i="37" s="1"/>
  <c r="AA23" i="37" s="1"/>
  <c r="E162" i="32"/>
  <c r="H25" i="37" s="1"/>
  <c r="AA25" i="37" s="1"/>
  <c r="F153" i="32"/>
  <c r="I19" i="37" s="1"/>
  <c r="F156" i="32"/>
  <c r="I21" i="37" s="1"/>
  <c r="F159" i="32"/>
  <c r="I23" i="37" s="1"/>
  <c r="F162" i="32"/>
  <c r="I25" i="37" s="1"/>
  <c r="AB25" i="37" s="1"/>
  <c r="D153" i="32"/>
  <c r="G19" i="37" s="1"/>
  <c r="Z19" i="37" s="1"/>
  <c r="D156" i="32"/>
  <c r="G21" i="37" s="1"/>
  <c r="D159" i="32"/>
  <c r="G23" i="37" s="1"/>
  <c r="Z23" i="37" s="1"/>
  <c r="D162" i="32"/>
  <c r="G25" i="37" s="1"/>
  <c r="Z25" i="37" s="1"/>
  <c r="C53" i="25"/>
  <c r="C100" i="25"/>
  <c r="B53" i="6"/>
  <c r="C28" i="25"/>
  <c r="C36" i="25"/>
  <c r="B84" i="6"/>
  <c r="C10" i="25"/>
  <c r="C84" i="25"/>
  <c r="G10" i="6"/>
  <c r="G158" i="6"/>
  <c r="A4" i="42"/>
  <c r="A6" i="42"/>
  <c r="A8" i="42"/>
  <c r="A9" i="42"/>
  <c r="A10" i="42"/>
  <c r="A11" i="42"/>
  <c r="A12" i="42"/>
  <c r="A15" i="42"/>
  <c r="A1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A52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C84" i="42"/>
  <c r="B53" i="42"/>
  <c r="C53" i="42"/>
  <c r="N36" i="42"/>
  <c r="N28" i="42"/>
  <c r="N53" i="42"/>
  <c r="N163" i="42"/>
  <c r="O36" i="42"/>
  <c r="O28" i="42"/>
  <c r="O53" i="42"/>
  <c r="O163" i="42"/>
  <c r="P36" i="42"/>
  <c r="P28" i="42"/>
  <c r="P53" i="42"/>
  <c r="P163" i="42"/>
  <c r="E10" i="42"/>
  <c r="E84" i="42"/>
  <c r="E53" i="42"/>
  <c r="E100" i="42"/>
  <c r="B237" i="42"/>
  <c r="B236" i="42"/>
  <c r="C237" i="42"/>
  <c r="C236" i="42"/>
  <c r="E237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23" i="42"/>
  <c r="B239" i="42"/>
  <c r="C223" i="42"/>
  <c r="C224" i="42"/>
  <c r="C225" i="42"/>
  <c r="C227" i="42"/>
  <c r="C228" i="42"/>
  <c r="C229" i="42"/>
  <c r="C230" i="42"/>
  <c r="C232" i="42"/>
  <c r="C234" i="42"/>
  <c r="B234" i="42"/>
  <c r="B232" i="42"/>
  <c r="B230" i="42"/>
  <c r="B229" i="42"/>
  <c r="B228" i="42"/>
  <c r="B227" i="42"/>
  <c r="B225" i="42"/>
  <c r="B224" i="42"/>
  <c r="B223" i="42"/>
  <c r="G225" i="6"/>
  <c r="G227" i="6"/>
  <c r="G229" i="6"/>
  <c r="G230" i="6"/>
  <c r="B6" i="42"/>
  <c r="B8" i="42"/>
  <c r="B9" i="42"/>
  <c r="B10" i="42"/>
  <c r="B11" i="42"/>
  <c r="B12" i="42"/>
  <c r="B15" i="42"/>
  <c r="B1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9" i="42"/>
  <c r="B120" i="42"/>
  <c r="B121" i="42"/>
  <c r="B122" i="42"/>
  <c r="B123" i="42"/>
  <c r="B124" i="42"/>
  <c r="B4" i="42"/>
  <c r="B223" i="6"/>
  <c r="G223" i="6"/>
  <c r="E240" i="25"/>
  <c r="F240" i="25" s="1"/>
  <c r="G240" i="25" s="1"/>
  <c r="H240" i="25" s="1"/>
  <c r="I240" i="25" s="1"/>
  <c r="J240" i="25" s="1"/>
  <c r="K240" i="25" s="1"/>
  <c r="L240" i="25" s="1"/>
  <c r="M240" i="25" s="1"/>
  <c r="N240" i="25" s="1"/>
  <c r="O240" i="25" s="1"/>
  <c r="P240" i="25" s="1"/>
  <c r="Q240" i="25" s="1"/>
  <c r="R240" i="25" s="1"/>
  <c r="S240" i="25" s="1"/>
  <c r="T240" i="25" s="1"/>
  <c r="U240" i="25" s="1"/>
  <c r="V240" i="25" s="1"/>
  <c r="W240" i="25" s="1"/>
  <c r="X240" i="25" s="1"/>
  <c r="Y240" i="25" s="1"/>
  <c r="Z240" i="25" s="1"/>
  <c r="AA240" i="25" s="1"/>
  <c r="AB240" i="25" s="1"/>
  <c r="AC240" i="25" s="1"/>
  <c r="AD240" i="25" s="1"/>
  <c r="AE240" i="25" s="1"/>
  <c r="AF240" i="25" s="1"/>
  <c r="AG240" i="25" s="1"/>
  <c r="AH240" i="25" s="1"/>
  <c r="AI240" i="25" s="1"/>
  <c r="AJ240" i="25" s="1"/>
  <c r="AK240" i="25" s="1"/>
  <c r="AL240" i="25" s="1"/>
  <c r="AM240" i="25" s="1"/>
  <c r="AN240" i="25" s="1"/>
  <c r="AO240" i="25" s="1"/>
  <c r="AP240" i="25" s="1"/>
  <c r="AQ240" i="25" s="1"/>
  <c r="AR240" i="25" s="1"/>
  <c r="AS240" i="25" s="1"/>
  <c r="AT240" i="25" s="1"/>
  <c r="AU240" i="25" s="1"/>
  <c r="AV240" i="25" s="1"/>
  <c r="AW240" i="25" s="1"/>
  <c r="AX240" i="25" s="1"/>
  <c r="AY240" i="25" s="1"/>
  <c r="AZ240" i="25" s="1"/>
  <c r="BA240" i="25" s="1"/>
  <c r="BB240" i="25" s="1"/>
  <c r="BC240" i="25" s="1"/>
  <c r="BD240" i="25" s="1"/>
  <c r="BE240" i="25" s="1"/>
  <c r="BF240" i="25" s="1"/>
  <c r="BG240" i="25" s="1"/>
  <c r="C4" i="42"/>
  <c r="C6" i="42"/>
  <c r="C8" i="42"/>
  <c r="C9" i="42"/>
  <c r="C10" i="42"/>
  <c r="C11" i="42"/>
  <c r="C12" i="42"/>
  <c r="C15" i="42"/>
  <c r="C16" i="42"/>
  <c r="C22" i="42"/>
  <c r="C23" i="42"/>
  <c r="C24" i="42"/>
  <c r="C25" i="42"/>
  <c r="C26" i="42"/>
  <c r="C27" i="42"/>
  <c r="C28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9" i="42"/>
  <c r="C120" i="42"/>
  <c r="C121" i="42"/>
  <c r="C122" i="42"/>
  <c r="C123" i="42"/>
  <c r="C124" i="42"/>
  <c r="C249" i="42"/>
  <c r="I254" i="42"/>
  <c r="Q9" i="30"/>
  <c r="N9" i="30"/>
  <c r="K9" i="30"/>
  <c r="H9" i="30"/>
  <c r="Q8" i="30"/>
  <c r="Q5" i="30"/>
  <c r="N8" i="30"/>
  <c r="N5" i="30"/>
  <c r="K8" i="30"/>
  <c r="K5" i="30"/>
  <c r="H8" i="30"/>
  <c r="H5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F86" i="33"/>
  <c r="F110" i="33"/>
  <c r="F134" i="33"/>
  <c r="F158" i="33"/>
  <c r="F182" i="33"/>
  <c r="F206" i="33"/>
  <c r="F87" i="33"/>
  <c r="F111" i="33"/>
  <c r="F135" i="33"/>
  <c r="F159" i="33"/>
  <c r="F183" i="33"/>
  <c r="F207" i="33"/>
  <c r="F85" i="33"/>
  <c r="F109" i="33"/>
  <c r="F133" i="33"/>
  <c r="F157" i="33"/>
  <c r="F181" i="33"/>
  <c r="F205" i="33"/>
  <c r="D2" i="3"/>
  <c r="B2" i="3"/>
  <c r="Q71" i="42"/>
  <c r="L71" i="42"/>
  <c r="E71" i="42"/>
  <c r="C71" i="25"/>
  <c r="B71" i="6"/>
  <c r="C71" i="6"/>
  <c r="G71" i="6"/>
  <c r="B69" i="4"/>
  <c r="B70" i="4" s="1"/>
  <c r="B71" i="4" s="1"/>
  <c r="B73" i="42" s="1"/>
  <c r="A71" i="42"/>
  <c r="G22" i="26"/>
  <c r="G16" i="26"/>
  <c r="M19" i="39"/>
  <c r="M37" i="39" s="1"/>
  <c r="P19" i="39"/>
  <c r="P37" i="39" s="1"/>
  <c r="S19" i="39"/>
  <c r="S37" i="39" s="1"/>
  <c r="M20" i="39"/>
  <c r="M38" i="39" s="1"/>
  <c r="P20" i="39"/>
  <c r="P38" i="39" s="1"/>
  <c r="S20" i="39"/>
  <c r="S38" i="39" s="1"/>
  <c r="H21" i="39"/>
  <c r="B21" i="39"/>
  <c r="B39" i="39" s="1"/>
  <c r="G21" i="39"/>
  <c r="H20" i="39"/>
  <c r="B20" i="39"/>
  <c r="G20" i="39"/>
  <c r="B38" i="39"/>
  <c r="H19" i="39"/>
  <c r="B37" i="39"/>
  <c r="P18" i="39"/>
  <c r="P36" i="39" s="1"/>
  <c r="O6" i="33"/>
  <c r="F150" i="33" s="1"/>
  <c r="P21" i="39"/>
  <c r="P39" i="39" s="1"/>
  <c r="S18" i="39"/>
  <c r="S36" i="39" s="1"/>
  <c r="S21" i="39"/>
  <c r="S39" i="39" s="1"/>
  <c r="M18" i="39"/>
  <c r="M36" i="39" s="1"/>
  <c r="M21" i="39"/>
  <c r="M39" i="39" s="1"/>
  <c r="G19" i="39"/>
  <c r="B19" i="39"/>
  <c r="S28" i="40"/>
  <c r="P28" i="40"/>
  <c r="M28" i="40"/>
  <c r="G18" i="39"/>
  <c r="B18" i="39"/>
  <c r="H18" i="39"/>
  <c r="C162" i="32"/>
  <c r="B17" i="39" s="1"/>
  <c r="G17" i="39"/>
  <c r="H17" i="39"/>
  <c r="C159" i="32"/>
  <c r="B16" i="39" s="1"/>
  <c r="G16" i="39"/>
  <c r="H16" i="39"/>
  <c r="C156" i="32"/>
  <c r="B15" i="39" s="1"/>
  <c r="G15" i="39"/>
  <c r="H15" i="39"/>
  <c r="C153" i="32"/>
  <c r="B14" i="39" s="1"/>
  <c r="G14" i="39"/>
  <c r="H14" i="39"/>
  <c r="C66" i="25"/>
  <c r="C67" i="25"/>
  <c r="B8" i="38"/>
  <c r="C8" i="38" s="1"/>
  <c r="I1" i="40" s="1"/>
  <c r="B67" i="6"/>
  <c r="G6" i="6"/>
  <c r="G8" i="6"/>
  <c r="G9" i="6"/>
  <c r="G11" i="6"/>
  <c r="G12" i="6"/>
  <c r="G14" i="6"/>
  <c r="G15" i="6"/>
  <c r="G16" i="6"/>
  <c r="G18" i="6"/>
  <c r="G19" i="6"/>
  <c r="G20" i="6"/>
  <c r="G22" i="6"/>
  <c r="G23" i="6"/>
  <c r="G24" i="6"/>
  <c r="G25" i="6"/>
  <c r="G26" i="6"/>
  <c r="G27" i="6"/>
  <c r="G28" i="6"/>
  <c r="G30" i="6"/>
  <c r="G31" i="6"/>
  <c r="G32" i="6"/>
  <c r="G33" i="6"/>
  <c r="G34" i="6"/>
  <c r="G35" i="6"/>
  <c r="G36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7" i="6"/>
  <c r="G118" i="6"/>
  <c r="G119" i="6"/>
  <c r="G121" i="6"/>
  <c r="G122" i="6"/>
  <c r="G123" i="6"/>
  <c r="G124" i="6"/>
  <c r="G125" i="6"/>
  <c r="G127" i="6"/>
  <c r="G129" i="6"/>
  <c r="G131" i="6"/>
  <c r="G133" i="6"/>
  <c r="G134" i="6"/>
  <c r="G136" i="6"/>
  <c r="G139" i="6"/>
  <c r="G141" i="6"/>
  <c r="G142" i="6"/>
  <c r="G146" i="6"/>
  <c r="G147" i="6"/>
  <c r="G149" i="6"/>
  <c r="G154" i="6"/>
  <c r="G155" i="6"/>
  <c r="G157" i="6"/>
  <c r="G159" i="6"/>
  <c r="G160" i="6"/>
  <c r="G161" i="6"/>
  <c r="G162" i="6"/>
  <c r="G163" i="6"/>
  <c r="G164" i="6"/>
  <c r="G166" i="6"/>
  <c r="G167" i="6"/>
  <c r="G168" i="6"/>
  <c r="G169" i="6"/>
  <c r="G170" i="6"/>
  <c r="G171" i="6"/>
  <c r="G172" i="6"/>
  <c r="G173" i="6"/>
  <c r="G174" i="6"/>
  <c r="G176" i="6"/>
  <c r="G177" i="6"/>
  <c r="G178" i="6"/>
  <c r="G179" i="6"/>
  <c r="G181" i="6"/>
  <c r="G183" i="6"/>
  <c r="G184" i="6"/>
  <c r="G187" i="6"/>
  <c r="G188" i="6"/>
  <c r="G190" i="6"/>
  <c r="G191" i="6"/>
  <c r="G192" i="6"/>
  <c r="G194" i="6"/>
  <c r="G195" i="6"/>
  <c r="G196" i="6"/>
  <c r="G198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20" i="6"/>
  <c r="G4" i="6"/>
  <c r="M5" i="27"/>
  <c r="M3" i="27"/>
  <c r="B16" i="43"/>
  <c r="B17" i="43"/>
  <c r="B13" i="43"/>
  <c r="C6" i="26"/>
  <c r="C5" i="27"/>
  <c r="C3" i="27"/>
  <c r="L118" i="42"/>
  <c r="C125" i="25"/>
  <c r="C127" i="25"/>
  <c r="C95" i="25"/>
  <c r="C96" i="25"/>
  <c r="C97" i="25"/>
  <c r="C98" i="25"/>
  <c r="C99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9" i="25"/>
  <c r="C120" i="25"/>
  <c r="C121" i="25"/>
  <c r="C122" i="25"/>
  <c r="C123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8" i="25"/>
  <c r="C69" i="25"/>
  <c r="C70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5" i="25"/>
  <c r="C86" i="25"/>
  <c r="C87" i="25"/>
  <c r="C88" i="25"/>
  <c r="C89" i="25"/>
  <c r="C90" i="25"/>
  <c r="C91" i="25"/>
  <c r="C92" i="25"/>
  <c r="C93" i="25"/>
  <c r="C6" i="25"/>
  <c r="C8" i="25"/>
  <c r="C9" i="25"/>
  <c r="C11" i="25"/>
  <c r="C12" i="25"/>
  <c r="C14" i="25"/>
  <c r="C15" i="25"/>
  <c r="C16" i="25"/>
  <c r="C23" i="25"/>
  <c r="C24" i="25"/>
  <c r="C25" i="25"/>
  <c r="C26" i="25"/>
  <c r="C27" i="25"/>
  <c r="C30" i="25"/>
  <c r="C31" i="25"/>
  <c r="C32" i="25"/>
  <c r="C33" i="25"/>
  <c r="C34" i="25"/>
  <c r="C35" i="25"/>
  <c r="C37" i="25"/>
  <c r="C94" i="25"/>
  <c r="C124" i="25"/>
  <c r="C67" i="6"/>
  <c r="C223" i="6"/>
  <c r="C10" i="6"/>
  <c r="C158" i="6"/>
  <c r="C84" i="6"/>
  <c r="C53" i="6"/>
  <c r="C100" i="6"/>
  <c r="C163" i="6"/>
  <c r="M6" i="26"/>
  <c r="M4" i="26"/>
  <c r="C4" i="26"/>
  <c r="H6" i="23"/>
  <c r="K4" i="23"/>
  <c r="C6" i="23"/>
  <c r="C4" i="23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B64" i="6"/>
  <c r="C64" i="6"/>
  <c r="B65" i="6"/>
  <c r="C65" i="6"/>
  <c r="B66" i="6"/>
  <c r="C66" i="6"/>
  <c r="B68" i="6"/>
  <c r="C68" i="6"/>
  <c r="B69" i="6"/>
  <c r="C69" i="6"/>
  <c r="B70" i="6"/>
  <c r="C70" i="6"/>
  <c r="B72" i="6"/>
  <c r="C72" i="6"/>
  <c r="B73" i="6"/>
  <c r="C73" i="6"/>
  <c r="B74" i="6"/>
  <c r="C74" i="6"/>
  <c r="B75" i="6"/>
  <c r="C75" i="6"/>
  <c r="B76" i="6"/>
  <c r="C76" i="6"/>
  <c r="B77" i="6"/>
  <c r="C77" i="6"/>
  <c r="B78" i="6"/>
  <c r="C78" i="6"/>
  <c r="B79" i="6"/>
  <c r="C79" i="6"/>
  <c r="B80" i="6"/>
  <c r="C80" i="6"/>
  <c r="B81" i="6"/>
  <c r="C81" i="6"/>
  <c r="B82" i="6"/>
  <c r="C82" i="6"/>
  <c r="B83" i="6"/>
  <c r="C83" i="6"/>
  <c r="B85" i="6"/>
  <c r="C85" i="6"/>
  <c r="B86" i="6"/>
  <c r="C86" i="6"/>
  <c r="B87" i="6"/>
  <c r="C87" i="6"/>
  <c r="B88" i="6"/>
  <c r="C88" i="6"/>
  <c r="B89" i="6"/>
  <c r="C89" i="6"/>
  <c r="B90" i="6"/>
  <c r="C90" i="6"/>
  <c r="B91" i="6"/>
  <c r="C91" i="6"/>
  <c r="B92" i="6"/>
  <c r="C92" i="6"/>
  <c r="B93" i="6"/>
  <c r="C93" i="6"/>
  <c r="B94" i="6"/>
  <c r="C94" i="6"/>
  <c r="B95" i="6"/>
  <c r="C95" i="6"/>
  <c r="B96" i="6"/>
  <c r="C96" i="6"/>
  <c r="B97" i="6"/>
  <c r="C97" i="6"/>
  <c r="B98" i="6"/>
  <c r="C98" i="6"/>
  <c r="B99" i="6"/>
  <c r="C99" i="6"/>
  <c r="B100" i="6"/>
  <c r="B101" i="6"/>
  <c r="C101" i="6"/>
  <c r="B102" i="6"/>
  <c r="C102" i="6"/>
  <c r="B103" i="6"/>
  <c r="C103" i="6"/>
  <c r="B104" i="6"/>
  <c r="C104" i="6"/>
  <c r="B105" i="6"/>
  <c r="C105" i="6"/>
  <c r="B106" i="6"/>
  <c r="C106" i="6"/>
  <c r="B107" i="6"/>
  <c r="C107" i="6"/>
  <c r="B108" i="6"/>
  <c r="C108" i="6"/>
  <c r="B109" i="6"/>
  <c r="C109" i="6"/>
  <c r="B110" i="6"/>
  <c r="C110" i="6"/>
  <c r="B111" i="6"/>
  <c r="C111" i="6"/>
  <c r="B112" i="6"/>
  <c r="C112" i="6"/>
  <c r="B117" i="6"/>
  <c r="C117" i="6"/>
  <c r="B118" i="6"/>
  <c r="C118" i="6"/>
  <c r="B119" i="6"/>
  <c r="C119" i="6"/>
  <c r="B120" i="6"/>
  <c r="C120" i="6"/>
  <c r="B121" i="6"/>
  <c r="C121" i="6"/>
  <c r="B122" i="6"/>
  <c r="C122" i="6"/>
  <c r="B123" i="6"/>
  <c r="C123" i="6"/>
  <c r="B124" i="6"/>
  <c r="C124" i="6"/>
  <c r="B125" i="6"/>
  <c r="C125" i="6"/>
  <c r="B127" i="6"/>
  <c r="C127" i="6"/>
  <c r="C129" i="6"/>
  <c r="B133" i="6"/>
  <c r="C133" i="6"/>
  <c r="B134" i="6"/>
  <c r="C134" i="6"/>
  <c r="B136" i="6"/>
  <c r="C136" i="6"/>
  <c r="B139" i="6"/>
  <c r="C139" i="6"/>
  <c r="B141" i="6"/>
  <c r="C141" i="6"/>
  <c r="B142" i="6"/>
  <c r="C142" i="6"/>
  <c r="B146" i="6"/>
  <c r="C146" i="6"/>
  <c r="B147" i="6"/>
  <c r="C147" i="6"/>
  <c r="B149" i="6"/>
  <c r="C149" i="6"/>
  <c r="B154" i="6"/>
  <c r="C154" i="6"/>
  <c r="B155" i="6"/>
  <c r="C155" i="6"/>
  <c r="B157" i="6"/>
  <c r="C157" i="6"/>
  <c r="B158" i="6"/>
  <c r="B159" i="6"/>
  <c r="C159" i="6"/>
  <c r="B160" i="6"/>
  <c r="C160" i="6"/>
  <c r="B161" i="6"/>
  <c r="C161" i="6"/>
  <c r="B162" i="6"/>
  <c r="C162" i="6"/>
  <c r="B164" i="6"/>
  <c r="C164" i="6"/>
  <c r="B166" i="6"/>
  <c r="C166" i="6"/>
  <c r="B167" i="6"/>
  <c r="C167" i="6"/>
  <c r="B168" i="6"/>
  <c r="C168" i="6"/>
  <c r="B169" i="6"/>
  <c r="C169" i="6"/>
  <c r="B170" i="6"/>
  <c r="C170" i="6"/>
  <c r="B171" i="6"/>
  <c r="C171" i="6"/>
  <c r="B172" i="6"/>
  <c r="C172" i="6"/>
  <c r="B173" i="6"/>
  <c r="C173" i="6"/>
  <c r="B174" i="6"/>
  <c r="C174" i="6"/>
  <c r="B176" i="6"/>
  <c r="C176" i="6"/>
  <c r="B177" i="6"/>
  <c r="C177" i="6"/>
  <c r="B178" i="6"/>
  <c r="C178" i="6"/>
  <c r="B179" i="6"/>
  <c r="C179" i="6"/>
  <c r="B183" i="6"/>
  <c r="C183" i="6"/>
  <c r="B184" i="6"/>
  <c r="C184" i="6"/>
  <c r="B187" i="6"/>
  <c r="C187" i="6"/>
  <c r="B188" i="6"/>
  <c r="C188" i="6"/>
  <c r="B190" i="6"/>
  <c r="C190" i="6"/>
  <c r="B191" i="6"/>
  <c r="C191" i="6"/>
  <c r="B192" i="6"/>
  <c r="C192" i="6"/>
  <c r="B194" i="6"/>
  <c r="C194" i="6"/>
  <c r="B195" i="6"/>
  <c r="C195" i="6"/>
  <c r="B196" i="6"/>
  <c r="C196" i="6"/>
  <c r="B198" i="6"/>
  <c r="C198" i="6"/>
  <c r="B200" i="6"/>
  <c r="C200" i="6"/>
  <c r="B201" i="6"/>
  <c r="C201" i="6"/>
  <c r="B202" i="6"/>
  <c r="C202" i="6"/>
  <c r="B203" i="6"/>
  <c r="C203" i="6"/>
  <c r="B204" i="6"/>
  <c r="C204" i="6"/>
  <c r="B205" i="6"/>
  <c r="C205" i="6"/>
  <c r="B206" i="6"/>
  <c r="C206" i="6"/>
  <c r="B207" i="6"/>
  <c r="C207" i="6"/>
  <c r="B208" i="6"/>
  <c r="C208" i="6"/>
  <c r="B209" i="6"/>
  <c r="C209" i="6"/>
  <c r="B210" i="6"/>
  <c r="C210" i="6"/>
  <c r="B211" i="6"/>
  <c r="C211" i="6"/>
  <c r="B212" i="6"/>
  <c r="C212" i="6"/>
  <c r="B213" i="6"/>
  <c r="C213" i="6"/>
  <c r="B214" i="6"/>
  <c r="C214" i="6"/>
  <c r="B215" i="6"/>
  <c r="C215" i="6"/>
  <c r="B216" i="6"/>
  <c r="C216" i="6"/>
  <c r="B217" i="6"/>
  <c r="C217" i="6"/>
  <c r="B218" i="6"/>
  <c r="C218" i="6"/>
  <c r="B220" i="6"/>
  <c r="C220" i="6"/>
  <c r="B6" i="6"/>
  <c r="C6" i="6"/>
  <c r="B8" i="6"/>
  <c r="C8" i="6"/>
  <c r="B9" i="6"/>
  <c r="C9" i="6"/>
  <c r="B10" i="6"/>
  <c r="B11" i="6"/>
  <c r="C11" i="6"/>
  <c r="B12" i="6"/>
  <c r="C12" i="6"/>
  <c r="B14" i="6"/>
  <c r="C14" i="6"/>
  <c r="B15" i="6"/>
  <c r="C15" i="6"/>
  <c r="B16" i="6"/>
  <c r="C16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C4" i="6"/>
  <c r="B4" i="6"/>
  <c r="B4" i="43"/>
  <c r="B5" i="43"/>
  <c r="B6" i="43"/>
  <c r="B7" i="43"/>
  <c r="B8" i="43"/>
  <c r="B9" i="43"/>
  <c r="B10" i="43"/>
  <c r="B11" i="43"/>
  <c r="B12" i="43"/>
  <c r="B14" i="43"/>
  <c r="B15" i="43"/>
  <c r="B18" i="43"/>
  <c r="B19" i="43"/>
  <c r="B3" i="43"/>
  <c r="O73" i="42"/>
  <c r="P73" i="42"/>
  <c r="O66" i="42"/>
  <c r="P66" i="42"/>
  <c r="O67" i="42"/>
  <c r="P67" i="42"/>
  <c r="N73" i="42"/>
  <c r="N118" i="42"/>
  <c r="N66" i="42"/>
  <c r="N67" i="42"/>
  <c r="O6" i="42"/>
  <c r="P6" i="42"/>
  <c r="O8" i="42"/>
  <c r="P8" i="42"/>
  <c r="O9" i="42"/>
  <c r="P9" i="42"/>
  <c r="O10" i="42"/>
  <c r="P10" i="42"/>
  <c r="O11" i="42"/>
  <c r="P11" i="42"/>
  <c r="O12" i="42"/>
  <c r="P12" i="42"/>
  <c r="O14" i="42"/>
  <c r="P14" i="42"/>
  <c r="O15" i="42"/>
  <c r="P15" i="42"/>
  <c r="O16" i="42"/>
  <c r="P16" i="42"/>
  <c r="O18" i="42"/>
  <c r="P18" i="42"/>
  <c r="O19" i="42"/>
  <c r="P19" i="42"/>
  <c r="O20" i="42"/>
  <c r="P20" i="42"/>
  <c r="O22" i="42"/>
  <c r="P22" i="42"/>
  <c r="O23" i="42"/>
  <c r="P23" i="42"/>
  <c r="O24" i="42"/>
  <c r="P24" i="42"/>
  <c r="O25" i="42"/>
  <c r="P25" i="42"/>
  <c r="O26" i="42"/>
  <c r="P26" i="42"/>
  <c r="O27" i="42"/>
  <c r="P27" i="42"/>
  <c r="O30" i="42"/>
  <c r="P30" i="42"/>
  <c r="O31" i="42"/>
  <c r="P31" i="42"/>
  <c r="O32" i="42"/>
  <c r="P32" i="42"/>
  <c r="O33" i="42"/>
  <c r="P33" i="42"/>
  <c r="O34" i="42"/>
  <c r="P34" i="42"/>
  <c r="O35" i="42"/>
  <c r="P35" i="42"/>
  <c r="O37" i="42"/>
  <c r="P37" i="42"/>
  <c r="O38" i="42"/>
  <c r="P38" i="42"/>
  <c r="O39" i="42"/>
  <c r="P39" i="42"/>
  <c r="O40" i="42"/>
  <c r="P40" i="42"/>
  <c r="O41" i="42"/>
  <c r="P41" i="42"/>
  <c r="O42" i="42"/>
  <c r="P42" i="42"/>
  <c r="O43" i="42"/>
  <c r="P43" i="42"/>
  <c r="O44" i="42"/>
  <c r="P44" i="42"/>
  <c r="O45" i="42"/>
  <c r="P45" i="42"/>
  <c r="O46" i="42"/>
  <c r="P46" i="42"/>
  <c r="O47" i="42"/>
  <c r="P47" i="42"/>
  <c r="O48" i="42"/>
  <c r="P48" i="42"/>
  <c r="O49" i="42"/>
  <c r="P49" i="42"/>
  <c r="O50" i="42"/>
  <c r="P50" i="42"/>
  <c r="O51" i="42"/>
  <c r="P51" i="42"/>
  <c r="O52" i="42"/>
  <c r="P52" i="42"/>
  <c r="O54" i="42"/>
  <c r="P54" i="42"/>
  <c r="O55" i="42"/>
  <c r="P55" i="42"/>
  <c r="O56" i="42"/>
  <c r="P56" i="42"/>
  <c r="O57" i="42"/>
  <c r="P57" i="42"/>
  <c r="O58" i="42"/>
  <c r="P58" i="42"/>
  <c r="O59" i="42"/>
  <c r="P59" i="42"/>
  <c r="O60" i="42"/>
  <c r="P60" i="42"/>
  <c r="O61" i="42"/>
  <c r="P61" i="42"/>
  <c r="O62" i="42"/>
  <c r="P62" i="42"/>
  <c r="O63" i="42"/>
  <c r="P63" i="42"/>
  <c r="O64" i="42"/>
  <c r="P64" i="42"/>
  <c r="O65" i="42"/>
  <c r="P65" i="42"/>
  <c r="O68" i="42"/>
  <c r="P68" i="42"/>
  <c r="O69" i="42"/>
  <c r="P69" i="42"/>
  <c r="Q70" i="42"/>
  <c r="O72" i="42"/>
  <c r="P72" i="42"/>
  <c r="O74" i="42"/>
  <c r="P74" i="42"/>
  <c r="O75" i="42"/>
  <c r="P75" i="42"/>
  <c r="O76" i="42"/>
  <c r="P76" i="42"/>
  <c r="O77" i="42"/>
  <c r="P77" i="42"/>
  <c r="O78" i="42"/>
  <c r="P78" i="42"/>
  <c r="O79" i="42"/>
  <c r="P79" i="42"/>
  <c r="O80" i="42"/>
  <c r="P80" i="42"/>
  <c r="O81" i="42"/>
  <c r="P81" i="42"/>
  <c r="O82" i="42"/>
  <c r="P82" i="42"/>
  <c r="O83" i="42"/>
  <c r="P83" i="42"/>
  <c r="O84" i="42"/>
  <c r="P84" i="42"/>
  <c r="O85" i="42"/>
  <c r="P85" i="42"/>
  <c r="O86" i="42"/>
  <c r="P86" i="42"/>
  <c r="O87" i="42"/>
  <c r="P87" i="42"/>
  <c r="O88" i="42"/>
  <c r="P88" i="42"/>
  <c r="O89" i="42"/>
  <c r="P89" i="42"/>
  <c r="O90" i="42"/>
  <c r="P90" i="42"/>
  <c r="O91" i="42"/>
  <c r="P91" i="42"/>
  <c r="O92" i="42"/>
  <c r="P92" i="42"/>
  <c r="O93" i="42"/>
  <c r="P93" i="42"/>
  <c r="O94" i="42"/>
  <c r="P94" i="42"/>
  <c r="O95" i="42"/>
  <c r="P95" i="42"/>
  <c r="O96" i="42"/>
  <c r="P96" i="42"/>
  <c r="O97" i="42"/>
  <c r="P97" i="42"/>
  <c r="O98" i="42"/>
  <c r="P98" i="42"/>
  <c r="O99" i="42"/>
  <c r="P99" i="42"/>
  <c r="O100" i="42"/>
  <c r="P100" i="42"/>
  <c r="O101" i="42"/>
  <c r="P101" i="42"/>
  <c r="O102" i="42"/>
  <c r="P102" i="42"/>
  <c r="O103" i="42"/>
  <c r="P103" i="42"/>
  <c r="O104" i="42"/>
  <c r="P104" i="42"/>
  <c r="O105" i="42"/>
  <c r="P105" i="42"/>
  <c r="O106" i="42"/>
  <c r="P106" i="42"/>
  <c r="O107" i="42"/>
  <c r="P107" i="42"/>
  <c r="O108" i="42"/>
  <c r="P108" i="42"/>
  <c r="O109" i="42"/>
  <c r="P109" i="42"/>
  <c r="O110" i="42"/>
  <c r="P110" i="42"/>
  <c r="O111" i="42"/>
  <c r="P111" i="42"/>
  <c r="O112" i="42"/>
  <c r="P112" i="42"/>
  <c r="O117" i="42"/>
  <c r="P117" i="42"/>
  <c r="O118" i="42"/>
  <c r="P118" i="42"/>
  <c r="O119" i="42"/>
  <c r="P119" i="42"/>
  <c r="O120" i="42"/>
  <c r="P120" i="42"/>
  <c r="O121" i="42"/>
  <c r="P121" i="42"/>
  <c r="O122" i="42"/>
  <c r="P122" i="42"/>
  <c r="O123" i="42"/>
  <c r="P123" i="42"/>
  <c r="O124" i="42"/>
  <c r="P124" i="42"/>
  <c r="O125" i="42"/>
  <c r="P125" i="42"/>
  <c r="O127" i="42"/>
  <c r="P127" i="42"/>
  <c r="O129" i="42"/>
  <c r="P129" i="42"/>
  <c r="O133" i="42"/>
  <c r="P133" i="42"/>
  <c r="O134" i="42"/>
  <c r="P134" i="42"/>
  <c r="O136" i="42"/>
  <c r="P136" i="42"/>
  <c r="O138" i="42"/>
  <c r="P138" i="42"/>
  <c r="O139" i="42"/>
  <c r="P139" i="42"/>
  <c r="O141" i="42"/>
  <c r="P141" i="42"/>
  <c r="O142" i="42"/>
  <c r="P142" i="42"/>
  <c r="O146" i="42"/>
  <c r="P146" i="42"/>
  <c r="O147" i="42"/>
  <c r="P147" i="42"/>
  <c r="O149" i="42"/>
  <c r="P149" i="42"/>
  <c r="O152" i="42"/>
  <c r="P152" i="42"/>
  <c r="O154" i="42"/>
  <c r="P154" i="42"/>
  <c r="O155" i="42"/>
  <c r="P155" i="42"/>
  <c r="O157" i="42"/>
  <c r="P157" i="42"/>
  <c r="O158" i="42"/>
  <c r="P158" i="42"/>
  <c r="O159" i="42"/>
  <c r="P159" i="42"/>
  <c r="O160" i="42"/>
  <c r="P160" i="42"/>
  <c r="O161" i="42"/>
  <c r="P161" i="42"/>
  <c r="O162" i="42"/>
  <c r="P162" i="42"/>
  <c r="O164" i="42"/>
  <c r="P164" i="42"/>
  <c r="O166" i="42"/>
  <c r="P166" i="42"/>
  <c r="O167" i="42"/>
  <c r="P167" i="42"/>
  <c r="O168" i="42"/>
  <c r="P168" i="42"/>
  <c r="O169" i="42"/>
  <c r="P169" i="42"/>
  <c r="O170" i="42"/>
  <c r="P170" i="42"/>
  <c r="O4" i="42"/>
  <c r="P4" i="42"/>
  <c r="L9" i="42"/>
  <c r="L10" i="42"/>
  <c r="L11" i="42"/>
  <c r="L12" i="42"/>
  <c r="L14" i="42"/>
  <c r="L15" i="42"/>
  <c r="L16" i="42"/>
  <c r="L18" i="42"/>
  <c r="L19" i="42"/>
  <c r="L20" i="42"/>
  <c r="L22" i="42"/>
  <c r="L23" i="42"/>
  <c r="L24" i="42"/>
  <c r="L25" i="42"/>
  <c r="L26" i="42"/>
  <c r="L27" i="42"/>
  <c r="L28" i="42"/>
  <c r="L30" i="42"/>
  <c r="L31" i="42"/>
  <c r="L32" i="42"/>
  <c r="L33" i="42"/>
  <c r="L34" i="42"/>
  <c r="L35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7" i="42"/>
  <c r="L119" i="42"/>
  <c r="L120" i="42"/>
  <c r="L121" i="42"/>
  <c r="L122" i="42"/>
  <c r="L123" i="42"/>
  <c r="L124" i="42"/>
  <c r="L125" i="42"/>
  <c r="L127" i="42"/>
  <c r="L129" i="42"/>
  <c r="L133" i="42"/>
  <c r="L136" i="42"/>
  <c r="L138" i="42"/>
  <c r="L139" i="42"/>
  <c r="L141" i="42"/>
  <c r="L142" i="42"/>
  <c r="L147" i="42"/>
  <c r="L149" i="42"/>
  <c r="L152" i="42"/>
  <c r="L154" i="42"/>
  <c r="L155" i="42"/>
  <c r="L157" i="42"/>
  <c r="L158" i="42"/>
  <c r="L159" i="42"/>
  <c r="L160" i="42"/>
  <c r="L161" i="42"/>
  <c r="L162" i="42"/>
  <c r="L163" i="42"/>
  <c r="L164" i="42"/>
  <c r="L166" i="42"/>
  <c r="L167" i="42"/>
  <c r="L168" i="42"/>
  <c r="L169" i="42"/>
  <c r="L170" i="42"/>
  <c r="L172" i="42"/>
  <c r="L173" i="42"/>
  <c r="L174" i="42"/>
  <c r="L176" i="42"/>
  <c r="L177" i="42"/>
  <c r="L178" i="42"/>
  <c r="L179" i="42"/>
  <c r="L180" i="42"/>
  <c r="L181" i="42"/>
  <c r="L183" i="42"/>
  <c r="L184" i="42"/>
  <c r="L187" i="42"/>
  <c r="L189" i="42"/>
  <c r="L190" i="42"/>
  <c r="L191" i="42"/>
  <c r="L192" i="42"/>
  <c r="L194" i="42"/>
  <c r="L195" i="42"/>
  <c r="L196" i="42"/>
  <c r="L198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20" i="42"/>
  <c r="L6" i="42"/>
  <c r="L8" i="42"/>
  <c r="L4" i="42"/>
  <c r="N6" i="42"/>
  <c r="N8" i="42"/>
  <c r="N9" i="42"/>
  <c r="N10" i="42"/>
  <c r="N11" i="42"/>
  <c r="N12" i="42"/>
  <c r="N14" i="42"/>
  <c r="N15" i="42"/>
  <c r="N16" i="42"/>
  <c r="N18" i="42"/>
  <c r="N19" i="42"/>
  <c r="N20" i="42"/>
  <c r="N22" i="42"/>
  <c r="N23" i="42"/>
  <c r="N24" i="42"/>
  <c r="N25" i="42"/>
  <c r="N26" i="42"/>
  <c r="N27" i="42"/>
  <c r="N30" i="42"/>
  <c r="N31" i="42"/>
  <c r="N32" i="42"/>
  <c r="N33" i="42"/>
  <c r="N34" i="42"/>
  <c r="N35" i="42"/>
  <c r="N37" i="42"/>
  <c r="N38" i="42"/>
  <c r="N39" i="42"/>
  <c r="N40" i="42"/>
  <c r="N41" i="42"/>
  <c r="N42" i="42"/>
  <c r="N43" i="42"/>
  <c r="N44" i="42"/>
  <c r="N45" i="42"/>
  <c r="N46" i="42"/>
  <c r="N47" i="42"/>
  <c r="N48" i="42"/>
  <c r="N49" i="42"/>
  <c r="N50" i="42"/>
  <c r="N51" i="42"/>
  <c r="N52" i="42"/>
  <c r="N54" i="42"/>
  <c r="N55" i="42"/>
  <c r="N56" i="42"/>
  <c r="N57" i="42"/>
  <c r="N58" i="42"/>
  <c r="N59" i="42"/>
  <c r="N60" i="42"/>
  <c r="N61" i="42"/>
  <c r="N62" i="42"/>
  <c r="N63" i="42"/>
  <c r="N64" i="42"/>
  <c r="N65" i="42"/>
  <c r="N68" i="42"/>
  <c r="N69" i="42"/>
  <c r="N72" i="42"/>
  <c r="N74" i="42"/>
  <c r="N75" i="42"/>
  <c r="N76" i="42"/>
  <c r="N77" i="42"/>
  <c r="N78" i="42"/>
  <c r="N79" i="42"/>
  <c r="N80" i="42"/>
  <c r="N81" i="42"/>
  <c r="N82" i="42"/>
  <c r="N83" i="42"/>
  <c r="N84" i="42"/>
  <c r="N85" i="42"/>
  <c r="N86" i="42"/>
  <c r="N87" i="42"/>
  <c r="N88" i="42"/>
  <c r="N89" i="42"/>
  <c r="N90" i="42"/>
  <c r="N91" i="42"/>
  <c r="N92" i="42"/>
  <c r="N93" i="42"/>
  <c r="N94" i="42"/>
  <c r="N95" i="42"/>
  <c r="N96" i="42"/>
  <c r="N97" i="42"/>
  <c r="N98" i="42"/>
  <c r="N99" i="42"/>
  <c r="N100" i="42"/>
  <c r="N101" i="42"/>
  <c r="N102" i="42"/>
  <c r="N103" i="42"/>
  <c r="N104" i="42"/>
  <c r="N105" i="42"/>
  <c r="N106" i="42"/>
  <c r="N107" i="42"/>
  <c r="N108" i="42"/>
  <c r="N109" i="42"/>
  <c r="N110" i="42"/>
  <c r="N111" i="42"/>
  <c r="N112" i="42"/>
  <c r="N117" i="42"/>
  <c r="N119" i="42"/>
  <c r="N120" i="42"/>
  <c r="N121" i="42"/>
  <c r="N122" i="42"/>
  <c r="N123" i="42"/>
  <c r="N124" i="42"/>
  <c r="N125" i="42"/>
  <c r="N127" i="42"/>
  <c r="N129" i="42"/>
  <c r="N133" i="42"/>
  <c r="N134" i="42"/>
  <c r="N136" i="42"/>
  <c r="N138" i="42"/>
  <c r="N139" i="42"/>
  <c r="N141" i="42"/>
  <c r="N142" i="42"/>
  <c r="N146" i="42"/>
  <c r="N147" i="42"/>
  <c r="N149" i="42"/>
  <c r="N152" i="42"/>
  <c r="N154" i="42"/>
  <c r="N155" i="42"/>
  <c r="N157" i="42"/>
  <c r="N158" i="42"/>
  <c r="N159" i="42"/>
  <c r="N160" i="42"/>
  <c r="N161" i="42"/>
  <c r="N162" i="42"/>
  <c r="N164" i="42"/>
  <c r="N166" i="42"/>
  <c r="N167" i="42"/>
  <c r="N168" i="42"/>
  <c r="N169" i="42"/>
  <c r="N170" i="42"/>
  <c r="N4" i="42"/>
  <c r="E67" i="42"/>
  <c r="E70" i="42"/>
  <c r="E6" i="42"/>
  <c r="E8" i="42"/>
  <c r="E9" i="42"/>
  <c r="E11" i="42"/>
  <c r="E12" i="42"/>
  <c r="E15" i="42"/>
  <c r="E16" i="42"/>
  <c r="E22" i="42"/>
  <c r="E23" i="42"/>
  <c r="E24" i="42"/>
  <c r="E25" i="42"/>
  <c r="E26" i="42"/>
  <c r="E27" i="42"/>
  <c r="E28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8" i="42"/>
  <c r="E69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7" i="42"/>
  <c r="E118" i="42"/>
  <c r="E119" i="42"/>
  <c r="E120" i="42"/>
  <c r="E121" i="42"/>
  <c r="E122" i="42"/>
  <c r="E123" i="42"/>
  <c r="E124" i="42"/>
  <c r="E125" i="42"/>
  <c r="E127" i="42"/>
  <c r="E129" i="42"/>
  <c r="E131" i="42"/>
  <c r="E136" i="42"/>
  <c r="E138" i="42"/>
  <c r="E4" i="42"/>
  <c r="C4" i="25"/>
  <c r="M8" i="4"/>
  <c r="M6" i="4"/>
  <c r="D5" i="15"/>
  <c r="D15" i="15" s="1"/>
  <c r="D17" i="15" s="1"/>
  <c r="U2" i="3"/>
  <c r="B12" i="17" s="1"/>
  <c r="E4" i="15"/>
  <c r="E14" i="15" s="1"/>
  <c r="D7" i="15"/>
  <c r="D16" i="15" s="1"/>
  <c r="E7" i="15"/>
  <c r="E16" i="15" s="1"/>
  <c r="E6" i="15"/>
  <c r="E15" i="15" s="1"/>
  <c r="E17" i="15" s="1"/>
  <c r="D6" i="15"/>
  <c r="E5" i="15"/>
  <c r="D4" i="15"/>
  <c r="E3" i="15"/>
  <c r="B4" i="22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6" i="22"/>
  <c r="C106" i="22" s="1"/>
  <c r="D106" i="22" s="1"/>
  <c r="E106" i="22" s="1"/>
  <c r="F106" i="22" s="1"/>
  <c r="G106" i="22" s="1"/>
  <c r="H106" i="22" s="1"/>
  <c r="I106" i="22" s="1"/>
  <c r="J106" i="22" s="1"/>
  <c r="K106" i="22" s="1"/>
  <c r="L106" i="22" s="1"/>
  <c r="M106" i="22" s="1"/>
  <c r="N106" i="22" s="1"/>
  <c r="O106" i="22" s="1"/>
  <c r="P106" i="22" s="1"/>
  <c r="Q106" i="22" s="1"/>
  <c r="R106" i="22" s="1"/>
  <c r="S106" i="22" s="1"/>
  <c r="T106" i="22" s="1"/>
  <c r="U106" i="22" s="1"/>
  <c r="V106" i="22" s="1"/>
  <c r="W106" i="22" s="1"/>
  <c r="X106" i="22" s="1"/>
  <c r="Y106" i="22" s="1"/>
  <c r="Z106" i="22" s="1"/>
  <c r="AA106" i="22" s="1"/>
  <c r="AB106" i="22" s="1"/>
  <c r="AC106" i="22" s="1"/>
  <c r="AD106" i="22" s="1"/>
  <c r="AE106" i="22" s="1"/>
  <c r="AF106" i="22" s="1"/>
  <c r="AG106" i="22" s="1"/>
  <c r="AH106" i="22" s="1"/>
  <c r="AI106" i="22" s="1"/>
  <c r="AJ106" i="22" s="1"/>
  <c r="AK106" i="22" s="1"/>
  <c r="AL106" i="22" s="1"/>
  <c r="AM106" i="22" s="1"/>
  <c r="AN106" i="22" s="1"/>
  <c r="AO106" i="22" s="1"/>
  <c r="AP106" i="22" s="1"/>
  <c r="AQ106" i="22" s="1"/>
  <c r="AR106" i="22" s="1"/>
  <c r="AS106" i="22" s="1"/>
  <c r="AT106" i="22" s="1"/>
  <c r="AU106" i="22" s="1"/>
  <c r="AV106" i="22" s="1"/>
  <c r="AW106" i="22" s="1"/>
  <c r="AX106" i="22" s="1"/>
  <c r="AY106" i="22" s="1"/>
  <c r="AZ106" i="22" s="1"/>
  <c r="BA106" i="22" s="1"/>
  <c r="BB106" i="22" s="1"/>
  <c r="BC106" i="22" s="1"/>
  <c r="BD106" i="22" s="1"/>
  <c r="BE106" i="22" s="1"/>
  <c r="BF106" i="22" s="1"/>
  <c r="BG106" i="22" s="1"/>
  <c r="BH106" i="22" s="1"/>
  <c r="BI106" i="22" s="1"/>
  <c r="BJ106" i="22" s="1"/>
  <c r="BK106" i="22" s="1"/>
  <c r="BL106" i="22" s="1"/>
  <c r="BM106" i="22" s="1"/>
  <c r="BN106" i="22" s="1"/>
  <c r="BO106" i="22" s="1"/>
  <c r="BP106" i="22" s="1"/>
  <c r="BQ106" i="22" s="1"/>
  <c r="BR106" i="22" s="1"/>
  <c r="BS106" i="22" s="1"/>
  <c r="BT106" i="22" s="1"/>
  <c r="BU106" i="22" s="1"/>
  <c r="BV106" i="22" s="1"/>
  <c r="BW106" i="22" s="1"/>
  <c r="BX106" i="22" s="1"/>
  <c r="BY106" i="22" s="1"/>
  <c r="BZ106" i="22" s="1"/>
  <c r="CA106" i="22" s="1"/>
  <c r="CB106" i="22" s="1"/>
  <c r="CC106" i="22" s="1"/>
  <c r="CD106" i="22" s="1"/>
  <c r="CE106" i="22" s="1"/>
  <c r="CF106" i="22" s="1"/>
  <c r="CG106" i="22" s="1"/>
  <c r="CH106" i="22" s="1"/>
  <c r="CI106" i="22" s="1"/>
  <c r="CJ106" i="22" s="1"/>
  <c r="CK106" i="22" s="1"/>
  <c r="CL106" i="22" s="1"/>
  <c r="CM106" i="22" s="1"/>
  <c r="CN106" i="22" s="1"/>
  <c r="CO106" i="22" s="1"/>
  <c r="CP106" i="22" s="1"/>
  <c r="CQ106" i="22" s="1"/>
  <c r="CR106" i="22" s="1"/>
  <c r="CS106" i="22" s="1"/>
  <c r="CT106" i="22" s="1"/>
  <c r="CU106" i="22" s="1"/>
  <c r="CV106" i="22" s="1"/>
  <c r="CW106" i="22" s="1"/>
  <c r="CX106" i="22" s="1"/>
  <c r="CY106" i="22" s="1"/>
  <c r="CZ106" i="22" s="1"/>
  <c r="E105" i="22"/>
  <c r="F105" i="22" s="1"/>
  <c r="G105" i="22" s="1"/>
  <c r="H105" i="22" s="1"/>
  <c r="I105" i="22" s="1"/>
  <c r="J105" i="22" s="1"/>
  <c r="K105" i="22" s="1"/>
  <c r="L105" i="22" s="1"/>
  <c r="M105" i="22" s="1"/>
  <c r="N105" i="22" s="1"/>
  <c r="O105" i="22" s="1"/>
  <c r="P105" i="22" s="1"/>
  <c r="Q105" i="22" s="1"/>
  <c r="R105" i="22" s="1"/>
  <c r="S105" i="22" s="1"/>
  <c r="T105" i="22" s="1"/>
  <c r="U105" i="22" s="1"/>
  <c r="V105" i="22" s="1"/>
  <c r="W105" i="22" s="1"/>
  <c r="X105" i="22" s="1"/>
  <c r="Y105" i="22" s="1"/>
  <c r="Z105" i="22" s="1"/>
  <c r="AA105" i="22" s="1"/>
  <c r="AB105" i="22" s="1"/>
  <c r="AC105" i="22" s="1"/>
  <c r="AD105" i="22" s="1"/>
  <c r="AE105" i="22" s="1"/>
  <c r="AF105" i="22" s="1"/>
  <c r="AG105" i="22" s="1"/>
  <c r="AH105" i="22" s="1"/>
  <c r="AI105" i="22" s="1"/>
  <c r="AJ105" i="22" s="1"/>
  <c r="AK105" i="22" s="1"/>
  <c r="AL105" i="22" s="1"/>
  <c r="AM105" i="22" s="1"/>
  <c r="AN105" i="22" s="1"/>
  <c r="AO105" i="22" s="1"/>
  <c r="AP105" i="22" s="1"/>
  <c r="AQ105" i="22" s="1"/>
  <c r="AR105" i="22" s="1"/>
  <c r="AS105" i="22" s="1"/>
  <c r="AT105" i="22" s="1"/>
  <c r="AU105" i="22" s="1"/>
  <c r="AV105" i="22" s="1"/>
  <c r="AW105" i="22" s="1"/>
  <c r="AX105" i="22" s="1"/>
  <c r="AY105" i="22" s="1"/>
  <c r="AZ105" i="22" s="1"/>
  <c r="BA105" i="22" s="1"/>
  <c r="BB105" i="22" s="1"/>
  <c r="BC105" i="22" s="1"/>
  <c r="BD105" i="22" s="1"/>
  <c r="BE105" i="22" s="1"/>
  <c r="BF105" i="22" s="1"/>
  <c r="BG105" i="22" s="1"/>
  <c r="BH105" i="22" s="1"/>
  <c r="BI105" i="22" s="1"/>
  <c r="BJ105" i="22" s="1"/>
  <c r="BK105" i="22" s="1"/>
  <c r="BL105" i="22" s="1"/>
  <c r="BM105" i="22" s="1"/>
  <c r="BN105" i="22" s="1"/>
  <c r="BO105" i="22" s="1"/>
  <c r="BP105" i="22" s="1"/>
  <c r="BQ105" i="22" s="1"/>
  <c r="BR105" i="22" s="1"/>
  <c r="BS105" i="22" s="1"/>
  <c r="BT105" i="22" s="1"/>
  <c r="BU105" i="22" s="1"/>
  <c r="BV105" i="22" s="1"/>
  <c r="BW105" i="22" s="1"/>
  <c r="BX105" i="22" s="1"/>
  <c r="BY105" i="22" s="1"/>
  <c r="BZ105" i="22" s="1"/>
  <c r="CA105" i="22" s="1"/>
  <c r="CB105" i="22" s="1"/>
  <c r="CC105" i="22" s="1"/>
  <c r="CD105" i="22" s="1"/>
  <c r="CE105" i="22" s="1"/>
  <c r="CF105" i="22" s="1"/>
  <c r="CG105" i="22" s="1"/>
  <c r="CH105" i="22" s="1"/>
  <c r="CI105" i="22" s="1"/>
  <c r="CJ105" i="22" s="1"/>
  <c r="CK105" i="22" s="1"/>
  <c r="CL105" i="22" s="1"/>
  <c r="CM105" i="22" s="1"/>
  <c r="CN105" i="22" s="1"/>
  <c r="CO105" i="22" s="1"/>
  <c r="CP105" i="22" s="1"/>
  <c r="CQ105" i="22" s="1"/>
  <c r="CR105" i="22" s="1"/>
  <c r="CS105" i="22" s="1"/>
  <c r="CT105" i="22" s="1"/>
  <c r="CU105" i="22" s="1"/>
  <c r="CV105" i="22" s="1"/>
  <c r="CW105" i="22" s="1"/>
  <c r="CX105" i="22" s="1"/>
  <c r="CY105" i="22" s="1"/>
  <c r="CZ105" i="22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6" i="11"/>
  <c r="C106" i="11" s="1"/>
  <c r="D106" i="11" s="1"/>
  <c r="E106" i="11" s="1"/>
  <c r="F106" i="11" s="1"/>
  <c r="G106" i="11" s="1"/>
  <c r="H106" i="11" s="1"/>
  <c r="I106" i="11" s="1"/>
  <c r="J106" i="11" s="1"/>
  <c r="K106" i="11" s="1"/>
  <c r="L106" i="11" s="1"/>
  <c r="M106" i="11" s="1"/>
  <c r="N106" i="11" s="1"/>
  <c r="O106" i="11" s="1"/>
  <c r="P106" i="11" s="1"/>
  <c r="Q106" i="11" s="1"/>
  <c r="R106" i="11" s="1"/>
  <c r="S106" i="11" s="1"/>
  <c r="T106" i="11" s="1"/>
  <c r="U106" i="11" s="1"/>
  <c r="V106" i="11" s="1"/>
  <c r="W106" i="11" s="1"/>
  <c r="X106" i="11" s="1"/>
  <c r="Y106" i="11" s="1"/>
  <c r="Z106" i="11" s="1"/>
  <c r="AA106" i="11" s="1"/>
  <c r="AB106" i="11" s="1"/>
  <c r="AC106" i="11" s="1"/>
  <c r="AD106" i="11" s="1"/>
  <c r="AE106" i="11" s="1"/>
  <c r="AF106" i="11" s="1"/>
  <c r="AG106" i="11" s="1"/>
  <c r="AH106" i="11" s="1"/>
  <c r="AI106" i="11" s="1"/>
  <c r="AJ106" i="11" s="1"/>
  <c r="AK106" i="11" s="1"/>
  <c r="AL106" i="11" s="1"/>
  <c r="AM106" i="11" s="1"/>
  <c r="AN106" i="11" s="1"/>
  <c r="AO106" i="11" s="1"/>
  <c r="AP106" i="11" s="1"/>
  <c r="AQ106" i="11" s="1"/>
  <c r="AR106" i="11" s="1"/>
  <c r="AS106" i="11" s="1"/>
  <c r="AT106" i="11" s="1"/>
  <c r="AU106" i="11" s="1"/>
  <c r="AV106" i="11" s="1"/>
  <c r="AW106" i="11" s="1"/>
  <c r="AX106" i="11" s="1"/>
  <c r="AY106" i="11" s="1"/>
  <c r="AZ106" i="11" s="1"/>
  <c r="BA106" i="11" s="1"/>
  <c r="BB106" i="11" s="1"/>
  <c r="BC106" i="11" s="1"/>
  <c r="BD106" i="11" s="1"/>
  <c r="BE106" i="11" s="1"/>
  <c r="BF106" i="11" s="1"/>
  <c r="BG106" i="11" s="1"/>
  <c r="BH106" i="11" s="1"/>
  <c r="BI106" i="11" s="1"/>
  <c r="BJ106" i="11" s="1"/>
  <c r="BK106" i="11" s="1"/>
  <c r="BL106" i="11" s="1"/>
  <c r="BM106" i="11" s="1"/>
  <c r="BN106" i="11" s="1"/>
  <c r="BO106" i="11" s="1"/>
  <c r="BP106" i="11" s="1"/>
  <c r="BQ106" i="11" s="1"/>
  <c r="BR106" i="11" s="1"/>
  <c r="BS106" i="11" s="1"/>
  <c r="BT106" i="11" s="1"/>
  <c r="BU106" i="11" s="1"/>
  <c r="BV106" i="11" s="1"/>
  <c r="BW106" i="11" s="1"/>
  <c r="BX106" i="11" s="1"/>
  <c r="BY106" i="11" s="1"/>
  <c r="BZ106" i="11" s="1"/>
  <c r="CA106" i="11" s="1"/>
  <c r="CB106" i="11" s="1"/>
  <c r="CC106" i="11" s="1"/>
  <c r="CD106" i="11" s="1"/>
  <c r="CE106" i="11" s="1"/>
  <c r="CF106" i="11" s="1"/>
  <c r="CG106" i="11" s="1"/>
  <c r="CH106" i="11" s="1"/>
  <c r="CI106" i="11" s="1"/>
  <c r="CJ106" i="11" s="1"/>
  <c r="CK106" i="11" s="1"/>
  <c r="CL106" i="11" s="1"/>
  <c r="CM106" i="11" s="1"/>
  <c r="CN106" i="11" s="1"/>
  <c r="CO106" i="11" s="1"/>
  <c r="CP106" i="11" s="1"/>
  <c r="CQ106" i="11" s="1"/>
  <c r="CR106" i="11" s="1"/>
  <c r="CS106" i="11" s="1"/>
  <c r="CT106" i="11" s="1"/>
  <c r="CU106" i="11" s="1"/>
  <c r="CV106" i="11" s="1"/>
  <c r="CW106" i="11" s="1"/>
  <c r="CX106" i="11" s="1"/>
  <c r="CY106" i="11" s="1"/>
  <c r="CZ106" i="11" s="1"/>
  <c r="E105" i="11"/>
  <c r="F105" i="11" s="1"/>
  <c r="G105" i="11" s="1"/>
  <c r="H105" i="11" s="1"/>
  <c r="I105" i="11" s="1"/>
  <c r="J105" i="11" s="1"/>
  <c r="K105" i="11" s="1"/>
  <c r="L105" i="11" s="1"/>
  <c r="M105" i="11" s="1"/>
  <c r="N105" i="11" s="1"/>
  <c r="O105" i="11" s="1"/>
  <c r="P105" i="11" s="1"/>
  <c r="Q105" i="11" s="1"/>
  <c r="R105" i="11" s="1"/>
  <c r="S105" i="11" s="1"/>
  <c r="T105" i="11" s="1"/>
  <c r="U105" i="11" s="1"/>
  <c r="V105" i="11" s="1"/>
  <c r="W105" i="11" s="1"/>
  <c r="X105" i="11" s="1"/>
  <c r="Y105" i="11" s="1"/>
  <c r="Z105" i="11" s="1"/>
  <c r="AA105" i="11" s="1"/>
  <c r="AB105" i="11" s="1"/>
  <c r="AC105" i="11" s="1"/>
  <c r="AD105" i="11" s="1"/>
  <c r="AE105" i="11" s="1"/>
  <c r="AF105" i="11" s="1"/>
  <c r="AG105" i="11" s="1"/>
  <c r="AH105" i="11" s="1"/>
  <c r="AI105" i="11" s="1"/>
  <c r="AJ105" i="11" s="1"/>
  <c r="AK105" i="11" s="1"/>
  <c r="AL105" i="11" s="1"/>
  <c r="AM105" i="11" s="1"/>
  <c r="AN105" i="11" s="1"/>
  <c r="AO105" i="11" s="1"/>
  <c r="AP105" i="11" s="1"/>
  <c r="AQ105" i="11" s="1"/>
  <c r="AR105" i="11" s="1"/>
  <c r="AS105" i="11" s="1"/>
  <c r="AT105" i="11" s="1"/>
  <c r="AU105" i="11" s="1"/>
  <c r="AV105" i="11" s="1"/>
  <c r="AW105" i="11" s="1"/>
  <c r="AX105" i="11" s="1"/>
  <c r="AY105" i="11" s="1"/>
  <c r="AZ105" i="11" s="1"/>
  <c r="BA105" i="11" s="1"/>
  <c r="BB105" i="11" s="1"/>
  <c r="BC105" i="11" s="1"/>
  <c r="BD105" i="11" s="1"/>
  <c r="BE105" i="11" s="1"/>
  <c r="BF105" i="11" s="1"/>
  <c r="BG105" i="11" s="1"/>
  <c r="BH105" i="11" s="1"/>
  <c r="BI105" i="11" s="1"/>
  <c r="BJ105" i="11" s="1"/>
  <c r="BK105" i="11" s="1"/>
  <c r="BL105" i="11" s="1"/>
  <c r="BM105" i="11" s="1"/>
  <c r="BN105" i="11" s="1"/>
  <c r="BO105" i="11" s="1"/>
  <c r="BP105" i="11" s="1"/>
  <c r="BQ105" i="11" s="1"/>
  <c r="BR105" i="11" s="1"/>
  <c r="BS105" i="11" s="1"/>
  <c r="BT105" i="11" s="1"/>
  <c r="BU105" i="11" s="1"/>
  <c r="BV105" i="11" s="1"/>
  <c r="BW105" i="11" s="1"/>
  <c r="BX105" i="11" s="1"/>
  <c r="BY105" i="11" s="1"/>
  <c r="BZ105" i="11" s="1"/>
  <c r="CA105" i="11" s="1"/>
  <c r="CB105" i="11" s="1"/>
  <c r="CC105" i="11" s="1"/>
  <c r="CD105" i="11" s="1"/>
  <c r="CE105" i="11" s="1"/>
  <c r="CF105" i="11" s="1"/>
  <c r="CG105" i="11" s="1"/>
  <c r="CH105" i="11" s="1"/>
  <c r="CI105" i="11" s="1"/>
  <c r="CJ105" i="11" s="1"/>
  <c r="CK105" i="11" s="1"/>
  <c r="CL105" i="11" s="1"/>
  <c r="CM105" i="11" s="1"/>
  <c r="CN105" i="11" s="1"/>
  <c r="CO105" i="11" s="1"/>
  <c r="CP105" i="11" s="1"/>
  <c r="CQ105" i="11" s="1"/>
  <c r="CR105" i="11" s="1"/>
  <c r="CS105" i="11" s="1"/>
  <c r="CT105" i="11" s="1"/>
  <c r="CU105" i="11" s="1"/>
  <c r="CV105" i="11" s="1"/>
  <c r="CW105" i="11" s="1"/>
  <c r="CX105" i="11" s="1"/>
  <c r="CY105" i="11" s="1"/>
  <c r="CZ105" i="11" s="1"/>
  <c r="E2" i="22"/>
  <c r="F2" i="22" s="1"/>
  <c r="G2" i="22" s="1"/>
  <c r="H2" i="22" s="1"/>
  <c r="I2" i="22" s="1"/>
  <c r="J2" i="22" s="1"/>
  <c r="K2" i="22" s="1"/>
  <c r="L2" i="22" s="1"/>
  <c r="M2" i="22" s="1"/>
  <c r="N2" i="22" s="1"/>
  <c r="O2" i="22" s="1"/>
  <c r="P2" i="22" s="1"/>
  <c r="Q2" i="22" s="1"/>
  <c r="R2" i="22" s="1"/>
  <c r="S2" i="22" s="1"/>
  <c r="T2" i="22" s="1"/>
  <c r="U2" i="22" s="1"/>
  <c r="V2" i="22" s="1"/>
  <c r="W2" i="22" s="1"/>
  <c r="X2" i="22" s="1"/>
  <c r="Y2" i="22" s="1"/>
  <c r="Z2" i="22" s="1"/>
  <c r="AA2" i="22" s="1"/>
  <c r="AB2" i="22" s="1"/>
  <c r="AC2" i="22" s="1"/>
  <c r="AD2" i="22" s="1"/>
  <c r="AE2" i="22" s="1"/>
  <c r="AF2" i="22" s="1"/>
  <c r="AG2" i="22" s="1"/>
  <c r="AH2" i="22" s="1"/>
  <c r="AI2" i="22" s="1"/>
  <c r="AJ2" i="22" s="1"/>
  <c r="AK2" i="22" s="1"/>
  <c r="AL2" i="22" s="1"/>
  <c r="AM2" i="22" s="1"/>
  <c r="AN2" i="22" s="1"/>
  <c r="AO2" i="22" s="1"/>
  <c r="AP2" i="22" s="1"/>
  <c r="AQ2" i="22" s="1"/>
  <c r="AR2" i="22" s="1"/>
  <c r="AS2" i="22" s="1"/>
  <c r="AT2" i="22" s="1"/>
  <c r="AU2" i="22" s="1"/>
  <c r="AV2" i="22" s="1"/>
  <c r="AW2" i="22" s="1"/>
  <c r="AX2" i="22" s="1"/>
  <c r="AY2" i="22" s="1"/>
  <c r="AZ2" i="22" s="1"/>
  <c r="BA2" i="22" s="1"/>
  <c r="BB2" i="22" s="1"/>
  <c r="BC2" i="22" s="1"/>
  <c r="BD2" i="22" s="1"/>
  <c r="BE2" i="22" s="1"/>
  <c r="BF2" i="22" s="1"/>
  <c r="BG2" i="22" s="1"/>
  <c r="BH2" i="22" s="1"/>
  <c r="BI2" i="22" s="1"/>
  <c r="BJ2" i="22" s="1"/>
  <c r="BK2" i="22" s="1"/>
  <c r="BL2" i="22" s="1"/>
  <c r="BM2" i="22" s="1"/>
  <c r="BN2" i="22" s="1"/>
  <c r="BO2" i="22" s="1"/>
  <c r="BP2" i="22" s="1"/>
  <c r="BQ2" i="22" s="1"/>
  <c r="BR2" i="22" s="1"/>
  <c r="BS2" i="22" s="1"/>
  <c r="BT2" i="22" s="1"/>
  <c r="BU2" i="22" s="1"/>
  <c r="BV2" i="22" s="1"/>
  <c r="BW2" i="22" s="1"/>
  <c r="BX2" i="22" s="1"/>
  <c r="BY2" i="22" s="1"/>
  <c r="BZ2" i="22" s="1"/>
  <c r="CA2" i="22" s="1"/>
  <c r="CB2" i="22" s="1"/>
  <c r="CC2" i="22" s="1"/>
  <c r="CD2" i="22" s="1"/>
  <c r="CE2" i="22" s="1"/>
  <c r="CF2" i="22" s="1"/>
  <c r="CG2" i="22" s="1"/>
  <c r="CH2" i="22" s="1"/>
  <c r="CI2" i="22" s="1"/>
  <c r="CJ2" i="22" s="1"/>
  <c r="CK2" i="22" s="1"/>
  <c r="CL2" i="22" s="1"/>
  <c r="CM2" i="22" s="1"/>
  <c r="CN2" i="22" s="1"/>
  <c r="CO2" i="22" s="1"/>
  <c r="CP2" i="22" s="1"/>
  <c r="CQ2" i="22" s="1"/>
  <c r="CR2" i="22" s="1"/>
  <c r="CS2" i="22" s="1"/>
  <c r="CT2" i="22" s="1"/>
  <c r="CU2" i="22" s="1"/>
  <c r="CV2" i="22" s="1"/>
  <c r="CW2" i="22" s="1"/>
  <c r="CX2" i="22" s="1"/>
  <c r="CY2" i="22" s="1"/>
  <c r="CZ2" i="22" s="1"/>
  <c r="G9" i="39"/>
  <c r="G6" i="39"/>
  <c r="G3" i="39"/>
  <c r="M1" i="27"/>
  <c r="M2" i="26"/>
  <c r="K7" i="40"/>
  <c r="G5" i="40"/>
  <c r="C5" i="40"/>
  <c r="N1" i="40"/>
  <c r="C3" i="40"/>
  <c r="K6" i="23"/>
  <c r="X2" i="37"/>
  <c r="Q5" i="33"/>
  <c r="F197" i="33" s="1"/>
  <c r="Q6" i="33"/>
  <c r="F198" i="33" s="1"/>
  <c r="Q7" i="33"/>
  <c r="F199" i="33" s="1"/>
  <c r="Q8" i="33"/>
  <c r="F200" i="33" s="1"/>
  <c r="Q9" i="33"/>
  <c r="F201" i="33" s="1"/>
  <c r="F202" i="33"/>
  <c r="F203" i="33"/>
  <c r="F204" i="33"/>
  <c r="Q4" i="33"/>
  <c r="F196" i="33" s="1"/>
  <c r="P5" i="33"/>
  <c r="F173" i="33" s="1"/>
  <c r="P6" i="33"/>
  <c r="F174" i="33" s="1"/>
  <c r="P7" i="33"/>
  <c r="F175" i="33" s="1"/>
  <c r="P8" i="33"/>
  <c r="F176" i="33" s="1"/>
  <c r="P9" i="33"/>
  <c r="F177" i="33" s="1"/>
  <c r="F178" i="33"/>
  <c r="F179" i="33"/>
  <c r="F180" i="33"/>
  <c r="P4" i="33"/>
  <c r="F172" i="33" s="1"/>
  <c r="O5" i="33"/>
  <c r="F149" i="33" s="1"/>
  <c r="O7" i="33"/>
  <c r="F151" i="33" s="1"/>
  <c r="O8" i="33"/>
  <c r="F152" i="33" s="1"/>
  <c r="O9" i="33"/>
  <c r="F153" i="33" s="1"/>
  <c r="F154" i="33"/>
  <c r="F155" i="33"/>
  <c r="F156" i="33"/>
  <c r="O4" i="33"/>
  <c r="F148" i="33" s="1"/>
  <c r="N5" i="33"/>
  <c r="F125" i="33" s="1"/>
  <c r="N6" i="33"/>
  <c r="F126" i="33" s="1"/>
  <c r="N7" i="33"/>
  <c r="F127" i="33" s="1"/>
  <c r="N8" i="33"/>
  <c r="F128" i="33" s="1"/>
  <c r="N9" i="33"/>
  <c r="F129" i="33" s="1"/>
  <c r="F130" i="33"/>
  <c r="F131" i="33"/>
  <c r="F132" i="33"/>
  <c r="N4" i="33"/>
  <c r="F124" i="33" s="1"/>
  <c r="M5" i="33"/>
  <c r="F101" i="33" s="1"/>
  <c r="M6" i="33"/>
  <c r="F102" i="33" s="1"/>
  <c r="M7" i="33"/>
  <c r="F103" i="33" s="1"/>
  <c r="M8" i="33"/>
  <c r="F104" i="33" s="1"/>
  <c r="M9" i="33"/>
  <c r="F105" i="33" s="1"/>
  <c r="F106" i="33"/>
  <c r="F107" i="33"/>
  <c r="F108" i="33"/>
  <c r="M4" i="33"/>
  <c r="F100" i="33" s="1"/>
  <c r="L5" i="33"/>
  <c r="F77" i="33" s="1"/>
  <c r="L6" i="33"/>
  <c r="F78" i="33" s="1"/>
  <c r="L7" i="33"/>
  <c r="F79" i="33" s="1"/>
  <c r="L8" i="33"/>
  <c r="F80" i="33" s="1"/>
  <c r="L9" i="33"/>
  <c r="F81" i="33" s="1"/>
  <c r="F82" i="33"/>
  <c r="F83" i="33"/>
  <c r="F84" i="33"/>
  <c r="L4" i="33"/>
  <c r="F76" i="33" s="1"/>
  <c r="K5" i="33"/>
  <c r="F53" i="33" s="1"/>
  <c r="K6" i="33"/>
  <c r="F54" i="33" s="1"/>
  <c r="K7" i="33"/>
  <c r="F55" i="33" s="1"/>
  <c r="K8" i="33"/>
  <c r="F56" i="33" s="1"/>
  <c r="K9" i="33"/>
  <c r="F57" i="33" s="1"/>
  <c r="K4" i="33"/>
  <c r="F52" i="33" s="1"/>
  <c r="J5" i="33"/>
  <c r="F29" i="33" s="1"/>
  <c r="J6" i="33"/>
  <c r="F30" i="33" s="1"/>
  <c r="J7" i="33"/>
  <c r="F31" i="33" s="1"/>
  <c r="J8" i="33"/>
  <c r="F32" i="33" s="1"/>
  <c r="J9" i="33"/>
  <c r="F33" i="33" s="1"/>
  <c r="J4" i="33"/>
  <c r="F28" i="33" s="1"/>
  <c r="I5" i="33"/>
  <c r="F5" i="33" s="1"/>
  <c r="I6" i="33"/>
  <c r="F6" i="33" s="1"/>
  <c r="I7" i="33"/>
  <c r="F7" i="33" s="1"/>
  <c r="I8" i="33"/>
  <c r="F8" i="33" s="1"/>
  <c r="I9" i="33"/>
  <c r="F9" i="33" s="1"/>
  <c r="I4" i="33"/>
  <c r="F4" i="33" s="1"/>
  <c r="C15" i="26"/>
  <c r="B6" i="14"/>
  <c r="C6" i="14" s="1"/>
  <c r="D6" i="14" s="1"/>
  <c r="E6" i="14" s="1"/>
  <c r="F6" i="14" s="1"/>
  <c r="G6" i="14" s="1"/>
  <c r="H6" i="14" s="1"/>
  <c r="B16" i="7"/>
  <c r="C16" i="7" s="1"/>
  <c r="D16" i="7" s="1"/>
  <c r="E16" i="7" s="1"/>
  <c r="F16" i="7" s="1"/>
  <c r="G16" i="7" s="1"/>
  <c r="G2" i="14"/>
  <c r="E13" i="16"/>
  <c r="F13" i="16"/>
  <c r="E2" i="14"/>
  <c r="B13" i="21"/>
  <c r="C13" i="21" s="1"/>
  <c r="D13" i="21" s="1"/>
  <c r="E13" i="21" s="1"/>
  <c r="F13" i="21" s="1"/>
  <c r="E9" i="16"/>
  <c r="F9" i="16"/>
  <c r="G3" i="14"/>
  <c r="G4" i="14"/>
  <c r="A11" i="18"/>
  <c r="B11" i="18" s="1"/>
  <c r="H2" i="14"/>
  <c r="F2" i="14"/>
  <c r="F5" i="16"/>
  <c r="E5" i="16"/>
  <c r="E6" i="16"/>
  <c r="E8" i="16"/>
  <c r="E12" i="16"/>
  <c r="F6" i="16"/>
  <c r="F8" i="16"/>
  <c r="F12" i="16"/>
  <c r="F3" i="16"/>
  <c r="F4" i="16"/>
  <c r="F7" i="16"/>
  <c r="F10" i="16"/>
  <c r="F11" i="16"/>
  <c r="F14" i="16"/>
  <c r="E4" i="16"/>
  <c r="E7" i="16"/>
  <c r="E10" i="16"/>
  <c r="E11" i="16"/>
  <c r="E14" i="16"/>
  <c r="E3" i="16"/>
  <c r="H4" i="14"/>
  <c r="F4" i="14"/>
  <c r="E4" i="14"/>
  <c r="H3" i="14"/>
  <c r="F3" i="14"/>
  <c r="E3" i="14"/>
  <c r="T2" i="3"/>
  <c r="P2" i="3"/>
  <c r="C23" i="2"/>
  <c r="AI103" i="10"/>
  <c r="AI87" i="10" s="1"/>
  <c r="CN103" i="10"/>
  <c r="CO103" i="10"/>
  <c r="CO100" i="10" s="1"/>
  <c r="CP103" i="10"/>
  <c r="CP97" i="10" s="1"/>
  <c r="G103" i="10"/>
  <c r="G34" i="10" s="1"/>
  <c r="H103" i="10"/>
  <c r="I103" i="10"/>
  <c r="I50" i="10" s="1"/>
  <c r="J103" i="10"/>
  <c r="K103" i="10"/>
  <c r="K56" i="10" s="1"/>
  <c r="L103" i="10"/>
  <c r="M103" i="10"/>
  <c r="N103" i="10"/>
  <c r="O103" i="10"/>
  <c r="O60" i="10" s="1"/>
  <c r="P103" i="10"/>
  <c r="Q103" i="10"/>
  <c r="Q17" i="10" s="1"/>
  <c r="R103" i="10"/>
  <c r="S103" i="10"/>
  <c r="S36" i="10" s="1"/>
  <c r="T103" i="10"/>
  <c r="U103" i="10"/>
  <c r="V103" i="10"/>
  <c r="W103" i="10"/>
  <c r="X103" i="10"/>
  <c r="X73" i="10" s="1"/>
  <c r="Y103" i="10"/>
  <c r="Y43" i="10" s="1"/>
  <c r="Z103" i="10"/>
  <c r="AA103" i="10"/>
  <c r="AA52" i="10" s="1"/>
  <c r="AB103" i="10"/>
  <c r="AC103" i="10"/>
  <c r="AD103" i="10"/>
  <c r="AE103" i="10"/>
  <c r="AF103" i="10"/>
  <c r="AG103" i="10"/>
  <c r="AH103" i="10"/>
  <c r="AF34" i="10"/>
  <c r="AH35" i="10"/>
  <c r="AJ103" i="10"/>
  <c r="U36" i="10"/>
  <c r="AK103" i="10"/>
  <c r="AK40" i="10" s="1"/>
  <c r="AL103" i="10"/>
  <c r="AL45" i="10" s="1"/>
  <c r="AM103" i="10"/>
  <c r="AM73" i="10" s="1"/>
  <c r="AN103" i="10"/>
  <c r="V40" i="10"/>
  <c r="AO103" i="10"/>
  <c r="AP103" i="10"/>
  <c r="AQ103" i="10"/>
  <c r="AR103" i="10"/>
  <c r="AR49" i="10" s="1"/>
  <c r="AS103" i="10"/>
  <c r="Q45" i="10"/>
  <c r="AC45" i="10"/>
  <c r="AT103" i="10"/>
  <c r="V46" i="10"/>
  <c r="AH46" i="10"/>
  <c r="AU103" i="10"/>
  <c r="AU74" i="10" s="1"/>
  <c r="AV103" i="10"/>
  <c r="G47" i="10"/>
  <c r="Q47" i="10"/>
  <c r="W47" i="10"/>
  <c r="Q48" i="10"/>
  <c r="U48" i="10"/>
  <c r="V48" i="10"/>
  <c r="AW103" i="10"/>
  <c r="AW51" i="10" s="1"/>
  <c r="K49" i="10"/>
  <c r="Q49" i="10"/>
  <c r="AC49" i="10"/>
  <c r="AJ49" i="10"/>
  <c r="AX103" i="10"/>
  <c r="Q50" i="10"/>
  <c r="U50" i="10"/>
  <c r="V50" i="10"/>
  <c r="Y50" i="10"/>
  <c r="AH50" i="10"/>
  <c r="AY103" i="10"/>
  <c r="O51" i="10"/>
  <c r="Q51" i="10"/>
  <c r="V51" i="10"/>
  <c r="Y51" i="10"/>
  <c r="AV51" i="10"/>
  <c r="AZ103" i="10"/>
  <c r="N52" i="10"/>
  <c r="Q52" i="10"/>
  <c r="S52" i="10"/>
  <c r="V52" i="10"/>
  <c r="X52" i="10"/>
  <c r="Y52" i="10"/>
  <c r="AE52" i="10"/>
  <c r="BA103" i="10"/>
  <c r="K53" i="10"/>
  <c r="Q53" i="10"/>
  <c r="S53" i="10"/>
  <c r="V53" i="10"/>
  <c r="AH53" i="10"/>
  <c r="AK53" i="10"/>
  <c r="AV53" i="10"/>
  <c r="BB103" i="10"/>
  <c r="Q54" i="10"/>
  <c r="S54" i="10"/>
  <c r="U54" i="10"/>
  <c r="V54" i="10"/>
  <c r="W54" i="10"/>
  <c r="AH54" i="10"/>
  <c r="AK54" i="10"/>
  <c r="AZ54" i="10"/>
  <c r="BC103" i="10"/>
  <c r="Q55" i="10"/>
  <c r="U55" i="10"/>
  <c r="V55" i="10"/>
  <c r="Y55" i="10"/>
  <c r="AJ55" i="10"/>
  <c r="AK55" i="10"/>
  <c r="AR55" i="10"/>
  <c r="BD103" i="10"/>
  <c r="Q56" i="10"/>
  <c r="V56" i="10"/>
  <c r="W56" i="10"/>
  <c r="AJ56" i="10"/>
  <c r="AV56" i="10"/>
  <c r="BE103" i="10"/>
  <c r="BE56" i="10" s="1"/>
  <c r="G57" i="10"/>
  <c r="I57" i="10"/>
  <c r="Q57" i="10"/>
  <c r="S57" i="10"/>
  <c r="V57" i="10"/>
  <c r="AA57" i="10"/>
  <c r="AH57" i="10"/>
  <c r="AR57" i="10"/>
  <c r="AT57" i="10"/>
  <c r="AW57" i="10"/>
  <c r="BF103" i="10"/>
  <c r="BF61" i="10" s="1"/>
  <c r="O58" i="10"/>
  <c r="Q58" i="10"/>
  <c r="T58" i="10"/>
  <c r="V58" i="10"/>
  <c r="W58" i="10"/>
  <c r="AD58" i="10"/>
  <c r="AH58" i="10"/>
  <c r="BG103" i="10"/>
  <c r="J59" i="10"/>
  <c r="Q59" i="10"/>
  <c r="T59" i="10"/>
  <c r="V59" i="10"/>
  <c r="Y59" i="10"/>
  <c r="AD59" i="10"/>
  <c r="AE59" i="10"/>
  <c r="AG59" i="10"/>
  <c r="AH59" i="10"/>
  <c r="AN59" i="10"/>
  <c r="AQ59" i="10"/>
  <c r="AV59" i="10"/>
  <c r="AW59" i="10"/>
  <c r="BF59" i="10"/>
  <c r="BH103" i="10"/>
  <c r="Q60" i="10"/>
  <c r="S60" i="10"/>
  <c r="V60" i="10"/>
  <c r="Y60" i="10"/>
  <c r="AC60" i="10"/>
  <c r="AD60" i="10"/>
  <c r="AH60" i="10"/>
  <c r="AJ60" i="10"/>
  <c r="AN60" i="10"/>
  <c r="AV60" i="10"/>
  <c r="AW60" i="10"/>
  <c r="AZ60" i="10"/>
  <c r="BE60" i="10"/>
  <c r="BI103" i="10"/>
  <c r="P61" i="10"/>
  <c r="Q61" i="10"/>
  <c r="R61" i="10"/>
  <c r="S61" i="10"/>
  <c r="T61" i="10"/>
  <c r="V61" i="10"/>
  <c r="Y61" i="10"/>
  <c r="AD61" i="10"/>
  <c r="AE61" i="10"/>
  <c r="AH61" i="10"/>
  <c r="AO61" i="10"/>
  <c r="AT61" i="10"/>
  <c r="AV61" i="10"/>
  <c r="BI61" i="10"/>
  <c r="BJ103" i="10"/>
  <c r="BJ61" i="10" s="1"/>
  <c r="Q62" i="10"/>
  <c r="S62" i="10"/>
  <c r="V62" i="10"/>
  <c r="W62" i="10"/>
  <c r="Y62" i="10"/>
  <c r="AC62" i="10"/>
  <c r="AG62" i="10"/>
  <c r="AH62" i="10"/>
  <c r="AK62" i="10"/>
  <c r="AV62" i="10"/>
  <c r="AW62" i="10"/>
  <c r="BA62" i="10"/>
  <c r="BF62" i="10"/>
  <c r="BK103" i="10"/>
  <c r="Q63" i="10"/>
  <c r="S63" i="10"/>
  <c r="U63" i="10"/>
  <c r="V63" i="10"/>
  <c r="W63" i="10"/>
  <c r="Y63" i="10"/>
  <c r="AA63" i="10"/>
  <c r="AD63" i="10"/>
  <c r="AG63" i="10"/>
  <c r="AH63" i="10"/>
  <c r="AL63" i="10"/>
  <c r="AN63" i="10"/>
  <c r="AR63" i="10"/>
  <c r="AV63" i="10"/>
  <c r="AW63" i="10"/>
  <c r="BE63" i="10"/>
  <c r="BJ63" i="10"/>
  <c r="BL103" i="10"/>
  <c r="G64" i="10"/>
  <c r="Q64" i="10"/>
  <c r="S64" i="10"/>
  <c r="V64" i="10"/>
  <c r="Y64" i="10"/>
  <c r="AD64" i="10"/>
  <c r="AH64" i="10"/>
  <c r="AL64" i="10"/>
  <c r="AN64" i="10"/>
  <c r="AQ64" i="10"/>
  <c r="AT64" i="10"/>
  <c r="AV64" i="10"/>
  <c r="BB64" i="10"/>
  <c r="BJ64" i="10"/>
  <c r="BM103" i="10"/>
  <c r="Q65" i="10"/>
  <c r="S65" i="10"/>
  <c r="U65" i="10"/>
  <c r="V65" i="10"/>
  <c r="W65" i="10"/>
  <c r="Y65" i="10"/>
  <c r="AD65" i="10"/>
  <c r="AF65" i="10"/>
  <c r="AG65" i="10"/>
  <c r="AH65" i="10"/>
  <c r="AJ65" i="10"/>
  <c r="AK65" i="10"/>
  <c r="AN65" i="10"/>
  <c r="AP65" i="10"/>
  <c r="AR65" i="10"/>
  <c r="AV65" i="10"/>
  <c r="BE65" i="10"/>
  <c r="BN103" i="10"/>
  <c r="BN72" i="10" s="1"/>
  <c r="G66" i="10"/>
  <c r="I66" i="10"/>
  <c r="K66" i="10"/>
  <c r="M66" i="10"/>
  <c r="O66" i="10"/>
  <c r="Q66" i="10"/>
  <c r="S66" i="10"/>
  <c r="V66" i="10"/>
  <c r="Y66" i="10"/>
  <c r="AC66" i="10"/>
  <c r="AD66" i="10"/>
  <c r="AG66" i="10"/>
  <c r="AH66" i="10"/>
  <c r="AN66" i="10"/>
  <c r="AP66" i="10"/>
  <c r="AR66" i="10"/>
  <c r="AV66" i="10"/>
  <c r="BH66" i="10"/>
  <c r="BO103" i="10"/>
  <c r="BO72" i="10" s="1"/>
  <c r="G67" i="10"/>
  <c r="I67" i="10"/>
  <c r="K67" i="10"/>
  <c r="M67" i="10"/>
  <c r="O67" i="10"/>
  <c r="Q67" i="10"/>
  <c r="S67" i="10"/>
  <c r="V67" i="10"/>
  <c r="Y67" i="10"/>
  <c r="AA67" i="10"/>
  <c r="AC67" i="10"/>
  <c r="AD67" i="10"/>
  <c r="AH67" i="10"/>
  <c r="AK67" i="10"/>
  <c r="AM67" i="10"/>
  <c r="AN67" i="10"/>
  <c r="AO67" i="10"/>
  <c r="AR67" i="10"/>
  <c r="AV67" i="10"/>
  <c r="AW67" i="10"/>
  <c r="BC67" i="10"/>
  <c r="BE67" i="10"/>
  <c r="BK67" i="10"/>
  <c r="BP103" i="10"/>
  <c r="H68" i="10"/>
  <c r="Q68" i="10"/>
  <c r="S68" i="10"/>
  <c r="U68" i="10"/>
  <c r="V68" i="10"/>
  <c r="W68" i="10"/>
  <c r="Y68" i="10"/>
  <c r="AC68" i="10"/>
  <c r="AD68" i="10"/>
  <c r="AH68" i="10"/>
  <c r="AN68" i="10"/>
  <c r="AP68" i="10"/>
  <c r="AV68" i="10"/>
  <c r="AW68" i="10"/>
  <c r="BF68" i="10"/>
  <c r="BQ103" i="10"/>
  <c r="BQ82" i="10" s="1"/>
  <c r="L69" i="10"/>
  <c r="Q69" i="10"/>
  <c r="S69" i="10"/>
  <c r="V69" i="10"/>
  <c r="Y69" i="10"/>
  <c r="AC69" i="10"/>
  <c r="AD69" i="10"/>
  <c r="AG69" i="10"/>
  <c r="AH69" i="10"/>
  <c r="AJ69" i="10"/>
  <c r="AN69" i="10"/>
  <c r="AP69" i="10"/>
  <c r="AV69" i="10"/>
  <c r="AW69" i="10"/>
  <c r="BA69" i="10"/>
  <c r="BR103" i="10"/>
  <c r="G70" i="10"/>
  <c r="I70" i="10"/>
  <c r="K70" i="10"/>
  <c r="M70" i="10"/>
  <c r="O70" i="10"/>
  <c r="Q70" i="10"/>
  <c r="S70" i="10"/>
  <c r="V70" i="10"/>
  <c r="X70" i="10"/>
  <c r="Y70" i="10"/>
  <c r="AC70" i="10"/>
  <c r="AD70" i="10"/>
  <c r="AF70" i="10"/>
  <c r="AG70" i="10"/>
  <c r="AH70" i="10"/>
  <c r="AJ70" i="10"/>
  <c r="AL70" i="10"/>
  <c r="AN70" i="10"/>
  <c r="AP70" i="10"/>
  <c r="AV70" i="10"/>
  <c r="AW70" i="10"/>
  <c r="AZ70" i="10"/>
  <c r="BI70" i="10"/>
  <c r="BP70" i="10"/>
  <c r="BS103" i="10"/>
  <c r="G71" i="10"/>
  <c r="I71" i="10"/>
  <c r="K71" i="10"/>
  <c r="M71" i="10"/>
  <c r="O71" i="10"/>
  <c r="Q71" i="10"/>
  <c r="S71" i="10"/>
  <c r="V71" i="10"/>
  <c r="Y71" i="10"/>
  <c r="AC71" i="10"/>
  <c r="AD71" i="10"/>
  <c r="AH71" i="10"/>
  <c r="AJ71" i="10"/>
  <c r="AK71" i="10"/>
  <c r="AL71" i="10"/>
  <c r="AN71" i="10"/>
  <c r="AP71" i="10"/>
  <c r="AR71" i="10"/>
  <c r="AV71" i="10"/>
  <c r="AW71" i="10"/>
  <c r="AY71" i="10"/>
  <c r="BA71" i="10"/>
  <c r="BB71" i="10"/>
  <c r="BH71" i="10"/>
  <c r="BT103" i="10"/>
  <c r="H72" i="10"/>
  <c r="Q72" i="10"/>
  <c r="S72" i="10"/>
  <c r="V72" i="10"/>
  <c r="Y72" i="10"/>
  <c r="AC72" i="10"/>
  <c r="AD72" i="10"/>
  <c r="AH72" i="10"/>
  <c r="AL72" i="10"/>
  <c r="AN72" i="10"/>
  <c r="AV72" i="10"/>
  <c r="AW72" i="10"/>
  <c r="AZ72" i="10"/>
  <c r="BE72" i="10"/>
  <c r="BU103" i="10"/>
  <c r="O73" i="10"/>
  <c r="Q73" i="10"/>
  <c r="R73" i="10"/>
  <c r="S73" i="10"/>
  <c r="T73" i="10"/>
  <c r="U73" i="10"/>
  <c r="V73" i="10"/>
  <c r="W73" i="10"/>
  <c r="Y73" i="10"/>
  <c r="AA73" i="10"/>
  <c r="AC73" i="10"/>
  <c r="AD73" i="10"/>
  <c r="AF73" i="10"/>
  <c r="AH73" i="10"/>
  <c r="AI73" i="10"/>
  <c r="AK73" i="10"/>
  <c r="AL73" i="10"/>
  <c r="AN73" i="10"/>
  <c r="AS73" i="10"/>
  <c r="AU73" i="10"/>
  <c r="AV73" i="10"/>
  <c r="AW73" i="10"/>
  <c r="BE73" i="10"/>
  <c r="BG73" i="10"/>
  <c r="BJ73" i="10"/>
  <c r="BT73" i="10"/>
  <c r="BV103" i="10"/>
  <c r="Q74" i="10"/>
  <c r="S74" i="10"/>
  <c r="U74" i="10"/>
  <c r="V74" i="10"/>
  <c r="W74" i="10"/>
  <c r="Y74" i="10"/>
  <c r="AA74" i="10"/>
  <c r="AC74" i="10"/>
  <c r="AD74" i="10"/>
  <c r="AF74" i="10"/>
  <c r="AH74" i="10"/>
  <c r="AI74" i="10"/>
  <c r="AN74" i="10"/>
  <c r="AP74" i="10"/>
  <c r="AV74" i="10"/>
  <c r="AW74" i="10"/>
  <c r="BE74" i="10"/>
  <c r="BI74" i="10"/>
  <c r="BJ74" i="10"/>
  <c r="BW103" i="10"/>
  <c r="Q75" i="10"/>
  <c r="S75" i="10"/>
  <c r="V75" i="10"/>
  <c r="X75" i="10"/>
  <c r="Y75" i="10"/>
  <c r="AC75" i="10"/>
  <c r="AD75" i="10"/>
  <c r="AH75" i="10"/>
  <c r="AJ75" i="10"/>
  <c r="AM75" i="10"/>
  <c r="AN75" i="10"/>
  <c r="AP75" i="10"/>
  <c r="AV75" i="10"/>
  <c r="AW75" i="10"/>
  <c r="BA75" i="10"/>
  <c r="BX103" i="10"/>
  <c r="Q76" i="10"/>
  <c r="S76" i="10"/>
  <c r="U76" i="10"/>
  <c r="V76" i="10"/>
  <c r="W76" i="10"/>
  <c r="Y76" i="10"/>
  <c r="AB76" i="10"/>
  <c r="AC76" i="10"/>
  <c r="AD76" i="10"/>
  <c r="AF76" i="10"/>
  <c r="AG76" i="10"/>
  <c r="AH76" i="10"/>
  <c r="AN76" i="10"/>
  <c r="AP76" i="10"/>
  <c r="AR76" i="10"/>
  <c r="AT76" i="10"/>
  <c r="AV76" i="10"/>
  <c r="BE76" i="10"/>
  <c r="BJ76" i="10"/>
  <c r="BP76" i="10"/>
  <c r="BY103" i="10"/>
  <c r="BY88" i="10" s="1"/>
  <c r="O77" i="10"/>
  <c r="Q77" i="10"/>
  <c r="S77" i="10"/>
  <c r="U77" i="10"/>
  <c r="V77" i="10"/>
  <c r="W77" i="10"/>
  <c r="Y77" i="10"/>
  <c r="AC77" i="10"/>
  <c r="AD77" i="10"/>
  <c r="AG77" i="10"/>
  <c r="AH77" i="10"/>
  <c r="AN77" i="10"/>
  <c r="AR77" i="10"/>
  <c r="AV77" i="10"/>
  <c r="AZ77" i="10"/>
  <c r="BE77" i="10"/>
  <c r="BJ77" i="10"/>
  <c r="BZ103" i="10"/>
  <c r="N78" i="10"/>
  <c r="Q78" i="10"/>
  <c r="S78" i="10"/>
  <c r="V78" i="10"/>
  <c r="Y78" i="10"/>
  <c r="AC78" i="10"/>
  <c r="AD78" i="10"/>
  <c r="AF78" i="10"/>
  <c r="AH78" i="10"/>
  <c r="AI78" i="10"/>
  <c r="AN78" i="10"/>
  <c r="AP78" i="10"/>
  <c r="AV78" i="10"/>
  <c r="AW78" i="10"/>
  <c r="BA78" i="10"/>
  <c r="BE78" i="10"/>
  <c r="BL78" i="10"/>
  <c r="CA103" i="10"/>
  <c r="CA92" i="10" s="1"/>
  <c r="J79" i="10"/>
  <c r="Q79" i="10"/>
  <c r="S79" i="10"/>
  <c r="U79" i="10"/>
  <c r="V79" i="10"/>
  <c r="W79" i="10"/>
  <c r="Y79" i="10"/>
  <c r="AC79" i="10"/>
  <c r="AD79" i="10"/>
  <c r="AG79" i="10"/>
  <c r="AH79" i="10"/>
  <c r="AJ79" i="10"/>
  <c r="AN79" i="10"/>
  <c r="AP79" i="10"/>
  <c r="AR79" i="10"/>
  <c r="AT79" i="10"/>
  <c r="AV79" i="10"/>
  <c r="AW79" i="10"/>
  <c r="BE79" i="10"/>
  <c r="BJ79" i="10"/>
  <c r="BK79" i="10"/>
  <c r="CB103" i="10"/>
  <c r="CB82" i="10" s="1"/>
  <c r="Q80" i="10"/>
  <c r="S80" i="10"/>
  <c r="U80" i="10"/>
  <c r="V80" i="10"/>
  <c r="W80" i="10"/>
  <c r="Y80" i="10"/>
  <c r="AB80" i="10"/>
  <c r="AC80" i="10"/>
  <c r="AD80" i="10"/>
  <c r="AF80" i="10"/>
  <c r="AG80" i="10"/>
  <c r="AH80" i="10"/>
  <c r="AL80" i="10"/>
  <c r="AN80" i="10"/>
  <c r="AR80" i="10"/>
  <c r="AV80" i="10"/>
  <c r="AW80" i="10"/>
  <c r="AZ80" i="10"/>
  <c r="BB80" i="10"/>
  <c r="BE80" i="10"/>
  <c r="BG80" i="10"/>
  <c r="BJ80" i="10"/>
  <c r="BT80" i="10"/>
  <c r="CC103" i="10"/>
  <c r="CC92" i="10" s="1"/>
  <c r="G81" i="10"/>
  <c r="I81" i="10"/>
  <c r="K81" i="10"/>
  <c r="M81" i="10"/>
  <c r="O81" i="10"/>
  <c r="Q81" i="10"/>
  <c r="S81" i="10"/>
  <c r="U81" i="10"/>
  <c r="V81" i="10"/>
  <c r="W81" i="10"/>
  <c r="X81" i="10"/>
  <c r="Y81" i="10"/>
  <c r="AC81" i="10"/>
  <c r="AD81" i="10"/>
  <c r="AG81" i="10"/>
  <c r="AH81" i="10"/>
  <c r="AJ81" i="10"/>
  <c r="AL81" i="10"/>
  <c r="AN81" i="10"/>
  <c r="AR81" i="10"/>
  <c r="AV81" i="10"/>
  <c r="AW81" i="10"/>
  <c r="BC81" i="10"/>
  <c r="BE81" i="10"/>
  <c r="BH81" i="10"/>
  <c r="BP81" i="10"/>
  <c r="CC81" i="10"/>
  <c r="CD103" i="10"/>
  <c r="CD88" i="10" s="1"/>
  <c r="G82" i="10"/>
  <c r="I82" i="10"/>
  <c r="K82" i="10"/>
  <c r="M82" i="10"/>
  <c r="O82" i="10"/>
  <c r="Q82" i="10"/>
  <c r="S82" i="10"/>
  <c r="U82" i="10"/>
  <c r="V82" i="10"/>
  <c r="W82" i="10"/>
  <c r="X82" i="10"/>
  <c r="Y82" i="10"/>
  <c r="AC82" i="10"/>
  <c r="AD82" i="10"/>
  <c r="AF82" i="10"/>
  <c r="AG82" i="10"/>
  <c r="AH82" i="10"/>
  <c r="AJ82" i="10"/>
  <c r="AL82" i="10"/>
  <c r="AN82" i="10"/>
  <c r="AP82" i="10"/>
  <c r="AR82" i="10"/>
  <c r="AV82" i="10"/>
  <c r="AW82" i="10"/>
  <c r="AZ82" i="10"/>
  <c r="BB82" i="10"/>
  <c r="BC82" i="10"/>
  <c r="BF82" i="10"/>
  <c r="BN82" i="10"/>
  <c r="BT82" i="10"/>
  <c r="CE103" i="10"/>
  <c r="Q83" i="10"/>
  <c r="S83" i="10"/>
  <c r="U83" i="10"/>
  <c r="V83" i="10"/>
  <c r="W83" i="10"/>
  <c r="Y83" i="10"/>
  <c r="AC83" i="10"/>
  <c r="AD83" i="10"/>
  <c r="AE83" i="10"/>
  <c r="AG83" i="10"/>
  <c r="AH83" i="10"/>
  <c r="AJ83" i="10"/>
  <c r="AL83" i="10"/>
  <c r="AN83" i="10"/>
  <c r="AO83" i="10"/>
  <c r="AP83" i="10"/>
  <c r="AR83" i="10"/>
  <c r="AT83" i="10"/>
  <c r="AV83" i="10"/>
  <c r="AW83" i="10"/>
  <c r="AZ83" i="10"/>
  <c r="BA83" i="10"/>
  <c r="BC83" i="10"/>
  <c r="BE83" i="10"/>
  <c r="BH83" i="10"/>
  <c r="CF103" i="10"/>
  <c r="G84" i="10"/>
  <c r="I84" i="10"/>
  <c r="K84" i="10"/>
  <c r="M84" i="10"/>
  <c r="O84" i="10"/>
  <c r="Q84" i="10"/>
  <c r="S84" i="10"/>
  <c r="U84" i="10"/>
  <c r="V84" i="10"/>
  <c r="W84" i="10"/>
  <c r="Y84" i="10"/>
  <c r="AA84" i="10"/>
  <c r="AC84" i="10"/>
  <c r="AD84" i="10"/>
  <c r="AG84" i="10"/>
  <c r="AH84" i="10"/>
  <c r="AJ84" i="10"/>
  <c r="AL84" i="10"/>
  <c r="AN84" i="10"/>
  <c r="AO84" i="10"/>
  <c r="AP84" i="10"/>
  <c r="AR84" i="10"/>
  <c r="AV84" i="10"/>
  <c r="AW84" i="10"/>
  <c r="BA84" i="10"/>
  <c r="BC84" i="10"/>
  <c r="BE84" i="10"/>
  <c r="BK84" i="10"/>
  <c r="BQ84" i="10"/>
  <c r="CG103" i="10"/>
  <c r="CG87" i="10" s="1"/>
  <c r="P85" i="10"/>
  <c r="Q85" i="10"/>
  <c r="R85" i="10"/>
  <c r="S85" i="10"/>
  <c r="T85" i="10"/>
  <c r="U85" i="10"/>
  <c r="V85" i="10"/>
  <c r="W85" i="10"/>
  <c r="Y85" i="10"/>
  <c r="AC85" i="10"/>
  <c r="AD85" i="10"/>
  <c r="AG85" i="10"/>
  <c r="AH85" i="10"/>
  <c r="AL85" i="10"/>
  <c r="AN85" i="10"/>
  <c r="AP85" i="10"/>
  <c r="AR85" i="10"/>
  <c r="AS85" i="10"/>
  <c r="AU85" i="10"/>
  <c r="AV85" i="10"/>
  <c r="AW85" i="10"/>
  <c r="AY85" i="10"/>
  <c r="BA85" i="10"/>
  <c r="BB85" i="10"/>
  <c r="BC85" i="10"/>
  <c r="BF85" i="10"/>
  <c r="BL85" i="10"/>
  <c r="BQ85" i="10"/>
  <c r="CH103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Y86" i="10"/>
  <c r="AA86" i="10"/>
  <c r="AB86" i="10"/>
  <c r="AC86" i="10"/>
  <c r="AD86" i="10"/>
  <c r="AF86" i="10"/>
  <c r="AG86" i="10"/>
  <c r="AH86" i="10"/>
  <c r="AI86" i="10"/>
  <c r="AK86" i="10"/>
  <c r="AL86" i="10"/>
  <c r="AM86" i="10"/>
  <c r="AN86" i="10"/>
  <c r="AP86" i="10"/>
  <c r="AR86" i="10"/>
  <c r="AS86" i="10"/>
  <c r="AT86" i="10"/>
  <c r="AV86" i="10"/>
  <c r="AW86" i="10"/>
  <c r="AZ86" i="10"/>
  <c r="BB86" i="10"/>
  <c r="BC86" i="10"/>
  <c r="BD86" i="10"/>
  <c r="BF86" i="10"/>
  <c r="BH86" i="10"/>
  <c r="BO86" i="10"/>
  <c r="BS86" i="10"/>
  <c r="CB86" i="10"/>
  <c r="CI103" i="10"/>
  <c r="CI99" i="10" s="1"/>
  <c r="L87" i="10"/>
  <c r="Q87" i="10"/>
  <c r="S87" i="10"/>
  <c r="U87" i="10"/>
  <c r="V87" i="10"/>
  <c r="W87" i="10"/>
  <c r="Y87" i="10"/>
  <c r="AA87" i="10"/>
  <c r="AC87" i="10"/>
  <c r="AD87" i="10"/>
  <c r="AF87" i="10"/>
  <c r="AG87" i="10"/>
  <c r="AH87" i="10"/>
  <c r="AJ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Z87" i="10"/>
  <c r="BA87" i="10"/>
  <c r="BC87" i="10"/>
  <c r="BE87" i="10"/>
  <c r="BH87" i="10"/>
  <c r="BM87" i="10"/>
  <c r="BT87" i="10"/>
  <c r="CC87" i="10"/>
  <c r="CJ103" i="10"/>
  <c r="G88" i="10"/>
  <c r="I88" i="10"/>
  <c r="K88" i="10"/>
  <c r="M88" i="10"/>
  <c r="O88" i="10"/>
  <c r="Q88" i="10"/>
  <c r="S88" i="10"/>
  <c r="U88" i="10"/>
  <c r="V88" i="10"/>
  <c r="W88" i="10"/>
  <c r="Y88" i="10"/>
  <c r="AA88" i="10"/>
  <c r="AC88" i="10"/>
  <c r="AD88" i="10"/>
  <c r="AE88" i="10"/>
  <c r="AF88" i="10"/>
  <c r="AG88" i="10"/>
  <c r="AH88" i="10"/>
  <c r="AL88" i="10"/>
  <c r="AN88" i="10"/>
  <c r="AO88" i="10"/>
  <c r="AP88" i="10"/>
  <c r="AQ88" i="10"/>
  <c r="AR88" i="10"/>
  <c r="AS88" i="10"/>
  <c r="AV88" i="10"/>
  <c r="AW88" i="10"/>
  <c r="AZ88" i="10"/>
  <c r="BC88" i="10"/>
  <c r="BE88" i="10"/>
  <c r="BK88" i="10"/>
  <c r="BL88" i="10"/>
  <c r="BO88" i="10"/>
  <c r="CK103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F89" i="10"/>
  <c r="AG89" i="10"/>
  <c r="AH89" i="10"/>
  <c r="AL89" i="10"/>
  <c r="AN89" i="10"/>
  <c r="AO89" i="10"/>
  <c r="AP89" i="10"/>
  <c r="AQ89" i="10"/>
  <c r="AR89" i="10"/>
  <c r="AS89" i="10"/>
  <c r="AT89" i="10"/>
  <c r="AV89" i="10"/>
  <c r="AW89" i="10"/>
  <c r="AZ89" i="10"/>
  <c r="BA89" i="10"/>
  <c r="BC89" i="10"/>
  <c r="BF89" i="10"/>
  <c r="BG89" i="10"/>
  <c r="BJ89" i="10"/>
  <c r="BO89" i="10"/>
  <c r="CL103" i="10"/>
  <c r="N90" i="10"/>
  <c r="Q90" i="10"/>
  <c r="S90" i="10"/>
  <c r="U90" i="10"/>
  <c r="V90" i="10"/>
  <c r="W90" i="10"/>
  <c r="Y90" i="10"/>
  <c r="AA90" i="10"/>
  <c r="AC90" i="10"/>
  <c r="AD90" i="10"/>
  <c r="AE90" i="10"/>
  <c r="AF90" i="10"/>
  <c r="AG90" i="10"/>
  <c r="AH90" i="10"/>
  <c r="AJ90" i="10"/>
  <c r="AK90" i="10"/>
  <c r="AL90" i="10"/>
  <c r="AN90" i="10"/>
  <c r="AO90" i="10"/>
  <c r="AP90" i="10"/>
  <c r="AQ90" i="10"/>
  <c r="AR90" i="10"/>
  <c r="AS90" i="10"/>
  <c r="AT90" i="10"/>
  <c r="AU90" i="10"/>
  <c r="AV90" i="10"/>
  <c r="AW90" i="10"/>
  <c r="AY90" i="10"/>
  <c r="AZ90" i="10"/>
  <c r="BC90" i="10"/>
  <c r="BE90" i="10"/>
  <c r="BG90" i="10"/>
  <c r="BJ90" i="10"/>
  <c r="BL90" i="10"/>
  <c r="BO90" i="10"/>
  <c r="BU90" i="10"/>
  <c r="BW90" i="10"/>
  <c r="CA90" i="10"/>
  <c r="CB90" i="10"/>
  <c r="CC90" i="10"/>
  <c r="CM103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Y91" i="10"/>
  <c r="AA91" i="10"/>
  <c r="AB91" i="10"/>
  <c r="AC91" i="10"/>
  <c r="AD91" i="10"/>
  <c r="AF91" i="10"/>
  <c r="AG91" i="10"/>
  <c r="AH91" i="10"/>
  <c r="AL91" i="10"/>
  <c r="AN91" i="10"/>
  <c r="AO91" i="10"/>
  <c r="AP91" i="10"/>
  <c r="AQ91" i="10"/>
  <c r="AR91" i="10"/>
  <c r="AS91" i="10"/>
  <c r="AV91" i="10"/>
  <c r="AW91" i="10"/>
  <c r="AX91" i="10"/>
  <c r="AZ91" i="10"/>
  <c r="BC91" i="10"/>
  <c r="BE91" i="10"/>
  <c r="BG91" i="10"/>
  <c r="BL91" i="10"/>
  <c r="BN91" i="10"/>
  <c r="BO91" i="10"/>
  <c r="BT91" i="10"/>
  <c r="BV91" i="10"/>
  <c r="BW91" i="10"/>
  <c r="CB91" i="10"/>
  <c r="CJ91" i="10"/>
  <c r="H92" i="10"/>
  <c r="P92" i="10"/>
  <c r="Q92" i="10"/>
  <c r="R92" i="10"/>
  <c r="S92" i="10"/>
  <c r="T92" i="10"/>
  <c r="U92" i="10"/>
  <c r="V92" i="10"/>
  <c r="W92" i="10"/>
  <c r="Y92" i="10"/>
  <c r="AA92" i="10"/>
  <c r="AC92" i="10"/>
  <c r="AD92" i="10"/>
  <c r="AE92" i="10"/>
  <c r="AF92" i="10"/>
  <c r="AG92" i="10"/>
  <c r="AH92" i="10"/>
  <c r="AJ92" i="10"/>
  <c r="AL92" i="10"/>
  <c r="AN92" i="10"/>
  <c r="AP92" i="10"/>
  <c r="AR92" i="10"/>
  <c r="AT92" i="10"/>
  <c r="AV92" i="10"/>
  <c r="AW92" i="10"/>
  <c r="AZ92" i="10"/>
  <c r="BC92" i="10"/>
  <c r="BD92" i="10"/>
  <c r="BF92" i="10"/>
  <c r="BH92" i="10"/>
  <c r="BJ92" i="10"/>
  <c r="BL92" i="10"/>
  <c r="BQ92" i="10"/>
  <c r="BV92" i="10"/>
  <c r="BW92" i="10"/>
  <c r="BY92" i="10"/>
  <c r="CB92" i="10"/>
  <c r="G93" i="10"/>
  <c r="I93" i="10"/>
  <c r="K93" i="10"/>
  <c r="M93" i="10"/>
  <c r="O93" i="10"/>
  <c r="Q93" i="10"/>
  <c r="S93" i="10"/>
  <c r="U93" i="10"/>
  <c r="V93" i="10"/>
  <c r="W93" i="10"/>
  <c r="Y93" i="10"/>
  <c r="AA93" i="10"/>
  <c r="AC93" i="10"/>
  <c r="AD93" i="10"/>
  <c r="AE93" i="10"/>
  <c r="AF93" i="10"/>
  <c r="AG93" i="10"/>
  <c r="AH93" i="10"/>
  <c r="AI93" i="10"/>
  <c r="AL93" i="10"/>
  <c r="AN93" i="10"/>
  <c r="AP93" i="10"/>
  <c r="AR93" i="10"/>
  <c r="AT93" i="10"/>
  <c r="AV93" i="10"/>
  <c r="AW93" i="10"/>
  <c r="AX93" i="10"/>
  <c r="AZ93" i="10"/>
  <c r="BC93" i="10"/>
  <c r="BE93" i="10"/>
  <c r="BG93" i="10"/>
  <c r="BI93" i="10"/>
  <c r="BJ93" i="10"/>
  <c r="BK93" i="10"/>
  <c r="BM93" i="10"/>
  <c r="BR93" i="10"/>
  <c r="BV93" i="10"/>
  <c r="BW93" i="10"/>
  <c r="CB93" i="10"/>
  <c r="CJ93" i="10"/>
  <c r="H94" i="10"/>
  <c r="P94" i="10"/>
  <c r="Q94" i="10"/>
  <c r="R94" i="10"/>
  <c r="S94" i="10"/>
  <c r="T94" i="10"/>
  <c r="U94" i="10"/>
  <c r="V94" i="10"/>
  <c r="W94" i="10"/>
  <c r="Y94" i="10"/>
  <c r="AA94" i="10"/>
  <c r="AB94" i="10"/>
  <c r="AC94" i="10"/>
  <c r="AD94" i="10"/>
  <c r="AF94" i="10"/>
  <c r="AG94" i="10"/>
  <c r="AH94" i="10"/>
  <c r="AJ94" i="10"/>
  <c r="AK94" i="10"/>
  <c r="AL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Z94" i="10"/>
  <c r="BC94" i="10"/>
  <c r="BE94" i="10"/>
  <c r="BG94" i="10"/>
  <c r="BJ94" i="10"/>
  <c r="BK94" i="10"/>
  <c r="BL94" i="10"/>
  <c r="BO94" i="10"/>
  <c r="BT94" i="10"/>
  <c r="BW94" i="10"/>
  <c r="CB94" i="10"/>
  <c r="CD94" i="10"/>
  <c r="CG94" i="10"/>
  <c r="CJ94" i="10"/>
  <c r="CQ103" i="10"/>
  <c r="J95" i="10"/>
  <c r="Q95" i="10"/>
  <c r="S95" i="10"/>
  <c r="U95" i="10"/>
  <c r="V95" i="10"/>
  <c r="W95" i="10"/>
  <c r="Y95" i="10"/>
  <c r="AA95" i="10"/>
  <c r="AC95" i="10"/>
  <c r="AD95" i="10"/>
  <c r="AF95" i="10"/>
  <c r="AG95" i="10"/>
  <c r="AH95" i="10"/>
  <c r="AJ95" i="10"/>
  <c r="AK95" i="10"/>
  <c r="AL95" i="10"/>
  <c r="AN95" i="10"/>
  <c r="AO95" i="10"/>
  <c r="AP95" i="10"/>
  <c r="AQ95" i="10"/>
  <c r="AR95" i="10"/>
  <c r="AS95" i="10"/>
  <c r="AT95" i="10"/>
  <c r="AU95" i="10"/>
  <c r="AV95" i="10"/>
  <c r="AW95" i="10"/>
  <c r="AY95" i="10"/>
  <c r="AZ95" i="10"/>
  <c r="BC95" i="10"/>
  <c r="BE95" i="10"/>
  <c r="BG95" i="10"/>
  <c r="BJ95" i="10"/>
  <c r="BL95" i="10"/>
  <c r="BO95" i="10"/>
  <c r="BS95" i="10"/>
  <c r="BW95" i="10"/>
  <c r="CB95" i="10"/>
  <c r="CR103" i="10"/>
  <c r="G96" i="10"/>
  <c r="I96" i="10"/>
  <c r="K96" i="10"/>
  <c r="M96" i="10"/>
  <c r="O96" i="10"/>
  <c r="Q96" i="10"/>
  <c r="S96" i="10"/>
  <c r="U96" i="10"/>
  <c r="V96" i="10"/>
  <c r="W96" i="10"/>
  <c r="Y96" i="10"/>
  <c r="AA96" i="10"/>
  <c r="AC96" i="10"/>
  <c r="AD96" i="10"/>
  <c r="AF96" i="10"/>
  <c r="AG96" i="10"/>
  <c r="AH96" i="10"/>
  <c r="AI96" i="10"/>
  <c r="AL96" i="10"/>
  <c r="AN96" i="10"/>
  <c r="AP96" i="10"/>
  <c r="AR96" i="10"/>
  <c r="AT96" i="10"/>
  <c r="AV96" i="10"/>
  <c r="AW96" i="10"/>
  <c r="AX96" i="10"/>
  <c r="AZ96" i="10"/>
  <c r="BC96" i="10"/>
  <c r="BE96" i="10"/>
  <c r="BG96" i="10"/>
  <c r="BI96" i="10"/>
  <c r="BJ96" i="10"/>
  <c r="BK96" i="10"/>
  <c r="BM96" i="10"/>
  <c r="BT96" i="10"/>
  <c r="CB96" i="10"/>
  <c r="CG96" i="10"/>
  <c r="CS103" i="10"/>
  <c r="J97" i="10"/>
  <c r="Q97" i="10"/>
  <c r="S97" i="10"/>
  <c r="U97" i="10"/>
  <c r="V97" i="10"/>
  <c r="W97" i="10"/>
  <c r="Y97" i="10"/>
  <c r="AA97" i="10"/>
  <c r="AC97" i="10"/>
  <c r="AD97" i="10"/>
  <c r="AF97" i="10"/>
  <c r="AG97" i="10"/>
  <c r="AH97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Z97" i="10"/>
  <c r="BA97" i="10"/>
  <c r="BC97" i="10"/>
  <c r="BE97" i="10"/>
  <c r="BJ97" i="10"/>
  <c r="BM97" i="10"/>
  <c r="BQ97" i="10"/>
  <c r="CB97" i="10"/>
  <c r="CD97" i="10"/>
  <c r="CH97" i="10"/>
  <c r="CT103" i="10"/>
  <c r="CT97" i="10" s="1"/>
  <c r="J98" i="10"/>
  <c r="Q98" i="10"/>
  <c r="S98" i="10"/>
  <c r="U98" i="10"/>
  <c r="V98" i="10"/>
  <c r="W98" i="10"/>
  <c r="Y98" i="10"/>
  <c r="AA98" i="10"/>
  <c r="AC98" i="10"/>
  <c r="AD98" i="10"/>
  <c r="AF98" i="10"/>
  <c r="AG98" i="10"/>
  <c r="AH98" i="10"/>
  <c r="AJ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Z98" i="10"/>
  <c r="BA98" i="10"/>
  <c r="BC98" i="10"/>
  <c r="BE98" i="10"/>
  <c r="BI98" i="10"/>
  <c r="BL98" i="10"/>
  <c r="BN98" i="10"/>
  <c r="BO98" i="10"/>
  <c r="BP98" i="10"/>
  <c r="BW98" i="10"/>
  <c r="BY98" i="10"/>
  <c r="CB98" i="10"/>
  <c r="CK98" i="10"/>
  <c r="CU103" i="10"/>
  <c r="G99" i="10"/>
  <c r="I99" i="10"/>
  <c r="K99" i="10"/>
  <c r="M99" i="10"/>
  <c r="O99" i="10"/>
  <c r="Q99" i="10"/>
  <c r="S99" i="10"/>
  <c r="U99" i="10"/>
  <c r="V99" i="10"/>
  <c r="W99" i="10"/>
  <c r="X99" i="10"/>
  <c r="Y99" i="10"/>
  <c r="AA99" i="10"/>
  <c r="AC99" i="10"/>
  <c r="AD99" i="10"/>
  <c r="AF99" i="10"/>
  <c r="AG99" i="10"/>
  <c r="AH99" i="10"/>
  <c r="AJ99" i="10"/>
  <c r="AL99" i="10"/>
  <c r="AN99" i="10"/>
  <c r="AO99" i="10"/>
  <c r="AP99" i="10"/>
  <c r="AQ99" i="10"/>
  <c r="AR99" i="10"/>
  <c r="AS99" i="10"/>
  <c r="AT99" i="10"/>
  <c r="AV99" i="10"/>
  <c r="AW99" i="10"/>
  <c r="AX99" i="10"/>
  <c r="AZ99" i="10"/>
  <c r="BA99" i="10"/>
  <c r="BB99" i="10"/>
  <c r="BC99" i="10"/>
  <c r="BF99" i="10"/>
  <c r="BG99" i="10"/>
  <c r="BJ99" i="10"/>
  <c r="BL99" i="10"/>
  <c r="BO99" i="10"/>
  <c r="BQ99" i="10"/>
  <c r="BT99" i="10"/>
  <c r="BX99" i="10"/>
  <c r="CB99" i="10"/>
  <c r="CC99" i="10"/>
  <c r="CF99" i="10"/>
  <c r="CG99" i="10"/>
  <c r="CH99" i="10"/>
  <c r="CJ99" i="10"/>
  <c r="CK99" i="10"/>
  <c r="CV103" i="10"/>
  <c r="CV101" i="10" s="1"/>
  <c r="G100" i="10"/>
  <c r="I100" i="10"/>
  <c r="K100" i="10"/>
  <c r="M100" i="10"/>
  <c r="O100" i="10"/>
  <c r="Q100" i="10"/>
  <c r="S100" i="10"/>
  <c r="U100" i="10"/>
  <c r="V100" i="10"/>
  <c r="W100" i="10"/>
  <c r="X100" i="10"/>
  <c r="Y100" i="10"/>
  <c r="AA100" i="10"/>
  <c r="AC100" i="10"/>
  <c r="AD100" i="10"/>
  <c r="AF100" i="10"/>
  <c r="AG100" i="10"/>
  <c r="AH100" i="10"/>
  <c r="AJ100" i="10"/>
  <c r="AL100" i="10"/>
  <c r="AN100" i="10"/>
  <c r="AP100" i="10"/>
  <c r="AR100" i="10"/>
  <c r="AT100" i="10"/>
  <c r="AV100" i="10"/>
  <c r="AW100" i="10"/>
  <c r="AZ100" i="10"/>
  <c r="BA100" i="10"/>
  <c r="BC100" i="10"/>
  <c r="BF100" i="10"/>
  <c r="BG100" i="10"/>
  <c r="BH100" i="10"/>
  <c r="BL100" i="10"/>
  <c r="BM100" i="10"/>
  <c r="BO100" i="10"/>
  <c r="BT100" i="10"/>
  <c r="BW100" i="10"/>
  <c r="CA100" i="10"/>
  <c r="CB100" i="10"/>
  <c r="CC100" i="10"/>
  <c r="CD100" i="10"/>
  <c r="CH100" i="10"/>
  <c r="CJ100" i="10"/>
  <c r="CL100" i="10"/>
  <c r="CW103" i="10"/>
  <c r="CW102" i="10" s="1"/>
  <c r="H101" i="10"/>
  <c r="P101" i="10"/>
  <c r="Q101" i="10"/>
  <c r="R101" i="10"/>
  <c r="S101" i="10"/>
  <c r="T101" i="10"/>
  <c r="U101" i="10"/>
  <c r="V101" i="10"/>
  <c r="W101" i="10"/>
  <c r="Y101" i="10"/>
  <c r="AA101" i="10"/>
  <c r="AB101" i="10"/>
  <c r="AC101" i="10"/>
  <c r="AD101" i="10"/>
  <c r="AF101" i="10"/>
  <c r="AG101" i="10"/>
  <c r="AH101" i="10"/>
  <c r="AJ101" i="10"/>
  <c r="AK101" i="10"/>
  <c r="AL101" i="10"/>
  <c r="AM101" i="10"/>
  <c r="AN101" i="10"/>
  <c r="AP101" i="10"/>
  <c r="AR101" i="10"/>
  <c r="AT101" i="10"/>
  <c r="AV101" i="10"/>
  <c r="AW101" i="10"/>
  <c r="AZ101" i="10"/>
  <c r="BA101" i="10"/>
  <c r="BC101" i="10"/>
  <c r="BE101" i="10"/>
  <c r="BG101" i="10"/>
  <c r="BJ101" i="10"/>
  <c r="BL101" i="10"/>
  <c r="BM101" i="10"/>
  <c r="BO101" i="10"/>
  <c r="BT101" i="10"/>
  <c r="BW101" i="10"/>
  <c r="CB101" i="10"/>
  <c r="CC101" i="10"/>
  <c r="CD101" i="10"/>
  <c r="CH101" i="10"/>
  <c r="CJ101" i="10"/>
  <c r="CL101" i="10"/>
  <c r="CQ101" i="10"/>
  <c r="CX103" i="10"/>
  <c r="CX102" i="10" s="1"/>
  <c r="F103" i="10"/>
  <c r="E103" i="10"/>
  <c r="E39" i="10" s="1"/>
  <c r="CZ103" i="10"/>
  <c r="L102" i="10"/>
  <c r="Q102" i="10"/>
  <c r="S102" i="10"/>
  <c r="U102" i="10"/>
  <c r="V102" i="10"/>
  <c r="W102" i="10"/>
  <c r="X102" i="10"/>
  <c r="Y102" i="10"/>
  <c r="AA102" i="10"/>
  <c r="AC102" i="10"/>
  <c r="AD102" i="10"/>
  <c r="AF102" i="10"/>
  <c r="AG102" i="10"/>
  <c r="AH102" i="10"/>
  <c r="AJ102" i="10"/>
  <c r="AL102" i="10"/>
  <c r="AN102" i="10"/>
  <c r="AO102" i="10"/>
  <c r="AP102" i="10"/>
  <c r="AQ102" i="10"/>
  <c r="AR102" i="10"/>
  <c r="AS102" i="10"/>
  <c r="AT102" i="10"/>
  <c r="AV102" i="10"/>
  <c r="AW102" i="10"/>
  <c r="AX102" i="10"/>
  <c r="AZ102" i="10"/>
  <c r="BA102" i="10"/>
  <c r="BC102" i="10"/>
  <c r="BD102" i="10"/>
  <c r="BF102" i="10"/>
  <c r="BG102" i="10"/>
  <c r="BJ102" i="10"/>
  <c r="BL102" i="10"/>
  <c r="BN102" i="10"/>
  <c r="BO102" i="10"/>
  <c r="BQ102" i="10"/>
  <c r="BT102" i="10"/>
  <c r="BW102" i="10"/>
  <c r="CB102" i="10"/>
  <c r="CC102" i="10"/>
  <c r="CE102" i="10"/>
  <c r="CG102" i="10"/>
  <c r="CI102" i="10"/>
  <c r="CJ102" i="10"/>
  <c r="CK102" i="10"/>
  <c r="CY103" i="10"/>
  <c r="CY102" i="10" s="1"/>
  <c r="D4" i="10"/>
  <c r="D5" i="10" s="1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E60" i="10"/>
  <c r="F16" i="10"/>
  <c r="BN67" i="10"/>
  <c r="BN83" i="10"/>
  <c r="BN99" i="10"/>
  <c r="BN80" i="10"/>
  <c r="BN92" i="10"/>
  <c r="BN76" i="10"/>
  <c r="BN75" i="10"/>
  <c r="BN65" i="10"/>
  <c r="BN79" i="10"/>
  <c r="CD93" i="10"/>
  <c r="CG88" i="10"/>
  <c r="CG90" i="10"/>
  <c r="CG84" i="10"/>
  <c r="CG89" i="10"/>
  <c r="BS77" i="10"/>
  <c r="BS97" i="10"/>
  <c r="BS78" i="10"/>
  <c r="BS100" i="10"/>
  <c r="BS79" i="10"/>
  <c r="BS93" i="10"/>
  <c r="BS85" i="10"/>
  <c r="BS73" i="10"/>
  <c r="BS89" i="10"/>
  <c r="BQ72" i="10"/>
  <c r="BQ88" i="10"/>
  <c r="BQ74" i="10"/>
  <c r="BQ90" i="10"/>
  <c r="BQ68" i="10"/>
  <c r="BQ83" i="10"/>
  <c r="BQ73" i="10"/>
  <c r="BQ89" i="10"/>
  <c r="BQ77" i="10"/>
  <c r="E37" i="10"/>
  <c r="CI98" i="10"/>
  <c r="CD95" i="10"/>
  <c r="BN85" i="10"/>
  <c r="CD84" i="10"/>
  <c r="CD82" i="10"/>
  <c r="BN68" i="10"/>
  <c r="CW100" i="10"/>
  <c r="CD96" i="10"/>
  <c r="CF93" i="10"/>
  <c r="CF85" i="10"/>
  <c r="CF89" i="10"/>
  <c r="CF87" i="10"/>
  <c r="BS81" i="10"/>
  <c r="BQ75" i="10"/>
  <c r="BW74" i="10"/>
  <c r="BW84" i="10"/>
  <c r="BW85" i="10"/>
  <c r="BW83" i="10"/>
  <c r="BW86" i="10"/>
  <c r="BW99" i="10"/>
  <c r="BW82" i="10"/>
  <c r="BW87" i="10"/>
  <c r="BW76" i="10"/>
  <c r="BW77" i="10"/>
  <c r="BW81" i="10"/>
  <c r="BW88" i="10"/>
  <c r="CI100" i="10"/>
  <c r="CD83" i="10"/>
  <c r="CD86" i="10"/>
  <c r="CD99" i="10"/>
  <c r="CD89" i="10"/>
  <c r="CD92" i="10"/>
  <c r="CD81" i="10"/>
  <c r="CD90" i="10"/>
  <c r="CD91" i="10"/>
  <c r="BN84" i="10"/>
  <c r="BS72" i="10"/>
  <c r="BN66" i="10"/>
  <c r="CM102" i="10"/>
  <c r="CD102" i="10"/>
  <c r="E16" i="10"/>
  <c r="CR101" i="10"/>
  <c r="CD98" i="10"/>
  <c r="BN93" i="10"/>
  <c r="CD87" i="10"/>
  <c r="CF86" i="10"/>
  <c r="CD85" i="10"/>
  <c r="BW79" i="10"/>
  <c r="BZ84" i="10"/>
  <c r="BP74" i="10"/>
  <c r="BP90" i="10"/>
  <c r="BP68" i="10"/>
  <c r="BP84" i="10"/>
  <c r="BP67" i="10"/>
  <c r="BP80" i="10"/>
  <c r="BP92" i="10"/>
  <c r="BP82" i="10"/>
  <c r="BP75" i="10"/>
  <c r="BP91" i="10"/>
  <c r="AB29" i="10"/>
  <c r="BG88" i="10"/>
  <c r="BJ87" i="10"/>
  <c r="BJ82" i="10"/>
  <c r="AT82" i="10"/>
  <c r="BG81" i="10"/>
  <c r="BC80" i="10"/>
  <c r="BA77" i="10"/>
  <c r="BA76" i="10"/>
  <c r="AZ75" i="10"/>
  <c r="AB75" i="10"/>
  <c r="BC73" i="10"/>
  <c r="BG72" i="10"/>
  <c r="AQ72" i="10"/>
  <c r="BJ71" i="10"/>
  <c r="AT71" i="10"/>
  <c r="BL67" i="10"/>
  <c r="BJ66" i="10"/>
  <c r="AT66" i="10"/>
  <c r="BG65" i="10"/>
  <c r="BC64" i="10"/>
  <c r="AX63" i="10"/>
  <c r="AZ62" i="10"/>
  <c r="BA61" i="10"/>
  <c r="BA60" i="10"/>
  <c r="AZ59" i="10"/>
  <c r="BC57" i="10"/>
  <c r="AQ56" i="10"/>
  <c r="AT55" i="10"/>
  <c r="AL55" i="10"/>
  <c r="BC54" i="10"/>
  <c r="AT50" i="10"/>
  <c r="AL50" i="10"/>
  <c r="AD50" i="10"/>
  <c r="AX49" i="10"/>
  <c r="AQ49" i="10"/>
  <c r="AB46" i="10"/>
  <c r="AP42" i="10"/>
  <c r="AL40" i="10"/>
  <c r="AL39" i="10"/>
  <c r="J38" i="10"/>
  <c r="K11" i="10"/>
  <c r="K10" i="10"/>
  <c r="K22" i="10"/>
  <c r="K32" i="10"/>
  <c r="K18" i="10"/>
  <c r="K27" i="10"/>
  <c r="BG59" i="10"/>
  <c r="AT48" i="10"/>
  <c r="AQ46" i="10"/>
  <c r="AB36" i="10"/>
  <c r="X23" i="10"/>
  <c r="X28" i="10"/>
  <c r="X29" i="10"/>
  <c r="X27" i="10"/>
  <c r="X30" i="10"/>
  <c r="X42" i="10"/>
  <c r="X26" i="10"/>
  <c r="J10" i="10"/>
  <c r="H18" i="10"/>
  <c r="H27" i="10"/>
  <c r="H26" i="10"/>
  <c r="CN101" i="10"/>
  <c r="BJ86" i="10"/>
  <c r="BJ83" i="10"/>
  <c r="BG77" i="10"/>
  <c r="BG76" i="10"/>
  <c r="BA73" i="10"/>
  <c r="AZ71" i="10"/>
  <c r="BJ70" i="10"/>
  <c r="AT70" i="10"/>
  <c r="BC69" i="10"/>
  <c r="BC68" i="10"/>
  <c r="BJ67" i="10"/>
  <c r="AT67" i="10"/>
  <c r="AZ66" i="10"/>
  <c r="BA64" i="10"/>
  <c r="AX62" i="10"/>
  <c r="BG61" i="10"/>
  <c r="AQ61" i="10"/>
  <c r="BG60" i="10"/>
  <c r="AQ60" i="10"/>
  <c r="BA57" i="10"/>
  <c r="AZ55" i="10"/>
  <c r="AB55" i="10"/>
  <c r="AT54" i="10"/>
  <c r="AL54" i="10"/>
  <c r="AT51" i="10"/>
  <c r="AL51" i="10"/>
  <c r="AQ45" i="10"/>
  <c r="X41" i="10"/>
  <c r="X37" i="10"/>
  <c r="AK41" i="10"/>
  <c r="AD34" i="10"/>
  <c r="AD30" i="10"/>
  <c r="H10" i="10"/>
  <c r="BG87" i="10"/>
  <c r="BJ85" i="10"/>
  <c r="BJ84" i="10"/>
  <c r="AT84" i="10"/>
  <c r="BG82" i="10"/>
  <c r="CB81" i="10"/>
  <c r="BC79" i="10"/>
  <c r="BU75" i="10"/>
  <c r="BC74" i="10"/>
  <c r="AZ73" i="10"/>
  <c r="BG71" i="10"/>
  <c r="BA70" i="10"/>
  <c r="BJ69" i="10"/>
  <c r="AT69" i="10"/>
  <c r="BJ68" i="10"/>
  <c r="AT68" i="10"/>
  <c r="BA67" i="10"/>
  <c r="BG66" i="10"/>
  <c r="BL65" i="10"/>
  <c r="AZ64" i="10"/>
  <c r="AB64" i="10"/>
  <c r="BC63" i="10"/>
  <c r="BE62" i="10"/>
  <c r="AX60" i="10"/>
  <c r="BE59" i="10"/>
  <c r="BC58" i="10"/>
  <c r="AZ57" i="10"/>
  <c r="BA54" i="10"/>
  <c r="AT53" i="10"/>
  <c r="AL53" i="10"/>
  <c r="AD53" i="10"/>
  <c r="BA52" i="10"/>
  <c r="AT52" i="10"/>
  <c r="AL52" i="10"/>
  <c r="AD52" i="10"/>
  <c r="AZ51" i="10"/>
  <c r="X49" i="10"/>
  <c r="AT47" i="10"/>
  <c r="AD47" i="10"/>
  <c r="AP45" i="10"/>
  <c r="AP44" i="10"/>
  <c r="O41" i="10"/>
  <c r="X38" i="10"/>
  <c r="O38" i="10"/>
  <c r="AB35" i="10"/>
  <c r="AC33" i="10"/>
  <c r="AC30" i="10"/>
  <c r="S20" i="10"/>
  <c r="K17" i="10"/>
  <c r="AL37" i="10"/>
  <c r="AL38" i="10"/>
  <c r="AB33" i="10"/>
  <c r="AD33" i="10"/>
  <c r="AD36" i="10"/>
  <c r="AD31" i="10"/>
  <c r="AD35" i="10"/>
  <c r="AD38" i="10"/>
  <c r="AD32" i="10"/>
  <c r="O30" i="10"/>
  <c r="O33" i="10"/>
  <c r="O37" i="10"/>
  <c r="O21" i="10"/>
  <c r="O22" i="10"/>
  <c r="J25" i="10"/>
  <c r="J15" i="10"/>
  <c r="J16" i="10"/>
  <c r="J33" i="10"/>
  <c r="CN97" i="10"/>
  <c r="BJ98" i="10"/>
  <c r="CH88" i="10"/>
  <c r="BJ88" i="10"/>
  <c r="AT88" i="10"/>
  <c r="BG86" i="10"/>
  <c r="AZ85" i="10"/>
  <c r="AZ84" i="10"/>
  <c r="BG83" i="10"/>
  <c r="AQ83" i="10"/>
  <c r="CC82" i="10"/>
  <c r="BJ81" i="10"/>
  <c r="AT81" i="10"/>
  <c r="AX80" i="10"/>
  <c r="BY79" i="10"/>
  <c r="BA79" i="10"/>
  <c r="BC78" i="10"/>
  <c r="BL76" i="10"/>
  <c r="BC75" i="10"/>
  <c r="BA74" i="10"/>
  <c r="BJ72" i="10"/>
  <c r="AT72" i="10"/>
  <c r="BO70" i="10"/>
  <c r="BG70" i="10"/>
  <c r="AZ69" i="10"/>
  <c r="AZ68" i="10"/>
  <c r="BO67" i="10"/>
  <c r="BG67" i="10"/>
  <c r="AQ67" i="10"/>
  <c r="BM66" i="10"/>
  <c r="BE66" i="10"/>
  <c r="BJ65" i="10"/>
  <c r="AT65" i="10"/>
  <c r="AL65" i="10"/>
  <c r="AX64" i="10"/>
  <c r="BA63" i="10"/>
  <c r="BC62" i="10"/>
  <c r="BD60" i="10"/>
  <c r="X60" i="10"/>
  <c r="BC59" i="10"/>
  <c r="BA58" i="10"/>
  <c r="AX57" i="10"/>
  <c r="AP57" i="10"/>
  <c r="AT56" i="10"/>
  <c r="AL56" i="10"/>
  <c r="AD56" i="10"/>
  <c r="AW55" i="10"/>
  <c r="AQ54" i="10"/>
  <c r="AZ53" i="10"/>
  <c r="AR53" i="10"/>
  <c r="AZ52" i="10"/>
  <c r="AR52" i="10"/>
  <c r="AW50" i="10"/>
  <c r="AT49" i="10"/>
  <c r="AL49" i="10"/>
  <c r="AD49" i="10"/>
  <c r="J48" i="10"/>
  <c r="AM46" i="10"/>
  <c r="AN45" i="10"/>
  <c r="X45" i="10"/>
  <c r="AN44" i="10"/>
  <c r="X44" i="10"/>
  <c r="H44" i="10"/>
  <c r="AM43" i="10"/>
  <c r="AK42" i="10"/>
  <c r="AC42" i="10"/>
  <c r="AM41" i="10"/>
  <c r="AD41" i="10"/>
  <c r="AF40" i="10"/>
  <c r="AF39" i="10"/>
  <c r="AK37" i="10"/>
  <c r="AC37" i="10"/>
  <c r="AH36" i="10"/>
  <c r="X36" i="10"/>
  <c r="AJ35" i="10"/>
  <c r="AJ39" i="10"/>
  <c r="H34" i="10"/>
  <c r="X32" i="10"/>
  <c r="AB31" i="10"/>
  <c r="S31" i="10"/>
  <c r="K31" i="10"/>
  <c r="AC29" i="10"/>
  <c r="AA32" i="10"/>
  <c r="AA27" i="10"/>
  <c r="AA30" i="10"/>
  <c r="X25" i="10"/>
  <c r="V24" i="10"/>
  <c r="V33" i="10"/>
  <c r="V36" i="10"/>
  <c r="V37" i="10"/>
  <c r="V26" i="10"/>
  <c r="V31" i="10"/>
  <c r="V35" i="10"/>
  <c r="V38" i="10"/>
  <c r="V21" i="10"/>
  <c r="V22" i="10"/>
  <c r="V25" i="10"/>
  <c r="V32" i="10"/>
  <c r="J21" i="10"/>
  <c r="P29" i="10"/>
  <c r="P17" i="10"/>
  <c r="K13" i="10"/>
  <c r="L21" i="10"/>
  <c r="L15" i="10"/>
  <c r="L29" i="10"/>
  <c r="BJ100" i="10"/>
  <c r="BJ91" i="10"/>
  <c r="AT91" i="10"/>
  <c r="CB87" i="10"/>
  <c r="BG85" i="10"/>
  <c r="AQ85" i="10"/>
  <c r="BG84" i="10"/>
  <c r="AQ84" i="10"/>
  <c r="BA81" i="10"/>
  <c r="BU80" i="10"/>
  <c r="AZ79" i="10"/>
  <c r="BJ78" i="10"/>
  <c r="AT78" i="10"/>
  <c r="BC77" i="10"/>
  <c r="BC76" i="10"/>
  <c r="BJ75" i="10"/>
  <c r="AT75" i="10"/>
  <c r="AZ74" i="10"/>
  <c r="BA72" i="10"/>
  <c r="BL71" i="10"/>
  <c r="BO69" i="10"/>
  <c r="BG69" i="10"/>
  <c r="AQ69" i="10"/>
  <c r="BG68" i="10"/>
  <c r="AQ68" i="10"/>
  <c r="BA65" i="10"/>
  <c r="BE64" i="10"/>
  <c r="AZ63" i="10"/>
  <c r="BJ62" i="10"/>
  <c r="AT62" i="10"/>
  <c r="AL62" i="10"/>
  <c r="BC61" i="10"/>
  <c r="AT59" i="10"/>
  <c r="AL59" i="10"/>
  <c r="AB58" i="10"/>
  <c r="AQ53" i="10"/>
  <c r="X50" i="10"/>
  <c r="AT46" i="10"/>
  <c r="AL46" i="10"/>
  <c r="AD46" i="10"/>
  <c r="O44" i="10"/>
  <c r="AL43" i="10"/>
  <c r="AD43" i="10"/>
  <c r="AL41" i="10"/>
  <c r="H35" i="10"/>
  <c r="AG32" i="10"/>
  <c r="AG34" i="10"/>
  <c r="AG40" i="10"/>
  <c r="J31" i="10"/>
  <c r="AC31" i="10"/>
  <c r="AC35" i="10"/>
  <c r="AC41" i="10"/>
  <c r="AB27" i="10"/>
  <c r="S19" i="10"/>
  <c r="S22" i="10"/>
  <c r="S25" i="10"/>
  <c r="S32" i="10"/>
  <c r="S18" i="10"/>
  <c r="S27" i="10"/>
  <c r="S30" i="10"/>
  <c r="O15" i="10"/>
  <c r="I10" i="10"/>
  <c r="I13" i="10"/>
  <c r="I23" i="10"/>
  <c r="I9" i="10"/>
  <c r="I18" i="10"/>
  <c r="I29" i="10"/>
  <c r="I11" i="10"/>
  <c r="I26" i="10"/>
  <c r="Y26" i="10"/>
  <c r="Y24" i="10"/>
  <c r="Y40" i="10"/>
  <c r="W33" i="10"/>
  <c r="Y29" i="10"/>
  <c r="Y28" i="10"/>
  <c r="W24" i="10"/>
  <c r="M21" i="10"/>
  <c r="CP100" i="10"/>
  <c r="M17" i="10"/>
  <c r="CP96" i="10"/>
  <c r="F88" i="10"/>
  <c r="CU102" i="10"/>
  <c r="F98" i="10"/>
  <c r="F76" i="10"/>
  <c r="F55" i="10"/>
  <c r="F35" i="10"/>
  <c r="F13" i="10"/>
  <c r="CR100" i="10"/>
  <c r="CL98" i="10"/>
  <c r="CJ96" i="10"/>
  <c r="CJ95" i="10"/>
  <c r="CJ92" i="10"/>
  <c r="CE91" i="10"/>
  <c r="CJ90" i="10"/>
  <c r="CJ89" i="10"/>
  <c r="CB89" i="10"/>
  <c r="CB88" i="10"/>
  <c r="CA87" i="10"/>
  <c r="CC86" i="10"/>
  <c r="CA86" i="10"/>
  <c r="CB85" i="10"/>
  <c r="CB84" i="10"/>
  <c r="CB83" i="10"/>
  <c r="CA82" i="10"/>
  <c r="CA81" i="10"/>
  <c r="CB80" i="10"/>
  <c r="CA79" i="10"/>
  <c r="BW78" i="10"/>
  <c r="BX76" i="10"/>
  <c r="BL75" i="10"/>
  <c r="BL74" i="10"/>
  <c r="BR73" i="10"/>
  <c r="BL72" i="10"/>
  <c r="BR71" i="10"/>
  <c r="BL69" i="10"/>
  <c r="BC66" i="10"/>
  <c r="BC65" i="10"/>
  <c r="AZ65" i="10"/>
  <c r="BG64" i="10"/>
  <c r="AY63" i="10"/>
  <c r="AZ61" i="10"/>
  <c r="AT60" i="10"/>
  <c r="AR59" i="10"/>
  <c r="AY58" i="10"/>
  <c r="AT58" i="10"/>
  <c r="AR58" i="10"/>
  <c r="AP58" i="10"/>
  <c r="BC56" i="10"/>
  <c r="AR56" i="10"/>
  <c r="AY55" i="10"/>
  <c r="AP55" i="10"/>
  <c r="AR54" i="10"/>
  <c r="AJ54" i="10"/>
  <c r="AP53" i="10"/>
  <c r="AG53" i="10"/>
  <c r="AO52" i="10"/>
  <c r="AJ52" i="10"/>
  <c r="AF52" i="10"/>
  <c r="AR51" i="10"/>
  <c r="AO51" i="10"/>
  <c r="AJ51" i="10"/>
  <c r="AF51" i="10"/>
  <c r="AD51" i="10"/>
  <c r="AR50" i="10"/>
  <c r="AJ50" i="10"/>
  <c r="AF50" i="10"/>
  <c r="AC50" i="10"/>
  <c r="AP49" i="10"/>
  <c r="AG49" i="10"/>
  <c r="AR48" i="10"/>
  <c r="AJ48" i="10"/>
  <c r="AF48" i="10"/>
  <c r="AD48" i="10"/>
  <c r="AA48" i="10"/>
  <c r="Y48" i="10"/>
  <c r="AO47" i="10"/>
  <c r="AJ47" i="10"/>
  <c r="AF47" i="10"/>
  <c r="AC47" i="10"/>
  <c r="V47" i="10"/>
  <c r="N47" i="10"/>
  <c r="AR46" i="10"/>
  <c r="AG46" i="10"/>
  <c r="AA46" i="10"/>
  <c r="Y46" i="10"/>
  <c r="H46" i="10"/>
  <c r="AO45" i="10"/>
  <c r="AJ45" i="10"/>
  <c r="AF45" i="10"/>
  <c r="AD45" i="10"/>
  <c r="AA45" i="10"/>
  <c r="Y45" i="10"/>
  <c r="V45" i="10"/>
  <c r="T45" i="10"/>
  <c r="K45" i="10"/>
  <c r="AJ44" i="10"/>
  <c r="AF44" i="10"/>
  <c r="AD44" i="10"/>
  <c r="AA44" i="10"/>
  <c r="Y44" i="10"/>
  <c r="V44" i="10"/>
  <c r="T44" i="10"/>
  <c r="AP43" i="10"/>
  <c r="AJ43" i="10"/>
  <c r="AF43" i="10"/>
  <c r="AC43" i="10"/>
  <c r="V43" i="10"/>
  <c r="I43" i="10"/>
  <c r="AG42" i="10"/>
  <c r="AA42" i="10"/>
  <c r="Y42" i="10"/>
  <c r="V42" i="10"/>
  <c r="AO41" i="10"/>
  <c r="AJ41" i="10"/>
  <c r="AF41" i="10"/>
  <c r="AA41" i="10"/>
  <c r="Y41" i="10"/>
  <c r="V41" i="10"/>
  <c r="AC40" i="10"/>
  <c r="AC39" i="10"/>
  <c r="V39" i="10"/>
  <c r="AF38" i="10"/>
  <c r="AC38" i="10"/>
  <c r="AA38" i="10"/>
  <c r="Y38" i="10"/>
  <c r="N38" i="10"/>
  <c r="I38" i="10"/>
  <c r="AG37" i="10"/>
  <c r="AA37" i="10"/>
  <c r="Y37" i="10"/>
  <c r="AI36" i="10"/>
  <c r="AF36" i="10"/>
  <c r="AA36" i="10"/>
  <c r="Y36" i="10"/>
  <c r="N36" i="10"/>
  <c r="AI35" i="10"/>
  <c r="AA34" i="10"/>
  <c r="V34" i="10"/>
  <c r="AF33" i="10"/>
  <c r="I33" i="10"/>
  <c r="AF32" i="10"/>
  <c r="AC32" i="10"/>
  <c r="Y32" i="10"/>
  <c r="N32" i="10"/>
  <c r="Z31" i="10"/>
  <c r="L31" i="10"/>
  <c r="Y30" i="10"/>
  <c r="V30" i="10"/>
  <c r="AA29" i="10"/>
  <c r="K29" i="10"/>
  <c r="AA28" i="10"/>
  <c r="N28" i="10"/>
  <c r="V27" i="10"/>
  <c r="T27" i="10"/>
  <c r="I27" i="10"/>
  <c r="L26" i="10"/>
  <c r="Y25" i="10"/>
  <c r="N25" i="10"/>
  <c r="H25" i="10"/>
  <c r="T23" i="10"/>
  <c r="N22" i="10"/>
  <c r="I20" i="10"/>
  <c r="L17" i="10"/>
  <c r="H8" i="10"/>
  <c r="CO101" i="10"/>
  <c r="CN98" i="10"/>
  <c r="CO95" i="10"/>
  <c r="P16" i="39"/>
  <c r="P34" i="39" s="1"/>
  <c r="M16" i="39"/>
  <c r="M34" i="39" s="1"/>
  <c r="I27" i="30"/>
  <c r="E29" i="30"/>
  <c r="P6" i="39" s="1"/>
  <c r="F31" i="30"/>
  <c r="G29" i="30"/>
  <c r="H29" i="30"/>
  <c r="J11" i="37" s="1"/>
  <c r="I29" i="30"/>
  <c r="H27" i="30"/>
  <c r="J8" i="37" s="1"/>
  <c r="P29" i="30"/>
  <c r="F29" i="30"/>
  <c r="Q29" i="30"/>
  <c r="I11" i="37" s="1"/>
  <c r="K31" i="30"/>
  <c r="G14" i="37" s="1"/>
  <c r="N31" i="30"/>
  <c r="H14" i="37" s="1"/>
  <c r="D27" i="30"/>
  <c r="D223" i="33" s="1"/>
  <c r="I31" i="30"/>
  <c r="N29" i="30"/>
  <c r="H11" i="37" s="1"/>
  <c r="M31" i="30"/>
  <c r="C29" i="30"/>
  <c r="B6" i="39" s="1"/>
  <c r="R27" i="30"/>
  <c r="R8" i="37" s="1"/>
  <c r="E27" i="30"/>
  <c r="N7" i="37" s="1"/>
  <c r="L27" i="30"/>
  <c r="R31" i="30"/>
  <c r="V14" i="37" s="1"/>
  <c r="F27" i="30"/>
  <c r="L29" i="30"/>
  <c r="R29" i="30"/>
  <c r="R11" i="37" s="1"/>
  <c r="J31" i="30"/>
  <c r="E24" i="26"/>
  <c r="E96" i="10"/>
  <c r="E73" i="10"/>
  <c r="E49" i="10"/>
  <c r="E23" i="10"/>
  <c r="BT72" i="10"/>
  <c r="BK63" i="10"/>
  <c r="AU48" i="10"/>
  <c r="AN43" i="10"/>
  <c r="AN42" i="10"/>
  <c r="AN40" i="10"/>
  <c r="AM39" i="10"/>
  <c r="AH38" i="10"/>
  <c r="X31" i="10"/>
  <c r="W30" i="10"/>
  <c r="V29" i="10"/>
  <c r="W28" i="10"/>
  <c r="U28" i="10"/>
  <c r="U27" i="10"/>
  <c r="Q27" i="10"/>
  <c r="U26" i="10"/>
  <c r="S26" i="10"/>
  <c r="Q26" i="10"/>
  <c r="U25" i="10"/>
  <c r="U24" i="10"/>
  <c r="H24" i="10"/>
  <c r="W23" i="10"/>
  <c r="S23" i="10"/>
  <c r="Q23" i="10"/>
  <c r="N23" i="10"/>
  <c r="U22" i="10"/>
  <c r="Q22" i="10"/>
  <c r="U21" i="10"/>
  <c r="S21" i="10"/>
  <c r="Q21" i="10"/>
  <c r="Q20" i="10"/>
  <c r="Q19" i="10"/>
  <c r="N19" i="10"/>
  <c r="CP101" i="10"/>
  <c r="Q117" i="42" l="1"/>
  <c r="Q124" i="42"/>
  <c r="Q159" i="42"/>
  <c r="Q146" i="42"/>
  <c r="S44" i="10"/>
  <c r="Q32" i="10"/>
  <c r="Q29" i="10"/>
  <c r="E9" i="10"/>
  <c r="E36" i="10"/>
  <c r="E59" i="10"/>
  <c r="E86" i="10"/>
  <c r="T6" i="39"/>
  <c r="CM101" i="10"/>
  <c r="CM90" i="10"/>
  <c r="CM100" i="10"/>
  <c r="CM95" i="10"/>
  <c r="CM92" i="10"/>
  <c r="CM98" i="10"/>
  <c r="BV73" i="10"/>
  <c r="BV79" i="10"/>
  <c r="BV85" i="10"/>
  <c r="BV86" i="10"/>
  <c r="BV89" i="10"/>
  <c r="BV90" i="10"/>
  <c r="BV95" i="10"/>
  <c r="BV96" i="10"/>
  <c r="BV99" i="10"/>
  <c r="BV101" i="10"/>
  <c r="BV102" i="10"/>
  <c r="AE31" i="10"/>
  <c r="AE50" i="10"/>
  <c r="AE54" i="10"/>
  <c r="AE57" i="10"/>
  <c r="AE58" i="10"/>
  <c r="AE47" i="10"/>
  <c r="AE60" i="10"/>
  <c r="AE62" i="10"/>
  <c r="AE63" i="10"/>
  <c r="AE65" i="10"/>
  <c r="AE67" i="10"/>
  <c r="AE68" i="10"/>
  <c r="AE69" i="10"/>
  <c r="AE70" i="10"/>
  <c r="AE73" i="10"/>
  <c r="AE74" i="10"/>
  <c r="AE75" i="10"/>
  <c r="AE76" i="10"/>
  <c r="AE78" i="10"/>
  <c r="AE79" i="10"/>
  <c r="AE80" i="10"/>
  <c r="AE82" i="10"/>
  <c r="AE85" i="10"/>
  <c r="AE86" i="10"/>
  <c r="AE51" i="10"/>
  <c r="AE56" i="10"/>
  <c r="AE66" i="10"/>
  <c r="AE71" i="10"/>
  <c r="AE72" i="10"/>
  <c r="AE81" i="10"/>
  <c r="AE87" i="10"/>
  <c r="AE89" i="10"/>
  <c r="AE91" i="10"/>
  <c r="AE94" i="10"/>
  <c r="AE99" i="10"/>
  <c r="AE100" i="10"/>
  <c r="AE101" i="10"/>
  <c r="AE102" i="10"/>
  <c r="AE36" i="10"/>
  <c r="Z51" i="10"/>
  <c r="Z55" i="10"/>
  <c r="Z60" i="10"/>
  <c r="Z71" i="10"/>
  <c r="Z73" i="10"/>
  <c r="Z83" i="10"/>
  <c r="Z92" i="10"/>
  <c r="Z49" i="10"/>
  <c r="Z43" i="10"/>
  <c r="Z33" i="10"/>
  <c r="P52" i="10"/>
  <c r="P53" i="10"/>
  <c r="P66" i="10"/>
  <c r="P67" i="10"/>
  <c r="P75" i="10"/>
  <c r="P78" i="10"/>
  <c r="P80" i="10"/>
  <c r="P81" i="10"/>
  <c r="P83" i="10"/>
  <c r="P37" i="10"/>
  <c r="P69" i="10"/>
  <c r="P70" i="10"/>
  <c r="P79" i="10"/>
  <c r="P82" i="10"/>
  <c r="P88" i="10"/>
  <c r="P90" i="10"/>
  <c r="P93" i="10"/>
  <c r="P95" i="10"/>
  <c r="P96" i="10"/>
  <c r="P97" i="10"/>
  <c r="P98" i="10"/>
  <c r="P99" i="10"/>
  <c r="P15" i="10"/>
  <c r="P28" i="10"/>
  <c r="P27" i="10"/>
  <c r="P42" i="10"/>
  <c r="P26" i="10"/>
  <c r="P21" i="10"/>
  <c r="E4" i="10"/>
  <c r="E46" i="10"/>
  <c r="E97" i="10"/>
  <c r="E24" i="10"/>
  <c r="E5" i="10"/>
  <c r="E69" i="10"/>
  <c r="E75" i="10"/>
  <c r="E38" i="10"/>
  <c r="E72" i="10"/>
  <c r="E52" i="10"/>
  <c r="CL97" i="10"/>
  <c r="CL91" i="10"/>
  <c r="CL90" i="10"/>
  <c r="CK97" i="10"/>
  <c r="CK95" i="10"/>
  <c r="CH96" i="10"/>
  <c r="CH98" i="10"/>
  <c r="CH102" i="10"/>
  <c r="CE82" i="10"/>
  <c r="CE99" i="10"/>
  <c r="CE86" i="10"/>
  <c r="CE83" i="10"/>
  <c r="CE90" i="10"/>
  <c r="CE89" i="10"/>
  <c r="CE88" i="10"/>
  <c r="CE87" i="10"/>
  <c r="BH63" i="10"/>
  <c r="BH73" i="10"/>
  <c r="BH74" i="10"/>
  <c r="BH75" i="10"/>
  <c r="BH76" i="10"/>
  <c r="BH82" i="10"/>
  <c r="BH84" i="10"/>
  <c r="BH72" i="10"/>
  <c r="BH78" i="10"/>
  <c r="BH80" i="10"/>
  <c r="BH85" i="10"/>
  <c r="BH88" i="10"/>
  <c r="BH90" i="10"/>
  <c r="BH91" i="10"/>
  <c r="BH93" i="10"/>
  <c r="BH95" i="10"/>
  <c r="BH96" i="10"/>
  <c r="BH97" i="10"/>
  <c r="BH98" i="10"/>
  <c r="BH101" i="10"/>
  <c r="BH102" i="10"/>
  <c r="AB72" i="10"/>
  <c r="AB77" i="10"/>
  <c r="AB81" i="10"/>
  <c r="AB83" i="10"/>
  <c r="AB54" i="10"/>
  <c r="AB60" i="10"/>
  <c r="AB70" i="10"/>
  <c r="AB78" i="10"/>
  <c r="AB82" i="10"/>
  <c r="AB88" i="10"/>
  <c r="AB90" i="10"/>
  <c r="AB92" i="10"/>
  <c r="AB93" i="10"/>
  <c r="AB95" i="10"/>
  <c r="AB96" i="10"/>
  <c r="AB97" i="10"/>
  <c r="AB98" i="10"/>
  <c r="AB28" i="10"/>
  <c r="AB43" i="10"/>
  <c r="AB45" i="10"/>
  <c r="AB40" i="10"/>
  <c r="AB50" i="10"/>
  <c r="AB73" i="10"/>
  <c r="AB48" i="10"/>
  <c r="AB34" i="10"/>
  <c r="AB30" i="10"/>
  <c r="AB69" i="10"/>
  <c r="AB68" i="10"/>
  <c r="AB52" i="10"/>
  <c r="AB47" i="10"/>
  <c r="AB63" i="10"/>
  <c r="AB41" i="10"/>
  <c r="T19" i="10"/>
  <c r="T25" i="10"/>
  <c r="T26" i="10"/>
  <c r="T28" i="10"/>
  <c r="T33" i="10"/>
  <c r="T35" i="10"/>
  <c r="T36" i="10"/>
  <c r="T37" i="10"/>
  <c r="T38" i="10"/>
  <c r="T40" i="10"/>
  <c r="T52" i="10"/>
  <c r="T53" i="10"/>
  <c r="T54" i="10"/>
  <c r="T57" i="10"/>
  <c r="T20" i="10"/>
  <c r="T21" i="10"/>
  <c r="T29" i="10"/>
  <c r="T31" i="10"/>
  <c r="T46" i="10"/>
  <c r="T50" i="10"/>
  <c r="T51" i="10"/>
  <c r="T56" i="10"/>
  <c r="T65" i="10"/>
  <c r="T66" i="10"/>
  <c r="T67" i="10"/>
  <c r="T74" i="10"/>
  <c r="T75" i="10"/>
  <c r="T76" i="10"/>
  <c r="T78" i="10"/>
  <c r="T80" i="10"/>
  <c r="T81" i="10"/>
  <c r="T83" i="10"/>
  <c r="T32" i="10"/>
  <c r="T68" i="10"/>
  <c r="T69" i="10"/>
  <c r="T70" i="10"/>
  <c r="T77" i="10"/>
  <c r="T79" i="10"/>
  <c r="T82" i="10"/>
  <c r="T88" i="10"/>
  <c r="T90" i="10"/>
  <c r="T93" i="10"/>
  <c r="T95" i="10"/>
  <c r="T96" i="10"/>
  <c r="T97" i="10"/>
  <c r="T98" i="10"/>
  <c r="T99" i="10"/>
  <c r="T47" i="10"/>
  <c r="T43" i="10"/>
  <c r="T42" i="10"/>
  <c r="T39" i="10"/>
  <c r="T34" i="10"/>
  <c r="R21" i="10"/>
  <c r="R18" i="10"/>
  <c r="R19" i="10"/>
  <c r="R30" i="10"/>
  <c r="R39" i="10"/>
  <c r="R46" i="10"/>
  <c r="R52" i="10"/>
  <c r="R53" i="10"/>
  <c r="R54" i="10"/>
  <c r="R57" i="10"/>
  <c r="R48" i="10"/>
  <c r="R55" i="10"/>
  <c r="R58" i="10"/>
  <c r="R59" i="10"/>
  <c r="R65" i="10"/>
  <c r="R66" i="10"/>
  <c r="R67" i="10"/>
  <c r="R74" i="10"/>
  <c r="R75" i="10"/>
  <c r="R76" i="10"/>
  <c r="R78" i="10"/>
  <c r="R80" i="10"/>
  <c r="R81" i="10"/>
  <c r="R83" i="10"/>
  <c r="R43" i="10"/>
  <c r="R45" i="10"/>
  <c r="R68" i="10"/>
  <c r="R69" i="10"/>
  <c r="R70" i="10"/>
  <c r="R77" i="10"/>
  <c r="R79" i="10"/>
  <c r="R82" i="10"/>
  <c r="R88" i="10"/>
  <c r="R90" i="10"/>
  <c r="R93" i="10"/>
  <c r="R95" i="10"/>
  <c r="R96" i="10"/>
  <c r="R97" i="10"/>
  <c r="R98" i="10"/>
  <c r="R99" i="10"/>
  <c r="N57" i="10"/>
  <c r="N53" i="10"/>
  <c r="N59" i="10"/>
  <c r="N61" i="10"/>
  <c r="N64" i="10"/>
  <c r="N66" i="10"/>
  <c r="N67" i="10"/>
  <c r="N69" i="10"/>
  <c r="N72" i="10"/>
  <c r="N81" i="10"/>
  <c r="N85" i="10"/>
  <c r="N70" i="10"/>
  <c r="N75" i="10"/>
  <c r="N80" i="10"/>
  <c r="N82" i="10"/>
  <c r="N87" i="10"/>
  <c r="N88" i="10"/>
  <c r="N92" i="10"/>
  <c r="N93" i="10"/>
  <c r="N94" i="10"/>
  <c r="N96" i="10"/>
  <c r="N99" i="10"/>
  <c r="N101" i="10"/>
  <c r="N102" i="10"/>
  <c r="N17" i="10"/>
  <c r="N40" i="10"/>
  <c r="L51" i="10"/>
  <c r="L52" i="10"/>
  <c r="L59" i="10"/>
  <c r="L30" i="10"/>
  <c r="L55" i="10"/>
  <c r="L60" i="10"/>
  <c r="L65" i="10"/>
  <c r="L66" i="10"/>
  <c r="L67" i="10"/>
  <c r="L73" i="10"/>
  <c r="L74" i="10"/>
  <c r="L75" i="10"/>
  <c r="L76" i="10"/>
  <c r="L77" i="10"/>
  <c r="L78" i="10"/>
  <c r="L79" i="10"/>
  <c r="L80" i="10"/>
  <c r="L81" i="10"/>
  <c r="L83" i="10"/>
  <c r="L68" i="10"/>
  <c r="L70" i="10"/>
  <c r="L72" i="10"/>
  <c r="L82" i="10"/>
  <c r="L85" i="10"/>
  <c r="L88" i="10"/>
  <c r="L90" i="10"/>
  <c r="L93" i="10"/>
  <c r="L95" i="10"/>
  <c r="L96" i="10"/>
  <c r="L97" i="10"/>
  <c r="L98" i="10"/>
  <c r="L99" i="10"/>
  <c r="L12" i="10"/>
  <c r="L20" i="10"/>
  <c r="L19" i="10"/>
  <c r="L39" i="10"/>
  <c r="L23" i="10"/>
  <c r="L28" i="10"/>
  <c r="L47" i="10"/>
  <c r="L46" i="10"/>
  <c r="L38" i="10"/>
  <c r="L37" i="10"/>
  <c r="L36" i="10"/>
  <c r="L33" i="10"/>
  <c r="L32" i="10"/>
  <c r="J55" i="10"/>
  <c r="J51" i="10"/>
  <c r="J52" i="10"/>
  <c r="J62" i="10"/>
  <c r="J66" i="10"/>
  <c r="J67" i="10"/>
  <c r="J68" i="10"/>
  <c r="J69" i="10"/>
  <c r="J72" i="10"/>
  <c r="J81" i="10"/>
  <c r="J85" i="10"/>
  <c r="J60" i="10"/>
  <c r="J70" i="10"/>
  <c r="J73" i="10"/>
  <c r="J74" i="10"/>
  <c r="J76" i="10"/>
  <c r="J78" i="10"/>
  <c r="J82" i="10"/>
  <c r="J83" i="10"/>
  <c r="J87" i="10"/>
  <c r="J88" i="10"/>
  <c r="J92" i="10"/>
  <c r="J93" i="10"/>
  <c r="J94" i="10"/>
  <c r="J96" i="10"/>
  <c r="J99" i="10"/>
  <c r="J101" i="10"/>
  <c r="J102" i="10"/>
  <c r="J41" i="10"/>
  <c r="J20" i="10"/>
  <c r="J12" i="10"/>
  <c r="J45" i="10"/>
  <c r="J44" i="10"/>
  <c r="J17" i="10"/>
  <c r="J32" i="10"/>
  <c r="J14" i="10"/>
  <c r="J23" i="10"/>
  <c r="J9" i="10"/>
  <c r="J27" i="10"/>
  <c r="J24" i="10"/>
  <c r="J42" i="10"/>
  <c r="J37" i="10"/>
  <c r="H31" i="10"/>
  <c r="H43" i="10"/>
  <c r="H51" i="10"/>
  <c r="H52" i="10"/>
  <c r="H57" i="10"/>
  <c r="H59" i="10"/>
  <c r="H60" i="10"/>
  <c r="H65" i="10"/>
  <c r="H66" i="10"/>
  <c r="H67" i="10"/>
  <c r="H73" i="10"/>
  <c r="H74" i="10"/>
  <c r="H75" i="10"/>
  <c r="H76" i="10"/>
  <c r="H77" i="10"/>
  <c r="H78" i="10"/>
  <c r="H79" i="10"/>
  <c r="H80" i="10"/>
  <c r="H81" i="10"/>
  <c r="H83" i="10"/>
  <c r="H33" i="10"/>
  <c r="H62" i="10"/>
  <c r="H69" i="10"/>
  <c r="H70" i="10"/>
  <c r="H82" i="10"/>
  <c r="H88" i="10"/>
  <c r="H90" i="10"/>
  <c r="H93" i="10"/>
  <c r="H95" i="10"/>
  <c r="H96" i="10"/>
  <c r="H97" i="10"/>
  <c r="H98" i="10"/>
  <c r="H99" i="10"/>
  <c r="H37" i="10"/>
  <c r="H9" i="10"/>
  <c r="H15" i="10"/>
  <c r="H28" i="10"/>
  <c r="H16" i="10"/>
  <c r="H30" i="10"/>
  <c r="H7" i="10"/>
  <c r="H17" i="10"/>
  <c r="H21" i="10"/>
  <c r="H40" i="10"/>
  <c r="H36" i="10"/>
  <c r="H22" i="10"/>
  <c r="H45" i="10"/>
  <c r="H23" i="10"/>
  <c r="H11" i="10"/>
  <c r="H41" i="10"/>
  <c r="CN93" i="10"/>
  <c r="CN96" i="10"/>
  <c r="CN94" i="10"/>
  <c r="CN95" i="10"/>
  <c r="CN100" i="10"/>
  <c r="CP95" i="10"/>
  <c r="H19" i="10"/>
  <c r="BH60" i="10"/>
  <c r="E18" i="10"/>
  <c r="E31" i="10"/>
  <c r="E41" i="10"/>
  <c r="E55" i="10"/>
  <c r="E67" i="10"/>
  <c r="E78" i="10"/>
  <c r="E91" i="10"/>
  <c r="L16" i="10"/>
  <c r="N18" i="10"/>
  <c r="N20" i="10"/>
  <c r="T22" i="10"/>
  <c r="T24" i="10"/>
  <c r="L25" i="10"/>
  <c r="N29" i="10"/>
  <c r="T30" i="10"/>
  <c r="N31" i="10"/>
  <c r="H32" i="10"/>
  <c r="N33" i="10"/>
  <c r="N37" i="10"/>
  <c r="L40" i="10"/>
  <c r="T41" i="10"/>
  <c r="N46" i="10"/>
  <c r="N26" i="10"/>
  <c r="AE33" i="10"/>
  <c r="H13" i="10"/>
  <c r="AB37" i="10"/>
  <c r="AB42" i="10"/>
  <c r="AB74" i="10"/>
  <c r="AB79" i="10"/>
  <c r="CE85" i="10"/>
  <c r="CK92" i="10"/>
  <c r="CK101" i="10"/>
  <c r="L18" i="10"/>
  <c r="L22" i="10"/>
  <c r="L13" i="10"/>
  <c r="P20" i="10"/>
  <c r="P30" i="10"/>
  <c r="P16" i="10"/>
  <c r="AB53" i="10"/>
  <c r="J57" i="10"/>
  <c r="AB84" i="10"/>
  <c r="AB85" i="10"/>
  <c r="CK96" i="10"/>
  <c r="CN91" i="10"/>
  <c r="CN102" i="10"/>
  <c r="J11" i="10"/>
  <c r="J34" i="10"/>
  <c r="J13" i="10"/>
  <c r="AB51" i="10"/>
  <c r="H39" i="10"/>
  <c r="AB57" i="10"/>
  <c r="CK91" i="10"/>
  <c r="J19" i="10"/>
  <c r="AB32" i="10"/>
  <c r="J40" i="10"/>
  <c r="AB66" i="10"/>
  <c r="AB71" i="10"/>
  <c r="H20" i="10"/>
  <c r="H42" i="10"/>
  <c r="H29" i="10"/>
  <c r="H12" i="10"/>
  <c r="AB44" i="10"/>
  <c r="J30" i="10"/>
  <c r="AB59" i="10"/>
  <c r="AB62" i="10"/>
  <c r="AB39" i="10"/>
  <c r="E89" i="10"/>
  <c r="E26" i="10"/>
  <c r="CM93" i="10"/>
  <c r="CM96" i="10"/>
  <c r="E74" i="10"/>
  <c r="E101" i="10"/>
  <c r="CM99" i="10"/>
  <c r="AB102" i="10"/>
  <c r="Z102" i="10"/>
  <c r="T102" i="10"/>
  <c r="R102" i="10"/>
  <c r="P102" i="10"/>
  <c r="H102" i="10"/>
  <c r="E95" i="10"/>
  <c r="F6" i="10"/>
  <c r="F85" i="10"/>
  <c r="F42" i="10"/>
  <c r="F33" i="10"/>
  <c r="F24" i="10"/>
  <c r="F86" i="10"/>
  <c r="F66" i="10"/>
  <c r="F45" i="10"/>
  <c r="F25" i="10"/>
  <c r="L101" i="10"/>
  <c r="CE100" i="10"/>
  <c r="BV100" i="10"/>
  <c r="AB100" i="10"/>
  <c r="Z100" i="10"/>
  <c r="T100" i="10"/>
  <c r="R100" i="10"/>
  <c r="P100" i="10"/>
  <c r="N100" i="10"/>
  <c r="L100" i="10"/>
  <c r="J100" i="10"/>
  <c r="H100" i="10"/>
  <c r="BH99" i="10"/>
  <c r="AB99" i="10"/>
  <c r="CE98" i="10"/>
  <c r="BV98" i="10"/>
  <c r="AE98" i="10"/>
  <c r="N98" i="10"/>
  <c r="BV97" i="10"/>
  <c r="AE97" i="10"/>
  <c r="N97" i="10"/>
  <c r="CS98" i="10"/>
  <c r="CS96" i="10"/>
  <c r="CS97" i="10"/>
  <c r="AE96" i="10"/>
  <c r="CH95" i="10"/>
  <c r="AE95" i="10"/>
  <c r="N95" i="10"/>
  <c r="CQ97" i="10"/>
  <c r="CQ99" i="10"/>
  <c r="CQ102" i="10"/>
  <c r="BV94" i="10"/>
  <c r="BH94" i="10"/>
  <c r="L94" i="10"/>
  <c r="L92" i="10"/>
  <c r="J90" i="10"/>
  <c r="BH89" i="10"/>
  <c r="BV88" i="10"/>
  <c r="BV87" i="10"/>
  <c r="AB87" i="10"/>
  <c r="T87" i="10"/>
  <c r="R87" i="10"/>
  <c r="P87" i="10"/>
  <c r="H87" i="10"/>
  <c r="H85" i="10"/>
  <c r="BV84" i="10"/>
  <c r="AE84" i="10"/>
  <c r="T84" i="10"/>
  <c r="R84" i="10"/>
  <c r="P84" i="10"/>
  <c r="N84" i="10"/>
  <c r="L84" i="10"/>
  <c r="J84" i="10"/>
  <c r="H84" i="10"/>
  <c r="CF95" i="10"/>
  <c r="CF88" i="10"/>
  <c r="CF96" i="10"/>
  <c r="CF100" i="10"/>
  <c r="CF101" i="10"/>
  <c r="CF102" i="10"/>
  <c r="CF90" i="10"/>
  <c r="CF84" i="10"/>
  <c r="CF83" i="10"/>
  <c r="CF92" i="10"/>
  <c r="CF91" i="10"/>
  <c r="N83" i="10"/>
  <c r="J80" i="10"/>
  <c r="BH79" i="10"/>
  <c r="BZ89" i="10"/>
  <c r="BZ97" i="10"/>
  <c r="BZ100" i="10"/>
  <c r="BZ82" i="10"/>
  <c r="BH77" i="10"/>
  <c r="AE77" i="10"/>
  <c r="J77" i="10"/>
  <c r="BX83" i="10"/>
  <c r="BX87" i="10"/>
  <c r="BX101" i="10"/>
  <c r="BX102" i="10"/>
  <c r="BX80" i="10"/>
  <c r="J75" i="10"/>
  <c r="BU79" i="10"/>
  <c r="BU93" i="10"/>
  <c r="BU82" i="10"/>
  <c r="T72" i="10"/>
  <c r="R72" i="10"/>
  <c r="P72" i="10"/>
  <c r="T71" i="10"/>
  <c r="R71" i="10"/>
  <c r="P71" i="10"/>
  <c r="N71" i="10"/>
  <c r="L71" i="10"/>
  <c r="J71" i="10"/>
  <c r="H71" i="10"/>
  <c r="BS83" i="10"/>
  <c r="BS88" i="10"/>
  <c r="BS98" i="10"/>
  <c r="BS99" i="10"/>
  <c r="BS101" i="10"/>
  <c r="BS102" i="10"/>
  <c r="BS76" i="10"/>
  <c r="BS94" i="10"/>
  <c r="BS75" i="10"/>
  <c r="BS91" i="10"/>
  <c r="BS74" i="10"/>
  <c r="BS90" i="10"/>
  <c r="BS84" i="10"/>
  <c r="BS70" i="10"/>
  <c r="BS80" i="10"/>
  <c r="BS92" i="10"/>
  <c r="BS87" i="10"/>
  <c r="BH69" i="10"/>
  <c r="BH65" i="10"/>
  <c r="J65" i="10"/>
  <c r="AE64" i="10"/>
  <c r="T64" i="10"/>
  <c r="R64" i="10"/>
  <c r="P64" i="10"/>
  <c r="T63" i="10"/>
  <c r="R63" i="10"/>
  <c r="BK72" i="10"/>
  <c r="BK80" i="10"/>
  <c r="BK81" i="10"/>
  <c r="BK83" i="10"/>
  <c r="BK87" i="10"/>
  <c r="BK90" i="10"/>
  <c r="BK95" i="10"/>
  <c r="BK97" i="10"/>
  <c r="BK100" i="10"/>
  <c r="BK101" i="10"/>
  <c r="T62" i="10"/>
  <c r="R62" i="10"/>
  <c r="L62" i="10"/>
  <c r="T60" i="10"/>
  <c r="R60" i="10"/>
  <c r="N60" i="10"/>
  <c r="R56" i="10"/>
  <c r="BD68" i="10"/>
  <c r="BD66" i="10"/>
  <c r="BD69" i="10"/>
  <c r="BD70" i="10"/>
  <c r="BD71" i="10"/>
  <c r="BD82" i="10"/>
  <c r="BD75" i="10"/>
  <c r="BD85" i="10"/>
  <c r="BD89" i="10"/>
  <c r="BD99" i="10"/>
  <c r="BD100" i="10"/>
  <c r="BD61" i="10"/>
  <c r="AE55" i="10"/>
  <c r="T55" i="10"/>
  <c r="H55" i="10"/>
  <c r="R51" i="10"/>
  <c r="R50" i="10"/>
  <c r="AX77" i="10"/>
  <c r="AX85" i="10"/>
  <c r="AX76" i="10"/>
  <c r="AX88" i="10"/>
  <c r="AX89" i="10"/>
  <c r="AX90" i="10"/>
  <c r="AX95" i="10"/>
  <c r="AX100" i="10"/>
  <c r="AX101" i="10"/>
  <c r="AX74" i="10"/>
  <c r="AX58" i="10"/>
  <c r="AX59" i="10"/>
  <c r="AX61" i="10"/>
  <c r="AX73" i="10"/>
  <c r="AX70" i="10"/>
  <c r="AX67" i="10"/>
  <c r="AX54" i="10"/>
  <c r="T49" i="10"/>
  <c r="T48" i="10"/>
  <c r="BI69" i="10"/>
  <c r="BI80" i="10"/>
  <c r="AZ58" i="10"/>
  <c r="AZ67" i="10"/>
  <c r="AZ76" i="10"/>
  <c r="AZ78" i="10"/>
  <c r="AZ81" i="10"/>
  <c r="AY70" i="10"/>
  <c r="AY83" i="10"/>
  <c r="AT45" i="10"/>
  <c r="AT63" i="10"/>
  <c r="AT73" i="10"/>
  <c r="AT74" i="10"/>
  <c r="AT77" i="10"/>
  <c r="AT80" i="10"/>
  <c r="AT85" i="10"/>
  <c r="AS68" i="10"/>
  <c r="AS69" i="10"/>
  <c r="AP50" i="10"/>
  <c r="AP56" i="10"/>
  <c r="AP54" i="10"/>
  <c r="AP60" i="10"/>
  <c r="AP62" i="10"/>
  <c r="AP67" i="10"/>
  <c r="AP72" i="10"/>
  <c r="AP73" i="10"/>
  <c r="AP77" i="10"/>
  <c r="AP80" i="10"/>
  <c r="AP81" i="10"/>
  <c r="AF59" i="10"/>
  <c r="AF61" i="10"/>
  <c r="AF64" i="10"/>
  <c r="AF72" i="10"/>
  <c r="AF77" i="10"/>
  <c r="AF81" i="10"/>
  <c r="AF83" i="10"/>
  <c r="AF84" i="10"/>
  <c r="AV49" i="10"/>
  <c r="AV50" i="10"/>
  <c r="AV54" i="10"/>
  <c r="AV55" i="10"/>
  <c r="AV57" i="10"/>
  <c r="AV58" i="10"/>
  <c r="AH34" i="10"/>
  <c r="AH33" i="10"/>
  <c r="AH40" i="10"/>
  <c r="AH42" i="10"/>
  <c r="AH44" i="10"/>
  <c r="AH45" i="10"/>
  <c r="AH48" i="10"/>
  <c r="AH49" i="10"/>
  <c r="AH51" i="10"/>
  <c r="AH52" i="10"/>
  <c r="AH55" i="10"/>
  <c r="AH56" i="10"/>
  <c r="Y33" i="10"/>
  <c r="Y27" i="10"/>
  <c r="Y47" i="10"/>
  <c r="Y49" i="10"/>
  <c r="Y53" i="10"/>
  <c r="Y54" i="10"/>
  <c r="Y56" i="10"/>
  <c r="Y57" i="10"/>
  <c r="Y58" i="10"/>
  <c r="W50" i="10"/>
  <c r="W55" i="10"/>
  <c r="S41" i="10"/>
  <c r="S43" i="10"/>
  <c r="S45" i="10"/>
  <c r="S47" i="10"/>
  <c r="S48" i="10"/>
  <c r="S49" i="10"/>
  <c r="S50" i="10"/>
  <c r="S51" i="10"/>
  <c r="S55" i="10"/>
  <c r="S56" i="10"/>
  <c r="S58" i="10"/>
  <c r="S59" i="10"/>
  <c r="F44" i="10"/>
  <c r="CB79" i="10"/>
  <c r="BD58" i="10"/>
  <c r="AZ56" i="10"/>
  <c r="AV52" i="10"/>
  <c r="AP51" i="10"/>
  <c r="AH47" i="10"/>
  <c r="AH43" i="10"/>
  <c r="Q43" i="10"/>
  <c r="Q42" i="10"/>
  <c r="AH41" i="10"/>
  <c r="R40" i="10"/>
  <c r="AH39" i="10"/>
  <c r="Q38" i="10"/>
  <c r="AH37" i="10"/>
  <c r="R37" i="10"/>
  <c r="Y35" i="10"/>
  <c r="Q35" i="10"/>
  <c r="R34" i="10"/>
  <c r="R33" i="10"/>
  <c r="R32" i="10"/>
  <c r="R26" i="10"/>
  <c r="R24" i="10"/>
  <c r="R23" i="10"/>
  <c r="Q18" i="10"/>
  <c r="AY59" i="10"/>
  <c r="AY76" i="10"/>
  <c r="AY77" i="10"/>
  <c r="AS45" i="10"/>
  <c r="AS47" i="10"/>
  <c r="AS56" i="10"/>
  <c r="AS59" i="10"/>
  <c r="AS61" i="10"/>
  <c r="AS54" i="10"/>
  <c r="AS62" i="10"/>
  <c r="AS64" i="10"/>
  <c r="AS70" i="10"/>
  <c r="AS72" i="10"/>
  <c r="AS75" i="10"/>
  <c r="AS79" i="10"/>
  <c r="AS81" i="10"/>
  <c r="AS82" i="10"/>
  <c r="AS83" i="10"/>
  <c r="AS84" i="10"/>
  <c r="AQ42" i="10"/>
  <c r="AQ62" i="10"/>
  <c r="AQ58" i="10"/>
  <c r="AQ63" i="10"/>
  <c r="AQ73" i="10"/>
  <c r="AQ74" i="10"/>
  <c r="AQ78" i="10"/>
  <c r="AQ79" i="10"/>
  <c r="AO57" i="10"/>
  <c r="AO59" i="10"/>
  <c r="AO62" i="10"/>
  <c r="AO53" i="10"/>
  <c r="AO65" i="10"/>
  <c r="AO66" i="10"/>
  <c r="AO73" i="10"/>
  <c r="AO74" i="10"/>
  <c r="AO76" i="10"/>
  <c r="AO77" i="10"/>
  <c r="AO78" i="10"/>
  <c r="AO79" i="10"/>
  <c r="M32" i="10"/>
  <c r="M49" i="10"/>
  <c r="M51" i="10"/>
  <c r="M52" i="10"/>
  <c r="M53" i="10"/>
  <c r="M56" i="10"/>
  <c r="M58" i="10"/>
  <c r="M61" i="10"/>
  <c r="M62" i="10"/>
  <c r="M63" i="10"/>
  <c r="M50" i="10"/>
  <c r="M54" i="10"/>
  <c r="M55" i="10"/>
  <c r="M57" i="10"/>
  <c r="M59" i="10"/>
  <c r="M64" i="10"/>
  <c r="M65" i="10"/>
  <c r="M68" i="10"/>
  <c r="M69" i="10"/>
  <c r="M72" i="10"/>
  <c r="M73" i="10"/>
  <c r="M76" i="10"/>
  <c r="M77" i="10"/>
  <c r="M78" i="10"/>
  <c r="M80" i="10"/>
  <c r="M85" i="10"/>
  <c r="H31" i="30"/>
  <c r="J14" i="37" s="1"/>
  <c r="P31" i="30"/>
  <c r="CO94" i="10"/>
  <c r="CO96" i="10"/>
  <c r="CO99" i="10"/>
  <c r="CO102" i="10"/>
  <c r="K24" i="10"/>
  <c r="K28" i="10"/>
  <c r="I30" i="10"/>
  <c r="K34" i="10"/>
  <c r="K35" i="10"/>
  <c r="I37" i="10"/>
  <c r="AI37" i="10"/>
  <c r="AI40" i="10"/>
  <c r="K41" i="10"/>
  <c r="K42" i="10"/>
  <c r="AI42" i="10"/>
  <c r="K43" i="10"/>
  <c r="K44" i="10"/>
  <c r="AO44" i="10"/>
  <c r="AO46" i="10"/>
  <c r="AO50" i="10"/>
  <c r="AY53" i="10"/>
  <c r="AO54" i="10"/>
  <c r="AO56" i="10"/>
  <c r="AY56" i="10"/>
  <c r="AY60" i="10"/>
  <c r="AY62" i="10"/>
  <c r="AY64" i="10"/>
  <c r="BY77" i="10"/>
  <c r="CQ95" i="10"/>
  <c r="CQ96" i="10"/>
  <c r="CT98" i="10"/>
  <c r="F9" i="10"/>
  <c r="F19" i="10"/>
  <c r="F29" i="10"/>
  <c r="F39" i="10"/>
  <c r="F50" i="10"/>
  <c r="F61" i="10"/>
  <c r="F71" i="10"/>
  <c r="F82" i="10"/>
  <c r="F92" i="10"/>
  <c r="F102" i="10"/>
  <c r="F56" i="10"/>
  <c r="F69" i="10"/>
  <c r="M20" i="10"/>
  <c r="I31" i="10"/>
  <c r="I24" i="10"/>
  <c r="I40" i="10"/>
  <c r="I28" i="10"/>
  <c r="I12" i="10"/>
  <c r="I34" i="10"/>
  <c r="I14" i="10"/>
  <c r="I15" i="10"/>
  <c r="I8" i="10"/>
  <c r="O45" i="10"/>
  <c r="AQ47" i="10"/>
  <c r="AQ52" i="10"/>
  <c r="K23" i="10"/>
  <c r="O26" i="10"/>
  <c r="O39" i="10"/>
  <c r="O40" i="10"/>
  <c r="O43" i="10"/>
  <c r="O46" i="10"/>
  <c r="AQ51" i="10"/>
  <c r="AY54" i="10"/>
  <c r="AQ70" i="10"/>
  <c r="AQ86" i="10"/>
  <c r="O19" i="10"/>
  <c r="O20" i="10"/>
  <c r="O36" i="10"/>
  <c r="O24" i="10"/>
  <c r="O27" i="10"/>
  <c r="AQ48" i="10"/>
  <c r="I16" i="10"/>
  <c r="I19" i="10"/>
  <c r="AQ50" i="10"/>
  <c r="AQ55" i="10"/>
  <c r="AQ66" i="10"/>
  <c r="AQ71" i="10"/>
  <c r="AQ82" i="10"/>
  <c r="O18" i="10"/>
  <c r="O23" i="10"/>
  <c r="AQ44" i="10"/>
  <c r="AQ76" i="10"/>
  <c r="AQ77" i="10"/>
  <c r="O17" i="10"/>
  <c r="AQ43" i="10"/>
  <c r="K30" i="10"/>
  <c r="K16" i="10"/>
  <c r="K12" i="10"/>
  <c r="K25" i="10"/>
  <c r="K19" i="10"/>
  <c r="K14" i="10"/>
  <c r="O16" i="10"/>
  <c r="O28" i="10"/>
  <c r="O34" i="10"/>
  <c r="AQ65" i="10"/>
  <c r="AQ81" i="10"/>
  <c r="BZ83" i="10"/>
  <c r="BZ88" i="10"/>
  <c r="BZ78" i="10"/>
  <c r="CG92" i="10"/>
  <c r="CG85" i="10"/>
  <c r="CS101" i="10"/>
  <c r="CI89" i="10"/>
  <c r="BQ69" i="10"/>
  <c r="CG91" i="10"/>
  <c r="BQ71" i="10"/>
  <c r="BQ76" i="10"/>
  <c r="BQ80" i="10"/>
  <c r="BQ86" i="10"/>
  <c r="BQ70" i="10"/>
  <c r="BQ93" i="10"/>
  <c r="BQ79" i="10"/>
  <c r="BQ98" i="10"/>
  <c r="BQ81" i="10"/>
  <c r="CG86" i="10"/>
  <c r="CG93" i="10"/>
  <c r="CG98" i="10"/>
  <c r="F80" i="10"/>
  <c r="O102" i="10"/>
  <c r="M102" i="10"/>
  <c r="K102" i="10"/>
  <c r="I102" i="10"/>
  <c r="G102" i="10"/>
  <c r="F65" i="10"/>
  <c r="F22" i="10"/>
  <c r="CG101" i="10"/>
  <c r="BQ101" i="10"/>
  <c r="AY101" i="10"/>
  <c r="AU101" i="10"/>
  <c r="AS101" i="10"/>
  <c r="AQ101" i="10"/>
  <c r="AO101" i="10"/>
  <c r="AI101" i="10"/>
  <c r="O101" i="10"/>
  <c r="M101" i="10"/>
  <c r="K101" i="10"/>
  <c r="I101" i="10"/>
  <c r="G101" i="10"/>
  <c r="CT100" i="10"/>
  <c r="CG100" i="10"/>
  <c r="BQ100" i="10"/>
  <c r="AS100" i="10"/>
  <c r="AQ100" i="10"/>
  <c r="AO100" i="10"/>
  <c r="BU99" i="10"/>
  <c r="BU98" i="10"/>
  <c r="AY98" i="10"/>
  <c r="AI98" i="10"/>
  <c r="O98" i="10"/>
  <c r="M98" i="10"/>
  <c r="K98" i="10"/>
  <c r="I98" i="10"/>
  <c r="G98" i="10"/>
  <c r="CG97" i="10"/>
  <c r="AY97" i="10"/>
  <c r="AI97" i="10"/>
  <c r="O97" i="10"/>
  <c r="M97" i="10"/>
  <c r="K97" i="10"/>
  <c r="I97" i="10"/>
  <c r="G97" i="10"/>
  <c r="BY96" i="10"/>
  <c r="BU96" i="10"/>
  <c r="BQ96" i="10"/>
  <c r="AY96" i="10"/>
  <c r="AU96" i="10"/>
  <c r="AS96" i="10"/>
  <c r="AQ96" i="10"/>
  <c r="AO96" i="10"/>
  <c r="CG95" i="10"/>
  <c r="BU95" i="10"/>
  <c r="AI95" i="10"/>
  <c r="O95" i="10"/>
  <c r="M95" i="10"/>
  <c r="K95" i="10"/>
  <c r="I95" i="10"/>
  <c r="G95" i="10"/>
  <c r="BZ94" i="10"/>
  <c r="AI94" i="10"/>
  <c r="O94" i="10"/>
  <c r="M94" i="10"/>
  <c r="K94" i="10"/>
  <c r="I94" i="10"/>
  <c r="G94" i="10"/>
  <c r="AY93" i="10"/>
  <c r="AU93" i="10"/>
  <c r="AS93" i="10"/>
  <c r="AQ93" i="10"/>
  <c r="AO93" i="10"/>
  <c r="BU92" i="10"/>
  <c r="AS92" i="10"/>
  <c r="AQ92" i="10"/>
  <c r="AO92" i="10"/>
  <c r="O92" i="10"/>
  <c r="M92" i="10"/>
  <c r="K92" i="10"/>
  <c r="I92" i="10"/>
  <c r="G92" i="10"/>
  <c r="AY91" i="10"/>
  <c r="AU91" i="10"/>
  <c r="BY90" i="10"/>
  <c r="AI90" i="10"/>
  <c r="O90" i="10"/>
  <c r="M90" i="10"/>
  <c r="K90" i="10"/>
  <c r="I90" i="10"/>
  <c r="G90" i="10"/>
  <c r="AY88" i="10"/>
  <c r="AU88" i="10"/>
  <c r="BU87" i="10"/>
  <c r="BQ87" i="10"/>
  <c r="AY87" i="10"/>
  <c r="O87" i="10"/>
  <c r="M87" i="10"/>
  <c r="K87" i="10"/>
  <c r="I87" i="10"/>
  <c r="G87" i="10"/>
  <c r="AO86" i="10"/>
  <c r="BU85" i="10"/>
  <c r="AO85" i="10"/>
  <c r="O83" i="10"/>
  <c r="M83" i="10"/>
  <c r="K83" i="10"/>
  <c r="I83" i="10"/>
  <c r="G83" i="10"/>
  <c r="AO82" i="10"/>
  <c r="AO81" i="10"/>
  <c r="AU80" i="10"/>
  <c r="AS80" i="10"/>
  <c r="AQ80" i="10"/>
  <c r="AO80" i="10"/>
  <c r="M79" i="10"/>
  <c r="K79" i="10"/>
  <c r="I79" i="10"/>
  <c r="G79" i="10"/>
  <c r="BQ78" i="10"/>
  <c r="AS78" i="10"/>
  <c r="O76" i="10"/>
  <c r="AQ75" i="10"/>
  <c r="AO75" i="10"/>
  <c r="O75" i="10"/>
  <c r="M75" i="10"/>
  <c r="K75" i="10"/>
  <c r="I75" i="10"/>
  <c r="G75" i="10"/>
  <c r="AS74" i="10"/>
  <c r="M74" i="10"/>
  <c r="K74" i="10"/>
  <c r="I74" i="10"/>
  <c r="G74" i="10"/>
  <c r="BT77" i="10"/>
  <c r="BT75" i="10"/>
  <c r="BT79" i="10"/>
  <c r="AO71" i="10"/>
  <c r="O68" i="10"/>
  <c r="O65" i="10"/>
  <c r="BM79" i="10"/>
  <c r="BM71" i="10"/>
  <c r="BM73" i="10"/>
  <c r="BM80" i="10"/>
  <c r="BM81" i="10"/>
  <c r="BM83" i="10"/>
  <c r="BM84" i="10"/>
  <c r="K64" i="10"/>
  <c r="AO63" i="10"/>
  <c r="K63" i="10"/>
  <c r="G61" i="10"/>
  <c r="AS60" i="10"/>
  <c r="M60" i="10"/>
  <c r="K60" i="10"/>
  <c r="I60" i="10"/>
  <c r="G60" i="10"/>
  <c r="G58" i="10"/>
  <c r="AQ57" i="10"/>
  <c r="I54" i="10"/>
  <c r="G48" i="10"/>
  <c r="AL42" i="10"/>
  <c r="AL58" i="10"/>
  <c r="AL57" i="10"/>
  <c r="AL66" i="10"/>
  <c r="AL67" i="10"/>
  <c r="AL68" i="10"/>
  <c r="AL69" i="10"/>
  <c r="AL74" i="10"/>
  <c r="AL75" i="10"/>
  <c r="AL76" i="10"/>
  <c r="AL77" i="10"/>
  <c r="AL78" i="10"/>
  <c r="AL79" i="10"/>
  <c r="AF35" i="10"/>
  <c r="AF56" i="10"/>
  <c r="AF53" i="10"/>
  <c r="AF63" i="10"/>
  <c r="AF67" i="10"/>
  <c r="AF68" i="10"/>
  <c r="AF69" i="10"/>
  <c r="AF71" i="10"/>
  <c r="AF75" i="10"/>
  <c r="AF79" i="10"/>
  <c r="AF85" i="10"/>
  <c r="AB49" i="10"/>
  <c r="AB56" i="10"/>
  <c r="AB61" i="10"/>
  <c r="AB38" i="10"/>
  <c r="AB65" i="10"/>
  <c r="AB67" i="10"/>
  <c r="AA39" i="10"/>
  <c r="AA58" i="10"/>
  <c r="AA60" i="10"/>
  <c r="AA64" i="10"/>
  <c r="AA68" i="10"/>
  <c r="AA69" i="10"/>
  <c r="AA70" i="10"/>
  <c r="AA71" i="10"/>
  <c r="AA72" i="10"/>
  <c r="AA75" i="10"/>
  <c r="AA76" i="10"/>
  <c r="AA77" i="10"/>
  <c r="AA78" i="10"/>
  <c r="AA79" i="10"/>
  <c r="AA80" i="10"/>
  <c r="AA81" i="10"/>
  <c r="AA82" i="10"/>
  <c r="AA83" i="10"/>
  <c r="AA85" i="10"/>
  <c r="BU72" i="10"/>
  <c r="BU76" i="10"/>
  <c r="BU83" i="10"/>
  <c r="AU52" i="10"/>
  <c r="AU51" i="10"/>
  <c r="AU67" i="10"/>
  <c r="AU71" i="10"/>
  <c r="AU83" i="10"/>
  <c r="O31" i="10"/>
  <c r="O35" i="10"/>
  <c r="O50" i="10"/>
  <c r="O52" i="10"/>
  <c r="O53" i="10"/>
  <c r="O54" i="10"/>
  <c r="O55" i="10"/>
  <c r="O61" i="10"/>
  <c r="O25" i="10"/>
  <c r="O47" i="10"/>
  <c r="O49" i="10"/>
  <c r="O56" i="10"/>
  <c r="O57" i="10"/>
  <c r="O59" i="10"/>
  <c r="O62" i="10"/>
  <c r="O63" i="10"/>
  <c r="O64" i="10"/>
  <c r="O69" i="10"/>
  <c r="O72" i="10"/>
  <c r="O74" i="10"/>
  <c r="O78" i="10"/>
  <c r="O79" i="10"/>
  <c r="O80" i="10"/>
  <c r="O85" i="10"/>
  <c r="K47" i="10"/>
  <c r="K50" i="10"/>
  <c r="K51" i="10"/>
  <c r="K52" i="10"/>
  <c r="K54" i="10"/>
  <c r="K57" i="10"/>
  <c r="K62" i="10"/>
  <c r="K55" i="10"/>
  <c r="K58" i="10"/>
  <c r="K59" i="10"/>
  <c r="K61" i="10"/>
  <c r="K65" i="10"/>
  <c r="K68" i="10"/>
  <c r="K69" i="10"/>
  <c r="K72" i="10"/>
  <c r="K73" i="10"/>
  <c r="K76" i="10"/>
  <c r="K77" i="10"/>
  <c r="K78" i="10"/>
  <c r="K80" i="10"/>
  <c r="K85" i="10"/>
  <c r="I47" i="10"/>
  <c r="I46" i="10"/>
  <c r="I48" i="10"/>
  <c r="I49" i="10"/>
  <c r="I51" i="10"/>
  <c r="I52" i="10"/>
  <c r="I53" i="10"/>
  <c r="I56" i="10"/>
  <c r="I58" i="10"/>
  <c r="I61" i="10"/>
  <c r="I62" i="10"/>
  <c r="I63" i="10"/>
  <c r="I55" i="10"/>
  <c r="I59" i="10"/>
  <c r="I64" i="10"/>
  <c r="I65" i="10"/>
  <c r="I68" i="10"/>
  <c r="I69" i="10"/>
  <c r="I72" i="10"/>
  <c r="I73" i="10"/>
  <c r="I76" i="10"/>
  <c r="I77" i="10"/>
  <c r="I78" i="10"/>
  <c r="I80" i="10"/>
  <c r="I85" i="10"/>
  <c r="G15" i="10"/>
  <c r="G26" i="10"/>
  <c r="G50" i="10"/>
  <c r="G51" i="10"/>
  <c r="G52" i="10"/>
  <c r="G54" i="10"/>
  <c r="G62" i="10"/>
  <c r="G18" i="10"/>
  <c r="G22" i="10"/>
  <c r="G49" i="10"/>
  <c r="G53" i="10"/>
  <c r="G55" i="10"/>
  <c r="G56" i="10"/>
  <c r="G59" i="10"/>
  <c r="G63" i="10"/>
  <c r="G65" i="10"/>
  <c r="G68" i="10"/>
  <c r="G69" i="10"/>
  <c r="G72" i="10"/>
  <c r="G73" i="10"/>
  <c r="G76" i="10"/>
  <c r="G77" i="10"/>
  <c r="G78" i="10"/>
  <c r="G80" i="10"/>
  <c r="G85" i="10"/>
  <c r="AI59" i="10"/>
  <c r="AI62" i="10"/>
  <c r="AI53" i="10"/>
  <c r="AI55" i="10"/>
  <c r="AI65" i="10"/>
  <c r="AI67" i="10"/>
  <c r="AI71" i="10"/>
  <c r="AI75" i="10"/>
  <c r="AI80" i="10"/>
  <c r="BH68" i="10"/>
  <c r="BH59" i="10"/>
  <c r="AD37" i="10"/>
  <c r="AD42" i="10"/>
  <c r="AD54" i="10"/>
  <c r="AD55" i="10"/>
  <c r="AD57" i="10"/>
  <c r="AD62" i="10"/>
  <c r="Z38" i="10"/>
  <c r="Z53" i="10"/>
  <c r="Z62" i="10"/>
  <c r="U34" i="10"/>
  <c r="U56" i="10"/>
  <c r="U58" i="10"/>
  <c r="U62" i="10"/>
  <c r="P33" i="10"/>
  <c r="P34" i="10"/>
  <c r="P51" i="10"/>
  <c r="P57" i="10"/>
  <c r="P59" i="10"/>
  <c r="P60" i="10"/>
  <c r="AX55" i="10"/>
  <c r="AX71" i="10"/>
  <c r="AX72" i="10"/>
  <c r="AX78" i="10"/>
  <c r="AW48" i="10"/>
  <c r="AW49" i="10"/>
  <c r="AW53" i="10"/>
  <c r="AW56" i="10"/>
  <c r="AW58" i="10"/>
  <c r="AW61" i="10"/>
  <c r="AW64" i="10"/>
  <c r="AW65" i="10"/>
  <c r="AW66" i="10"/>
  <c r="AW76" i="10"/>
  <c r="AW77" i="10"/>
  <c r="AR47" i="10"/>
  <c r="AR44" i="10"/>
  <c r="AR45" i="10"/>
  <c r="AR43" i="10"/>
  <c r="AR60" i="10"/>
  <c r="AR61" i="10"/>
  <c r="AR62" i="10"/>
  <c r="AR64" i="10"/>
  <c r="AR68" i="10"/>
  <c r="AR69" i="10"/>
  <c r="AR70" i="10"/>
  <c r="AR72" i="10"/>
  <c r="AR73" i="10"/>
  <c r="AR74" i="10"/>
  <c r="AR75" i="10"/>
  <c r="AR78" i="10"/>
  <c r="W22" i="10"/>
  <c r="W42" i="10"/>
  <c r="W31" i="10"/>
  <c r="W37" i="10"/>
  <c r="W41" i="10"/>
  <c r="W51" i="10"/>
  <c r="W52" i="10"/>
  <c r="W53" i="10"/>
  <c r="W57" i="10"/>
  <c r="W59" i="10"/>
  <c r="W60" i="10"/>
  <c r="W61" i="10"/>
  <c r="W64" i="10"/>
  <c r="W66" i="10"/>
  <c r="W67" i="10"/>
  <c r="W69" i="10"/>
  <c r="W70" i="10"/>
  <c r="W71" i="10"/>
  <c r="W72" i="10"/>
  <c r="W75" i="10"/>
  <c r="W78" i="10"/>
  <c r="N13" i="10"/>
  <c r="N15" i="10"/>
  <c r="N24" i="10"/>
  <c r="N39" i="10"/>
  <c r="N14" i="10"/>
  <c r="N21" i="10"/>
  <c r="N30" i="10"/>
  <c r="N41" i="10"/>
  <c r="N45" i="10"/>
  <c r="N50" i="10"/>
  <c r="N54" i="10"/>
  <c r="N55" i="10"/>
  <c r="N56" i="10"/>
  <c r="N58" i="10"/>
  <c r="N62" i="10"/>
  <c r="N63" i="10"/>
  <c r="N65" i="10"/>
  <c r="N68" i="10"/>
  <c r="N73" i="10"/>
  <c r="N74" i="10"/>
  <c r="N76" i="10"/>
  <c r="N77" i="10"/>
  <c r="N79" i="10"/>
  <c r="E68" i="10"/>
  <c r="E22" i="10"/>
  <c r="F95" i="10"/>
  <c r="F75" i="10"/>
  <c r="F54" i="10"/>
  <c r="F34" i="10"/>
  <c r="F12" i="10"/>
  <c r="BK64" i="10"/>
  <c r="BK68" i="10"/>
  <c r="BK74" i="10"/>
  <c r="BK75" i="10"/>
  <c r="BG62" i="10"/>
  <c r="BG74" i="10"/>
  <c r="BG78" i="10"/>
  <c r="BF58" i="10"/>
  <c r="BF64" i="10"/>
  <c r="BF69" i="10"/>
  <c r="BF70" i="10"/>
  <c r="BF71" i="10"/>
  <c r="BF75" i="10"/>
  <c r="BC60" i="10"/>
  <c r="BC55" i="10"/>
  <c r="BC70" i="10"/>
  <c r="BC71" i="10"/>
  <c r="BC72" i="10"/>
  <c r="AW54" i="10"/>
  <c r="BB57" i="10"/>
  <c r="BB63" i="10"/>
  <c r="BB74" i="10"/>
  <c r="BB76" i="10"/>
  <c r="BB77" i="10"/>
  <c r="AW52" i="10"/>
  <c r="W49" i="10"/>
  <c r="AU55" i="10"/>
  <c r="AU56" i="10"/>
  <c r="AU76" i="10"/>
  <c r="AU77" i="10"/>
  <c r="AS44" i="10"/>
  <c r="AS46" i="10"/>
  <c r="AS48" i="10"/>
  <c r="AS49" i="10"/>
  <c r="AS50" i="10"/>
  <c r="AS51" i="10"/>
  <c r="AS52" i="10"/>
  <c r="AS53" i="10"/>
  <c r="AS55" i="10"/>
  <c r="AS57" i="10"/>
  <c r="AS58" i="10"/>
  <c r="AS63" i="10"/>
  <c r="AS65" i="10"/>
  <c r="AS66" i="10"/>
  <c r="AS67" i="10"/>
  <c r="AS71" i="10"/>
  <c r="AS76" i="10"/>
  <c r="AS77" i="10"/>
  <c r="W44" i="10"/>
  <c r="N44" i="10"/>
  <c r="AO43" i="10"/>
  <c r="AO49" i="10"/>
  <c r="AO55" i="10"/>
  <c r="AO58" i="10"/>
  <c r="AO60" i="10"/>
  <c r="AO64" i="10"/>
  <c r="AO68" i="10"/>
  <c r="AO69" i="10"/>
  <c r="AO70" i="10"/>
  <c r="AO72" i="10"/>
  <c r="N35" i="10"/>
  <c r="AG36" i="10"/>
  <c r="AG43" i="10"/>
  <c r="AG60" i="10"/>
  <c r="AG64" i="10"/>
  <c r="AG67" i="10"/>
  <c r="AG68" i="10"/>
  <c r="AG71" i="10"/>
  <c r="AG72" i="10"/>
  <c r="AG73" i="10"/>
  <c r="AG74" i="10"/>
  <c r="AG75" i="10"/>
  <c r="AG78" i="10"/>
  <c r="W26" i="10"/>
  <c r="U20" i="10"/>
  <c r="U23" i="10"/>
  <c r="U29" i="10"/>
  <c r="U30" i="10"/>
  <c r="U31" i="10"/>
  <c r="U32" i="10"/>
  <c r="U33" i="10"/>
  <c r="U35" i="10"/>
  <c r="U37" i="10"/>
  <c r="U38" i="10"/>
  <c r="U40" i="10"/>
  <c r="U41" i="10"/>
  <c r="U43" i="10"/>
  <c r="U44" i="10"/>
  <c r="U45" i="10"/>
  <c r="U46" i="10"/>
  <c r="U39" i="10"/>
  <c r="U42" i="10"/>
  <c r="U47" i="10"/>
  <c r="U49" i="10"/>
  <c r="U51" i="10"/>
  <c r="U52" i="10"/>
  <c r="U53" i="10"/>
  <c r="U57" i="10"/>
  <c r="U59" i="10"/>
  <c r="U60" i="10"/>
  <c r="U61" i="10"/>
  <c r="U64" i="10"/>
  <c r="U66" i="10"/>
  <c r="U67" i="10"/>
  <c r="U69" i="10"/>
  <c r="U70" i="10"/>
  <c r="U71" i="10"/>
  <c r="U72" i="10"/>
  <c r="U75" i="10"/>
  <c r="U78" i="10"/>
  <c r="P18" i="10"/>
  <c r="P22" i="10"/>
  <c r="P32" i="10"/>
  <c r="P43" i="10"/>
  <c r="P45" i="10"/>
  <c r="P24" i="10"/>
  <c r="P39" i="10"/>
  <c r="P40" i="10"/>
  <c r="P46" i="10"/>
  <c r="P48" i="10"/>
  <c r="P50" i="10"/>
  <c r="P54" i="10"/>
  <c r="P55" i="10"/>
  <c r="P56" i="10"/>
  <c r="P58" i="10"/>
  <c r="P62" i="10"/>
  <c r="P63" i="10"/>
  <c r="P65" i="10"/>
  <c r="P68" i="10"/>
  <c r="P73" i="10"/>
  <c r="P74" i="10"/>
  <c r="P76" i="10"/>
  <c r="P77" i="10"/>
  <c r="AE35" i="10"/>
  <c r="AE39" i="10"/>
  <c r="AE40" i="10"/>
  <c r="AE44" i="10"/>
  <c r="AE46" i="10"/>
  <c r="Y34" i="10"/>
  <c r="Y31" i="10"/>
  <c r="Y39" i="10"/>
  <c r="S28" i="10"/>
  <c r="S24" i="10"/>
  <c r="S29" i="10"/>
  <c r="S33" i="10"/>
  <c r="S34" i="10"/>
  <c r="S35" i="10"/>
  <c r="S37" i="10"/>
  <c r="S38" i="10"/>
  <c r="S39" i="10"/>
  <c r="S40" i="10"/>
  <c r="S42" i="10"/>
  <c r="S46" i="10"/>
  <c r="Q16" i="10"/>
  <c r="Q24" i="10"/>
  <c r="Q25" i="10"/>
  <c r="Q28" i="10"/>
  <c r="Q30" i="10"/>
  <c r="Q31" i="10"/>
  <c r="Q33" i="10"/>
  <c r="Q34" i="10"/>
  <c r="Q36" i="10"/>
  <c r="Q37" i="10"/>
  <c r="Q39" i="10"/>
  <c r="Q40" i="10"/>
  <c r="Q41" i="10"/>
  <c r="Q44" i="10"/>
  <c r="Q46" i="10"/>
  <c r="M13" i="10"/>
  <c r="M16" i="10"/>
  <c r="M34" i="10"/>
  <c r="K26" i="10"/>
  <c r="K37" i="10"/>
  <c r="K46" i="10"/>
  <c r="G41" i="10"/>
  <c r="G42" i="10"/>
  <c r="G44" i="10"/>
  <c r="A72" i="42"/>
  <c r="L4" i="15"/>
  <c r="B71" i="42"/>
  <c r="B72" i="42"/>
  <c r="Q180" i="42"/>
  <c r="Q218" i="42"/>
  <c r="Q212" i="42"/>
  <c r="Q36" i="42"/>
  <c r="Q24" i="42"/>
  <c r="Q19" i="42"/>
  <c r="Q16" i="42"/>
  <c r="B36" i="39"/>
  <c r="A73" i="42"/>
  <c r="F11" i="10"/>
  <c r="F17" i="10"/>
  <c r="F21" i="10"/>
  <c r="F27" i="10"/>
  <c r="F31" i="10"/>
  <c r="F37" i="10"/>
  <c r="F43" i="10"/>
  <c r="F47" i="10"/>
  <c r="F53" i="10"/>
  <c r="F58" i="10"/>
  <c r="F63" i="10"/>
  <c r="F68" i="10"/>
  <c r="F74" i="10"/>
  <c r="F79" i="10"/>
  <c r="F84" i="10"/>
  <c r="F90" i="10"/>
  <c r="F94" i="10"/>
  <c r="F100" i="10"/>
  <c r="F8" i="10"/>
  <c r="F40" i="10"/>
  <c r="F72" i="10"/>
  <c r="F87" i="10"/>
  <c r="F51" i="10"/>
  <c r="F14" i="10"/>
  <c r="F5" i="10"/>
  <c r="F78" i="10"/>
  <c r="E34" i="10"/>
  <c r="E71" i="10"/>
  <c r="E44" i="10"/>
  <c r="E99" i="10"/>
  <c r="E54" i="10"/>
  <c r="E19" i="10"/>
  <c r="E56" i="10"/>
  <c r="E92" i="10"/>
  <c r="E20" i="10"/>
  <c r="E57" i="10"/>
  <c r="E94" i="10"/>
  <c r="E85" i="10"/>
  <c r="E53" i="10"/>
  <c r="E21" i="10"/>
  <c r="F48" i="10"/>
  <c r="E6" i="10"/>
  <c r="E42" i="10"/>
  <c r="E79" i="10"/>
  <c r="E82" i="10"/>
  <c r="E58" i="10"/>
  <c r="E32" i="10"/>
  <c r="F101" i="10"/>
  <c r="F91" i="10"/>
  <c r="F81" i="10"/>
  <c r="F70" i="10"/>
  <c r="F59" i="10"/>
  <c r="F49" i="10"/>
  <c r="F38" i="10"/>
  <c r="F28" i="10"/>
  <c r="F18" i="10"/>
  <c r="F7" i="10"/>
  <c r="CF97" i="10"/>
  <c r="CC97" i="10"/>
  <c r="CM94" i="10"/>
  <c r="CM91" i="10"/>
  <c r="CM97" i="10"/>
  <c r="CK88" i="10"/>
  <c r="CK90" i="10"/>
  <c r="CK94" i="10"/>
  <c r="CJ87" i="10"/>
  <c r="CJ88" i="10"/>
  <c r="CJ97" i="10"/>
  <c r="CJ98" i="10"/>
  <c r="CH91" i="10"/>
  <c r="CH85" i="10"/>
  <c r="CH87" i="10"/>
  <c r="CH92" i="10"/>
  <c r="CH94" i="10"/>
  <c r="BW75" i="10"/>
  <c r="BW80" i="10"/>
  <c r="BW89" i="10"/>
  <c r="BW96" i="10"/>
  <c r="BW97" i="10"/>
  <c r="BT71" i="10"/>
  <c r="BT74" i="10"/>
  <c r="BT76" i="10"/>
  <c r="BT78" i="10"/>
  <c r="BT81" i="10"/>
  <c r="BT83" i="10"/>
  <c r="BT84" i="10"/>
  <c r="BT85" i="10"/>
  <c r="BT86" i="10"/>
  <c r="BT88" i="10"/>
  <c r="BT89" i="10"/>
  <c r="BT90" i="10"/>
  <c r="BT92" i="10"/>
  <c r="BT93" i="10"/>
  <c r="BT95" i="10"/>
  <c r="BT97" i="10"/>
  <c r="BT98" i="10"/>
  <c r="BS71" i="10"/>
  <c r="BS82" i="10"/>
  <c r="BS96" i="10"/>
  <c r="BR86" i="10"/>
  <c r="BR87" i="10"/>
  <c r="BR88" i="10"/>
  <c r="BQ91" i="10"/>
  <c r="BQ94" i="10"/>
  <c r="BQ95" i="10"/>
  <c r="AX68" i="10"/>
  <c r="AX66" i="10"/>
  <c r="BG58" i="10"/>
  <c r="BG75" i="10"/>
  <c r="BG79" i="10"/>
  <c r="BG92" i="10"/>
  <c r="BG97" i="10"/>
  <c r="BG98" i="10"/>
  <c r="BA56" i="10"/>
  <c r="BA55" i="10"/>
  <c r="BA59" i="10"/>
  <c r="BA53" i="10"/>
  <c r="BA66" i="10"/>
  <c r="BA68" i="10"/>
  <c r="BA80" i="10"/>
  <c r="BA82" i="10"/>
  <c r="BA86" i="10"/>
  <c r="BA88" i="10"/>
  <c r="BA90" i="10"/>
  <c r="BA91" i="10"/>
  <c r="BA92" i="10"/>
  <c r="BA93" i="10"/>
  <c r="BA94" i="10"/>
  <c r="BA95" i="10"/>
  <c r="BA96" i="10"/>
  <c r="AM49" i="10"/>
  <c r="AM42" i="10"/>
  <c r="AM56" i="10"/>
  <c r="AM71" i="10"/>
  <c r="AM74" i="10"/>
  <c r="AM78" i="10"/>
  <c r="AM80" i="10"/>
  <c r="AM90" i="10"/>
  <c r="AM93" i="10"/>
  <c r="AM94" i="10"/>
  <c r="AM95" i="10"/>
  <c r="AM96" i="10"/>
  <c r="AJ37" i="10"/>
  <c r="AJ42" i="10"/>
  <c r="AJ53" i="10"/>
  <c r="AJ57" i="10"/>
  <c r="AJ58" i="10"/>
  <c r="AJ62" i="10"/>
  <c r="AJ63" i="10"/>
  <c r="AJ64" i="10"/>
  <c r="AJ59" i="10"/>
  <c r="AJ61" i="10"/>
  <c r="AJ66" i="10"/>
  <c r="AJ67" i="10"/>
  <c r="AJ68" i="10"/>
  <c r="AJ72" i="10"/>
  <c r="AJ73" i="10"/>
  <c r="AJ74" i="10"/>
  <c r="AJ76" i="10"/>
  <c r="AJ77" i="10"/>
  <c r="AJ78" i="10"/>
  <c r="AJ80" i="10"/>
  <c r="AJ85" i="10"/>
  <c r="AJ86" i="10"/>
  <c r="AJ88" i="10"/>
  <c r="AJ89" i="10"/>
  <c r="AJ91" i="10"/>
  <c r="AJ93" i="10"/>
  <c r="AJ96" i="10"/>
  <c r="AJ97" i="10"/>
  <c r="X46" i="10"/>
  <c r="X53" i="10"/>
  <c r="X61" i="10"/>
  <c r="X39" i="10"/>
  <c r="X55" i="10"/>
  <c r="X62" i="10"/>
  <c r="X71" i="10"/>
  <c r="X72" i="10"/>
  <c r="X74" i="10"/>
  <c r="X76" i="10"/>
  <c r="X77" i="10"/>
  <c r="X83" i="10"/>
  <c r="X88" i="10"/>
  <c r="X91" i="10"/>
  <c r="X92" i="10"/>
  <c r="CF94" i="10"/>
  <c r="CF98" i="10"/>
  <c r="CC80" i="10"/>
  <c r="CC89" i="10"/>
  <c r="CC91" i="10"/>
  <c r="CC93" i="10"/>
  <c r="CC94" i="10"/>
  <c r="CC95" i="10"/>
  <c r="CC96" i="10"/>
  <c r="CC98" i="10"/>
  <c r="CA80" i="10"/>
  <c r="CA91" i="10"/>
  <c r="CA93" i="10"/>
  <c r="CA95" i="10"/>
  <c r="CA96" i="10"/>
  <c r="BO68" i="10"/>
  <c r="BO66" i="10"/>
  <c r="BO71" i="10"/>
  <c r="BO73" i="10"/>
  <c r="BO78" i="10"/>
  <c r="BO79" i="10"/>
  <c r="BO80" i="10"/>
  <c r="BO81" i="10"/>
  <c r="BO82" i="10"/>
  <c r="BO83" i="10"/>
  <c r="BO84" i="10"/>
  <c r="BO85" i="10"/>
  <c r="BO87" i="10"/>
  <c r="BO92" i="10"/>
  <c r="BO93" i="10"/>
  <c r="BO96" i="10"/>
  <c r="BO97" i="10"/>
  <c r="BM68" i="10"/>
  <c r="BM69" i="10"/>
  <c r="BM76" i="10"/>
  <c r="BM88" i="10"/>
  <c r="BM90" i="10"/>
  <c r="BM94" i="10"/>
  <c r="BM95" i="10"/>
  <c r="BL66" i="10"/>
  <c r="BL63" i="10"/>
  <c r="BL64" i="10"/>
  <c r="BL73" i="10"/>
  <c r="BL77" i="10"/>
  <c r="BL79" i="10"/>
  <c r="BL80" i="10"/>
  <c r="BL81" i="10"/>
  <c r="BL82" i="10"/>
  <c r="BL83" i="10"/>
  <c r="BL84" i="10"/>
  <c r="BL86" i="10"/>
  <c r="BL87" i="10"/>
  <c r="BL89" i="10"/>
  <c r="BL93" i="10"/>
  <c r="BL96" i="10"/>
  <c r="BL97" i="10"/>
  <c r="AX51" i="10"/>
  <c r="AX50" i="10"/>
  <c r="AX53" i="10"/>
  <c r="AX56" i="10"/>
  <c r="AX65" i="10"/>
  <c r="AX52" i="10"/>
  <c r="AX69" i="10"/>
  <c r="AX75" i="10"/>
  <c r="AX79" i="10"/>
  <c r="AX81" i="10"/>
  <c r="AX82" i="10"/>
  <c r="AX83" i="10"/>
  <c r="AX84" i="10"/>
  <c r="AX86" i="10"/>
  <c r="AX87" i="10"/>
  <c r="AX92" i="10"/>
  <c r="AX97" i="10"/>
  <c r="AX98" i="10"/>
  <c r="CP93" i="10"/>
  <c r="CP98" i="10"/>
  <c r="CP102" i="10"/>
  <c r="CP94" i="10"/>
  <c r="CP99" i="10"/>
  <c r="AY50" i="10"/>
  <c r="AY52" i="10"/>
  <c r="AP41" i="10"/>
  <c r="AP46" i="10"/>
  <c r="AP52" i="10"/>
  <c r="AP59" i="10"/>
  <c r="AP61" i="10"/>
  <c r="AP63" i="10"/>
  <c r="AP64" i="10"/>
  <c r="AL47" i="10"/>
  <c r="AL44" i="10"/>
  <c r="AL48" i="10"/>
  <c r="AL60" i="10"/>
  <c r="AL61" i="10"/>
  <c r="AF37" i="10"/>
  <c r="AF42" i="10"/>
  <c r="AF46" i="10"/>
  <c r="AF54" i="10"/>
  <c r="AF55" i="10"/>
  <c r="AF57" i="10"/>
  <c r="AF58" i="10"/>
  <c r="AF60" i="10"/>
  <c r="AF62" i="10"/>
  <c r="AF66" i="10"/>
  <c r="AC48" i="10"/>
  <c r="AC59" i="10"/>
  <c r="AC61" i="10"/>
  <c r="AC63" i="10"/>
  <c r="AC64" i="10"/>
  <c r="AC65" i="10"/>
  <c r="AA51" i="10"/>
  <c r="AA61" i="10"/>
  <c r="AA62" i="10"/>
  <c r="AA65" i="10"/>
  <c r="AA66" i="10"/>
  <c r="L11" i="10"/>
  <c r="L27" i="10"/>
  <c r="L34" i="10"/>
  <c r="L41" i="10"/>
  <c r="L42" i="10"/>
  <c r="L44" i="10"/>
  <c r="L48" i="10"/>
  <c r="L14" i="10"/>
  <c r="L24" i="10"/>
  <c r="L35" i="10"/>
  <c r="L43" i="10"/>
  <c r="L45" i="10"/>
  <c r="L49" i="10"/>
  <c r="L50" i="10"/>
  <c r="L53" i="10"/>
  <c r="L54" i="10"/>
  <c r="L56" i="10"/>
  <c r="L57" i="10"/>
  <c r="L58" i="10"/>
  <c r="L61" i="10"/>
  <c r="L63" i="10"/>
  <c r="L64" i="10"/>
  <c r="J29" i="10"/>
  <c r="J18" i="10"/>
  <c r="J22" i="10"/>
  <c r="J26" i="10"/>
  <c r="J28" i="10"/>
  <c r="J35" i="10"/>
  <c r="J43" i="10"/>
  <c r="J46" i="10"/>
  <c r="J47" i="10"/>
  <c r="J36" i="10"/>
  <c r="J39" i="10"/>
  <c r="J49" i="10"/>
  <c r="J50" i="10"/>
  <c r="J53" i="10"/>
  <c r="J54" i="10"/>
  <c r="J56" i="10"/>
  <c r="J58" i="10"/>
  <c r="J61" i="10"/>
  <c r="J63" i="10"/>
  <c r="J64" i="10"/>
  <c r="H14" i="10"/>
  <c r="H47" i="10"/>
  <c r="H48" i="10"/>
  <c r="H49" i="10"/>
  <c r="H38" i="10"/>
  <c r="H50" i="10"/>
  <c r="H53" i="10"/>
  <c r="H54" i="10"/>
  <c r="H56" i="10"/>
  <c r="H58" i="10"/>
  <c r="H61" i="10"/>
  <c r="H63" i="10"/>
  <c r="H64" i="10"/>
  <c r="AD29" i="10"/>
  <c r="AD39" i="10"/>
  <c r="AD40" i="10"/>
  <c r="M12" i="10"/>
  <c r="M14" i="10"/>
  <c r="M15" i="10"/>
  <c r="M19" i="10"/>
  <c r="M23" i="10"/>
  <c r="M24" i="10"/>
  <c r="M29" i="10"/>
  <c r="M35" i="10"/>
  <c r="M36" i="10"/>
  <c r="M38" i="10"/>
  <c r="M39" i="10"/>
  <c r="M43" i="10"/>
  <c r="M45" i="10"/>
  <c r="K20" i="10"/>
  <c r="K33" i="10"/>
  <c r="K40" i="10"/>
  <c r="I17" i="10"/>
  <c r="I21" i="10"/>
  <c r="I25" i="10"/>
  <c r="I45" i="10"/>
  <c r="G7" i="10"/>
  <c r="G9" i="10"/>
  <c r="G11" i="10"/>
  <c r="G14" i="10"/>
  <c r="G24" i="10"/>
  <c r="G32" i="10"/>
  <c r="G33" i="10"/>
  <c r="G36" i="10"/>
  <c r="G39" i="10"/>
  <c r="G43" i="10"/>
  <c r="D14" i="21"/>
  <c r="C239" i="42"/>
  <c r="D239" i="42" s="1"/>
  <c r="E239" i="42" s="1"/>
  <c r="F239" i="42" s="1"/>
  <c r="G239" i="42" s="1"/>
  <c r="H239" i="42" s="1"/>
  <c r="I239" i="42" s="1"/>
  <c r="J239" i="42" s="1"/>
  <c r="K239" i="42" s="1"/>
  <c r="L239" i="42" s="1"/>
  <c r="M239" i="42" s="1"/>
  <c r="N239" i="42" s="1"/>
  <c r="O239" i="42" s="1"/>
  <c r="P239" i="42" s="1"/>
  <c r="Q239" i="42" s="1"/>
  <c r="R239" i="42" s="1"/>
  <c r="S16" i="39"/>
  <c r="S34" i="39" s="1"/>
  <c r="AB23" i="37"/>
  <c r="M15" i="39"/>
  <c r="M33" i="39" s="1"/>
  <c r="Z21" i="37"/>
  <c r="S15" i="39"/>
  <c r="S33" i="39" s="1"/>
  <c r="AB21" i="37"/>
  <c r="S14" i="39"/>
  <c r="S32" i="39" s="1"/>
  <c r="AB19" i="37"/>
  <c r="Q94" i="42"/>
  <c r="Q20" i="42"/>
  <c r="Q18" i="42"/>
  <c r="Q213" i="42"/>
  <c r="BH240" i="25"/>
  <c r="BI240" i="25" s="1"/>
  <c r="BJ240" i="25" s="1"/>
  <c r="BK240" i="25" s="1"/>
  <c r="BL240" i="25" s="1"/>
  <c r="BM240" i="25" s="1"/>
  <c r="BN240" i="25" s="1"/>
  <c r="BO240" i="25" s="1"/>
  <c r="BP240" i="25" s="1"/>
  <c r="BQ240" i="25" s="1"/>
  <c r="BR240" i="25" s="1"/>
  <c r="BS240" i="25" s="1"/>
  <c r="BT240" i="25" s="1"/>
  <c r="BU240" i="25" s="1"/>
  <c r="BV240" i="25" s="1"/>
  <c r="BW240" i="25" s="1"/>
  <c r="BX240" i="25" s="1"/>
  <c r="BY240" i="25" s="1"/>
  <c r="BZ240" i="25" s="1"/>
  <c r="CA240" i="25" s="1"/>
  <c r="CB240" i="25" s="1"/>
  <c r="CC240" i="25" s="1"/>
  <c r="CD240" i="25" s="1"/>
  <c r="Q4" i="42"/>
  <c r="Q155" i="42"/>
  <c r="Q141" i="42"/>
  <c r="Q134" i="42"/>
  <c r="Q129" i="42"/>
  <c r="Q120" i="42"/>
  <c r="Q110" i="42"/>
  <c r="Q105" i="42"/>
  <c r="Q98" i="42"/>
  <c r="Q91" i="42"/>
  <c r="Q89" i="42"/>
  <c r="Q83" i="42"/>
  <c r="Q81" i="42"/>
  <c r="Q75" i="42"/>
  <c r="Q72" i="42"/>
  <c r="Q69" i="42"/>
  <c r="Q62" i="42"/>
  <c r="Q60" i="42"/>
  <c r="Q59" i="42"/>
  <c r="Q54" i="42"/>
  <c r="Q51" i="42"/>
  <c r="Q43" i="42"/>
  <c r="Q39" i="42"/>
  <c r="Q37" i="42"/>
  <c r="Q34" i="42"/>
  <c r="Q33" i="42"/>
  <c r="Q30" i="42"/>
  <c r="Q26" i="42"/>
  <c r="Q25" i="42"/>
  <c r="Q22" i="42"/>
  <c r="Q10" i="42"/>
  <c r="Q8" i="42"/>
  <c r="Q67" i="42"/>
  <c r="Q73" i="42"/>
  <c r="Q217" i="42"/>
  <c r="Q216" i="42"/>
  <c r="Q214" i="42"/>
  <c r="Q211" i="42"/>
  <c r="Q205" i="42"/>
  <c r="Q204" i="42"/>
  <c r="Q203" i="42"/>
  <c r="Q195" i="42"/>
  <c r="Q192" i="42"/>
  <c r="Q191" i="42"/>
  <c r="Q181" i="42"/>
  <c r="Q169" i="42"/>
  <c r="Q160" i="42"/>
  <c r="Q154" i="42"/>
  <c r="Q136" i="42"/>
  <c r="Q121" i="42"/>
  <c r="Q163" i="42"/>
  <c r="Q196" i="42"/>
  <c r="Q187" i="42"/>
  <c r="Q177" i="42"/>
  <c r="Q174" i="42"/>
  <c r="Q170" i="42"/>
  <c r="Q168" i="42"/>
  <c r="Q166" i="42"/>
  <c r="Q164" i="42"/>
  <c r="Q157" i="42"/>
  <c r="Q149" i="42"/>
  <c r="Q142" i="42"/>
  <c r="Q138" i="42"/>
  <c r="Q123" i="42"/>
  <c r="Q122" i="42"/>
  <c r="Q111" i="42"/>
  <c r="Q109" i="42"/>
  <c r="Q104" i="42"/>
  <c r="Q102" i="42"/>
  <c r="Q101" i="42"/>
  <c r="Q95" i="42"/>
  <c r="Q86" i="42"/>
  <c r="Q78" i="42"/>
  <c r="Q63" i="42"/>
  <c r="Q55" i="42"/>
  <c r="Q52" i="42"/>
  <c r="Q48" i="42"/>
  <c r="Q46" i="42"/>
  <c r="Q40" i="42"/>
  <c r="Q38" i="42"/>
  <c r="Q208" i="42"/>
  <c r="Q207" i="42"/>
  <c r="Q201" i="42"/>
  <c r="Q198" i="42"/>
  <c r="Q190" i="42"/>
  <c r="Q183" i="42"/>
  <c r="Q178" i="42"/>
  <c r="Q172" i="42"/>
  <c r="Q125" i="42"/>
  <c r="Q118" i="42"/>
  <c r="Q107" i="42"/>
  <c r="Q106" i="42"/>
  <c r="Q100" i="42"/>
  <c r="Q99" i="42"/>
  <c r="Q96" i="42"/>
  <c r="Q92" i="42"/>
  <c r="Q87" i="42"/>
  <c r="Q84" i="42"/>
  <c r="Q79" i="42"/>
  <c r="Q76" i="42"/>
  <c r="Q65" i="42"/>
  <c r="Q64" i="42"/>
  <c r="Q57" i="42"/>
  <c r="Q56" i="42"/>
  <c r="Q44" i="42"/>
  <c r="Q41" i="42"/>
  <c r="Q31" i="42"/>
  <c r="Q27" i="42"/>
  <c r="Q12" i="42"/>
  <c r="Q209" i="42"/>
  <c r="Q200" i="42"/>
  <c r="Q49" i="42"/>
  <c r="F9" i="1"/>
  <c r="B28" i="19"/>
  <c r="E246" i="42" s="1"/>
  <c r="E9" i="1"/>
  <c r="G9" i="1"/>
  <c r="I21" i="44" s="1"/>
  <c r="O7" i="16"/>
  <c r="S21" i="2"/>
  <c r="C246" i="42"/>
  <c r="G246" i="42" s="1"/>
  <c r="J10" i="21"/>
  <c r="D2" i="17"/>
  <c r="E24" i="7"/>
  <c r="D26" i="17"/>
  <c r="H27" i="2" s="1"/>
  <c r="D20" i="26"/>
  <c r="E20" i="26" s="1"/>
  <c r="C12" i="17"/>
  <c r="B26" i="17"/>
  <c r="D17" i="17"/>
  <c r="L8" i="15"/>
  <c r="B35" i="39"/>
  <c r="B34" i="39"/>
  <c r="AN39" i="10"/>
  <c r="AN41" i="10"/>
  <c r="AN46" i="10"/>
  <c r="AN48" i="10"/>
  <c r="AN49" i="10"/>
  <c r="AN50" i="10"/>
  <c r="AN51" i="10"/>
  <c r="AN52" i="10"/>
  <c r="AN53" i="10"/>
  <c r="AN54" i="10"/>
  <c r="AN55" i="10"/>
  <c r="AG44" i="10"/>
  <c r="AG50" i="10"/>
  <c r="AG51" i="10"/>
  <c r="AG52" i="10"/>
  <c r="AC28" i="10"/>
  <c r="AC36" i="10"/>
  <c r="AC44" i="10"/>
  <c r="AC46" i="10"/>
  <c r="AC51" i="10"/>
  <c r="AC52" i="10"/>
  <c r="AC56" i="10"/>
  <c r="AA26" i="10"/>
  <c r="AA31" i="10"/>
  <c r="AA33" i="10"/>
  <c r="AA35" i="10"/>
  <c r="AA47" i="10"/>
  <c r="AA49" i="10"/>
  <c r="AA50" i="10"/>
  <c r="AA53" i="10"/>
  <c r="AA55" i="10"/>
  <c r="AA56" i="10"/>
  <c r="X34" i="10"/>
  <c r="X48" i="10"/>
  <c r="X51" i="10"/>
  <c r="F23" i="10"/>
  <c r="F60" i="10"/>
  <c r="F97" i="10"/>
  <c r="CW101" i="10"/>
  <c r="F96" i="10"/>
  <c r="F64" i="10"/>
  <c r="F32" i="10"/>
  <c r="F99" i="10"/>
  <c r="F93" i="10"/>
  <c r="F89" i="10"/>
  <c r="F83" i="10"/>
  <c r="F77" i="10"/>
  <c r="F73" i="10"/>
  <c r="F67" i="10"/>
  <c r="F62" i="10"/>
  <c r="F57" i="10"/>
  <c r="F52" i="10"/>
  <c r="F46" i="10"/>
  <c r="F41" i="10"/>
  <c r="F36" i="10"/>
  <c r="F30" i="10"/>
  <c r="F26" i="10"/>
  <c r="F20" i="10"/>
  <c r="F15" i="10"/>
  <c r="F10" i="10"/>
  <c r="CK93" i="10"/>
  <c r="CH93" i="10"/>
  <c r="CH90" i="10"/>
  <c r="CH89" i="10"/>
  <c r="CC88" i="10"/>
  <c r="CH86" i="10"/>
  <c r="CC85" i="10"/>
  <c r="CC84" i="10"/>
  <c r="CC83" i="10"/>
  <c r="BV83" i="10"/>
  <c r="BV82" i="10"/>
  <c r="BV81" i="10"/>
  <c r="BV80" i="10"/>
  <c r="BV78" i="10"/>
  <c r="BV77" i="10"/>
  <c r="BO77" i="10"/>
  <c r="BV76" i="10"/>
  <c r="BO76" i="10"/>
  <c r="BV75" i="10"/>
  <c r="BO75" i="10"/>
  <c r="BV74" i="10"/>
  <c r="BO74" i="10"/>
  <c r="BK73" i="10"/>
  <c r="BL70" i="10"/>
  <c r="BH70" i="10"/>
  <c r="BL68" i="10"/>
  <c r="BH67" i="10"/>
  <c r="BK66" i="10"/>
  <c r="BK65" i="10"/>
  <c r="BH64" i="10"/>
  <c r="BG63" i="10"/>
  <c r="BH62" i="10"/>
  <c r="AU62" i="10"/>
  <c r="AN62" i="10"/>
  <c r="BH61" i="10"/>
  <c r="AU61" i="10"/>
  <c r="AN61" i="10"/>
  <c r="AG61" i="10"/>
  <c r="AA59" i="10"/>
  <c r="X59" i="10"/>
  <c r="AU58" i="10"/>
  <c r="AN58" i="10"/>
  <c r="AG58" i="10"/>
  <c r="AC58" i="10"/>
  <c r="AU57" i="10"/>
  <c r="AN57" i="10"/>
  <c r="AG57" i="10"/>
  <c r="AC57" i="10"/>
  <c r="AN56" i="10"/>
  <c r="AG56" i="10"/>
  <c r="AG55" i="10"/>
  <c r="AC55" i="10"/>
  <c r="AG54" i="10"/>
  <c r="AC54" i="10"/>
  <c r="AA54" i="10"/>
  <c r="X54" i="10"/>
  <c r="AC53" i="10"/>
  <c r="AM52" i="10"/>
  <c r="AM51" i="10"/>
  <c r="AG48" i="10"/>
  <c r="AN47" i="10"/>
  <c r="AA43" i="10"/>
  <c r="AP48" i="10"/>
  <c r="AP47" i="10"/>
  <c r="AA40" i="10"/>
  <c r="AC34" i="10"/>
  <c r="AG33" i="10"/>
  <c r="AE30" i="10"/>
  <c r="AE32" i="10"/>
  <c r="AE34" i="10"/>
  <c r="AE37" i="10"/>
  <c r="AE38" i="10"/>
  <c r="AE41" i="10"/>
  <c r="AE42" i="10"/>
  <c r="AE43" i="10"/>
  <c r="AE45" i="10"/>
  <c r="AE48" i="10"/>
  <c r="AE49" i="10"/>
  <c r="AE53" i="10"/>
  <c r="N16" i="10"/>
  <c r="N27" i="10"/>
  <c r="N34" i="10"/>
  <c r="N42" i="10"/>
  <c r="N43" i="10"/>
  <c r="N48" i="10"/>
  <c r="N49" i="10"/>
  <c r="N51" i="10"/>
  <c r="AI51" i="10"/>
  <c r="AI52" i="10"/>
  <c r="Q173" i="42"/>
  <c r="Q161" i="42"/>
  <c r="Q147" i="42"/>
  <c r="Q88" i="42"/>
  <c r="Q80" i="42"/>
  <c r="Q45" i="42"/>
  <c r="Q14" i="42"/>
  <c r="Q9" i="42"/>
  <c r="Q6" i="42"/>
  <c r="Q66" i="42"/>
  <c r="Q28" i="42"/>
  <c r="C14" i="21"/>
  <c r="Q220" i="42"/>
  <c r="Q202" i="42"/>
  <c r="Q184" i="42"/>
  <c r="Q176" i="42"/>
  <c r="Q167" i="42"/>
  <c r="Q158" i="42"/>
  <c r="Q139" i="42"/>
  <c r="Q127" i="42"/>
  <c r="Q119" i="42"/>
  <c r="Q108" i="42"/>
  <c r="Q97" i="42"/>
  <c r="Q90" i="42"/>
  <c r="Q82" i="42"/>
  <c r="Q74" i="42"/>
  <c r="Q68" i="42"/>
  <c r="Q58" i="42"/>
  <c r="Q47" i="42"/>
  <c r="Q32" i="42"/>
  <c r="Q11" i="42"/>
  <c r="Q215" i="42"/>
  <c r="Q210" i="42"/>
  <c r="G37" i="6"/>
  <c r="P3" i="39"/>
  <c r="N7" i="16"/>
  <c r="S3" i="39"/>
  <c r="S6" i="39"/>
  <c r="B33" i="39"/>
  <c r="B32" i="39"/>
  <c r="P14" i="39"/>
  <c r="P32" i="39" s="1"/>
  <c r="F14" i="21"/>
  <c r="J14" i="21" s="1"/>
  <c r="L14" i="21" s="1"/>
  <c r="E14" i="21"/>
  <c r="B14" i="21"/>
  <c r="D28" i="19"/>
  <c r="D12" i="17"/>
  <c r="H25" i="2" s="1"/>
  <c r="B8" i="13"/>
  <c r="B7" i="13"/>
  <c r="J25" i="12"/>
  <c r="CV100" i="10"/>
  <c r="CV102" i="10"/>
  <c r="CV99" i="10"/>
  <c r="CU100" i="10"/>
  <c r="CU99" i="10"/>
  <c r="CU101" i="10"/>
  <c r="CR98" i="10"/>
  <c r="CR99" i="10"/>
  <c r="CR95" i="10"/>
  <c r="CR96" i="10"/>
  <c r="CR97" i="10"/>
  <c r="CR102" i="10"/>
  <c r="CI101" i="10"/>
  <c r="CI87" i="10"/>
  <c r="CI94" i="10"/>
  <c r="CI91" i="10"/>
  <c r="CI90" i="10"/>
  <c r="CI86" i="10"/>
  <c r="CI92" i="10"/>
  <c r="CI95" i="10"/>
  <c r="BZ80" i="10"/>
  <c r="BZ90" i="10"/>
  <c r="BZ92" i="10"/>
  <c r="BZ93" i="10"/>
  <c r="BZ95" i="10"/>
  <c r="BZ96" i="10"/>
  <c r="BY81" i="10"/>
  <c r="BY80" i="10"/>
  <c r="BY82" i="10"/>
  <c r="BY86" i="10"/>
  <c r="BY87" i="10"/>
  <c r="BY89" i="10"/>
  <c r="BY91" i="10"/>
  <c r="BY94" i="10"/>
  <c r="BY97" i="10"/>
  <c r="BY99" i="10"/>
  <c r="BY100" i="10"/>
  <c r="BY101" i="10"/>
  <c r="BY102" i="10"/>
  <c r="BX79" i="10"/>
  <c r="BX77" i="10"/>
  <c r="BX78" i="10"/>
  <c r="BX81" i="10"/>
  <c r="BX88" i="10"/>
  <c r="BX90" i="10"/>
  <c r="BX92" i="10"/>
  <c r="BX93" i="10"/>
  <c r="BX95" i="10"/>
  <c r="BX96" i="10"/>
  <c r="BX98" i="10"/>
  <c r="BR72" i="10"/>
  <c r="BR74" i="10"/>
  <c r="BR75" i="10"/>
  <c r="BR77" i="10"/>
  <c r="BR81" i="10"/>
  <c r="BR82" i="10"/>
  <c r="BR83" i="10"/>
  <c r="BR84" i="10"/>
  <c r="BR89" i="10"/>
  <c r="BR91" i="10"/>
  <c r="BR94" i="10"/>
  <c r="BR95" i="10"/>
  <c r="BR96" i="10"/>
  <c r="BR97" i="10"/>
  <c r="BR98" i="10"/>
  <c r="BR99" i="10"/>
  <c r="BR100" i="10"/>
  <c r="BP72" i="10"/>
  <c r="BP86" i="10"/>
  <c r="BP88" i="10"/>
  <c r="BP94" i="10"/>
  <c r="BP95" i="10"/>
  <c r="BP96" i="10"/>
  <c r="BP97" i="10"/>
  <c r="BP99" i="10"/>
  <c r="BP100" i="10"/>
  <c r="BI63" i="10"/>
  <c r="BI62" i="10"/>
  <c r="BI65" i="10"/>
  <c r="BI66" i="10"/>
  <c r="BI67" i="10"/>
  <c r="BI68" i="10"/>
  <c r="BI72" i="10"/>
  <c r="BI75" i="10"/>
  <c r="BI76" i="10"/>
  <c r="BI77" i="10"/>
  <c r="BI81" i="10"/>
  <c r="BI83" i="10"/>
  <c r="BI84" i="10"/>
  <c r="BI87" i="10"/>
  <c r="BI88" i="10"/>
  <c r="BI89" i="10"/>
  <c r="BI92" i="10"/>
  <c r="BI99" i="10"/>
  <c r="BI100" i="10"/>
  <c r="BI102" i="10"/>
  <c r="BB56" i="10"/>
  <c r="BB58" i="10"/>
  <c r="BB60" i="10"/>
  <c r="BB66" i="10"/>
  <c r="BB67" i="10"/>
  <c r="BB68" i="10"/>
  <c r="BB69" i="10"/>
  <c r="BB72" i="10"/>
  <c r="BB75" i="10"/>
  <c r="BB81" i="10"/>
  <c r="BB83" i="10"/>
  <c r="BB84" i="10"/>
  <c r="BB87" i="10"/>
  <c r="BB88" i="10"/>
  <c r="BB90" i="10"/>
  <c r="BB91" i="10"/>
  <c r="BB93" i="10"/>
  <c r="BB94" i="10"/>
  <c r="BB95" i="10"/>
  <c r="BB96" i="10"/>
  <c r="BB97" i="10"/>
  <c r="BB98" i="10"/>
  <c r="BB101" i="10"/>
  <c r="AK38" i="10"/>
  <c r="AK43" i="10"/>
  <c r="AK44" i="10"/>
  <c r="AK48" i="10"/>
  <c r="AK49" i="10"/>
  <c r="AK45" i="10"/>
  <c r="AK51" i="10"/>
  <c r="AK52" i="10"/>
  <c r="AK56" i="10"/>
  <c r="AK57" i="10"/>
  <c r="AK58" i="10"/>
  <c r="AK60" i="10"/>
  <c r="AK61" i="10"/>
  <c r="AK63" i="10"/>
  <c r="AK64" i="10"/>
  <c r="AK66" i="10"/>
  <c r="AK68" i="10"/>
  <c r="AK69" i="10"/>
  <c r="AK70" i="10"/>
  <c r="AK72" i="10"/>
  <c r="AK76" i="10"/>
  <c r="AK77" i="10"/>
  <c r="AK79" i="10"/>
  <c r="AK81" i="10"/>
  <c r="AK82" i="10"/>
  <c r="AK83" i="10"/>
  <c r="AK84" i="10"/>
  <c r="AK85" i="10"/>
  <c r="AK88" i="10"/>
  <c r="AK89" i="10"/>
  <c r="AK91" i="10"/>
  <c r="AK92" i="10"/>
  <c r="AK99" i="10"/>
  <c r="AK100" i="10"/>
  <c r="AK102" i="10"/>
  <c r="Z25" i="10"/>
  <c r="Z34" i="10"/>
  <c r="Z37" i="10"/>
  <c r="Z41" i="10"/>
  <c r="Z42" i="10"/>
  <c r="Z44" i="10"/>
  <c r="Z46" i="10"/>
  <c r="Z48" i="10"/>
  <c r="Z28" i="10"/>
  <c r="Z29" i="10"/>
  <c r="Z30" i="10"/>
  <c r="Z32" i="10"/>
  <c r="Z36" i="10"/>
  <c r="Z45" i="10"/>
  <c r="Z56" i="10"/>
  <c r="Z57" i="10"/>
  <c r="Z58" i="10"/>
  <c r="Z63" i="10"/>
  <c r="Z64" i="10"/>
  <c r="Z65" i="10"/>
  <c r="Z66" i="10"/>
  <c r="Z67" i="10"/>
  <c r="Z68" i="10"/>
  <c r="Z69" i="10"/>
  <c r="Z78" i="10"/>
  <c r="Z79" i="10"/>
  <c r="Z80" i="10"/>
  <c r="Z84" i="10"/>
  <c r="Z85" i="10"/>
  <c r="Z86" i="10"/>
  <c r="Z87" i="10"/>
  <c r="Z90" i="10"/>
  <c r="Z93" i="10"/>
  <c r="Z94" i="10"/>
  <c r="Z95" i="10"/>
  <c r="Z96" i="10"/>
  <c r="Z97" i="10"/>
  <c r="Z98" i="10"/>
  <c r="Z101" i="10"/>
  <c r="V11" i="37"/>
  <c r="N10" i="37"/>
  <c r="R14" i="37"/>
  <c r="BB54" i="10"/>
  <c r="G31" i="30"/>
  <c r="P27" i="30"/>
  <c r="J27" i="30"/>
  <c r="L31" i="30"/>
  <c r="O31" i="30"/>
  <c r="K29" i="30"/>
  <c r="G11" i="37" s="1"/>
  <c r="E31" i="30"/>
  <c r="G27" i="30"/>
  <c r="O29" i="30"/>
  <c r="S27" i="30"/>
  <c r="Q31" i="30"/>
  <c r="I14" i="37" s="1"/>
  <c r="M27" i="30"/>
  <c r="O27" i="30"/>
  <c r="N27" i="30"/>
  <c r="H8" i="37" s="1"/>
  <c r="D31" i="30"/>
  <c r="D227" i="33" s="1"/>
  <c r="Q27" i="30"/>
  <c r="I8" i="37" s="1"/>
  <c r="C27" i="30"/>
  <c r="B3" i="39" s="1"/>
  <c r="S29" i="30"/>
  <c r="U7" i="39" s="1"/>
  <c r="C31" i="30"/>
  <c r="B9" i="39" s="1"/>
  <c r="B31" i="39" s="1"/>
  <c r="K27" i="30"/>
  <c r="G8" i="37" s="1"/>
  <c r="M29" i="30"/>
  <c r="D29" i="30"/>
  <c r="D225" i="33" s="1"/>
  <c r="J29" i="30"/>
  <c r="S31" i="30"/>
  <c r="U10" i="39" s="1"/>
  <c r="Z26" i="10"/>
  <c r="Z27" i="10"/>
  <c r="Z35" i="10"/>
  <c r="Z39" i="10"/>
  <c r="Z40" i="10"/>
  <c r="Z47" i="10"/>
  <c r="Z50" i="10"/>
  <c r="BR70" i="10"/>
  <c r="BR76" i="10"/>
  <c r="BP77" i="10"/>
  <c r="BR78" i="10"/>
  <c r="BY78" i="10"/>
  <c r="BR80" i="10"/>
  <c r="BX82" i="10"/>
  <c r="BY83" i="10"/>
  <c r="BY84" i="10"/>
  <c r="BY85" i="10"/>
  <c r="BX86" i="10"/>
  <c r="CT99" i="10"/>
  <c r="CT101" i="10"/>
  <c r="B72" i="4"/>
  <c r="BX84" i="10"/>
  <c r="AK36" i="10"/>
  <c r="BP78" i="10"/>
  <c r="BP87" i="10"/>
  <c r="BP71" i="10"/>
  <c r="BP89" i="10"/>
  <c r="BP73" i="10"/>
  <c r="BP85" i="10"/>
  <c r="BP69" i="10"/>
  <c r="BP93" i="10"/>
  <c r="BP79" i="10"/>
  <c r="BZ87" i="10"/>
  <c r="BZ86" i="10"/>
  <c r="BZ85" i="10"/>
  <c r="BZ98" i="10"/>
  <c r="BZ81" i="10"/>
  <c r="BZ91" i="10"/>
  <c r="BZ77" i="10"/>
  <c r="CI96" i="10"/>
  <c r="CI93" i="10"/>
  <c r="CI97" i="10"/>
  <c r="CT102" i="10"/>
  <c r="BZ102" i="10"/>
  <c r="BR102" i="10"/>
  <c r="BP102" i="10"/>
  <c r="BB102" i="10"/>
  <c r="E12" i="10"/>
  <c r="E14" i="10"/>
  <c r="E27" i="10"/>
  <c r="E40" i="10"/>
  <c r="E50" i="10"/>
  <c r="E64" i="10"/>
  <c r="E76" i="10"/>
  <c r="E87" i="10"/>
  <c r="E100" i="10"/>
  <c r="E88" i="10"/>
  <c r="E70" i="10"/>
  <c r="E51" i="10"/>
  <c r="E33" i="10"/>
  <c r="E15" i="10"/>
  <c r="E13" i="10"/>
  <c r="E29" i="10"/>
  <c r="E45" i="10"/>
  <c r="E61" i="10"/>
  <c r="E77" i="10"/>
  <c r="E93" i="10"/>
  <c r="E102" i="10"/>
  <c r="E84" i="10"/>
  <c r="E66" i="10"/>
  <c r="E48" i="10"/>
  <c r="E30" i="10"/>
  <c r="E11" i="10"/>
  <c r="E83" i="10"/>
  <c r="E65" i="10"/>
  <c r="E47" i="10"/>
  <c r="E28" i="10"/>
  <c r="E10" i="10"/>
  <c r="E90" i="10"/>
  <c r="E17" i="10"/>
  <c r="E81" i="10"/>
  <c r="E63" i="10"/>
  <c r="E35" i="10"/>
  <c r="E8" i="10"/>
  <c r="E98" i="10"/>
  <c r="E80" i="10"/>
  <c r="E62" i="10"/>
  <c r="E43" i="10"/>
  <c r="E25" i="10"/>
  <c r="E7" i="10"/>
  <c r="CX101" i="10"/>
  <c r="BZ101" i="10"/>
  <c r="BR101" i="10"/>
  <c r="BP101" i="10"/>
  <c r="BI101" i="10"/>
  <c r="BX100" i="10"/>
  <c r="BB100" i="10"/>
  <c r="BZ99" i="10"/>
  <c r="Z99" i="10"/>
  <c r="CU98" i="10"/>
  <c r="AK98" i="10"/>
  <c r="BX97" i="10"/>
  <c r="BI97" i="10"/>
  <c r="CS102" i="10"/>
  <c r="CS100" i="10"/>
  <c r="CS99" i="10"/>
  <c r="AK96" i="10"/>
  <c r="BY95" i="10"/>
  <c r="BI95" i="10"/>
  <c r="CQ94" i="10"/>
  <c r="CQ98" i="10"/>
  <c r="CQ100" i="10"/>
  <c r="BX94" i="10"/>
  <c r="BI94" i="10"/>
  <c r="BY93" i="10"/>
  <c r="AK93" i="10"/>
  <c r="BR92" i="10"/>
  <c r="BB92" i="10"/>
  <c r="BX91" i="10"/>
  <c r="BI91" i="10"/>
  <c r="Z91" i="10"/>
  <c r="BR90" i="10"/>
  <c r="BI90" i="10"/>
  <c r="CL89" i="10"/>
  <c r="CL92" i="10"/>
  <c r="CL93" i="10"/>
  <c r="CL94" i="10"/>
  <c r="CL95" i="10"/>
  <c r="CL96" i="10"/>
  <c r="CL99" i="10"/>
  <c r="CL102" i="10"/>
  <c r="BX89" i="10"/>
  <c r="BB89" i="10"/>
  <c r="CK89" i="10"/>
  <c r="CK100" i="10"/>
  <c r="CI88" i="10"/>
  <c r="Z88" i="10"/>
  <c r="AK87" i="10"/>
  <c r="BI86" i="10"/>
  <c r="BX85" i="10"/>
  <c r="BR85" i="10"/>
  <c r="BI85" i="10"/>
  <c r="BP83" i="10"/>
  <c r="CE84" i="10"/>
  <c r="CE92" i="10"/>
  <c r="CE93" i="10"/>
  <c r="CE94" i="10"/>
  <c r="CE95" i="10"/>
  <c r="CE96" i="10"/>
  <c r="CE97" i="10"/>
  <c r="CE101" i="10"/>
  <c r="BI82" i="10"/>
  <c r="Z82" i="10"/>
  <c r="Z81" i="10"/>
  <c r="AK80" i="10"/>
  <c r="BZ79" i="10"/>
  <c r="BR79" i="10"/>
  <c r="BI79" i="10"/>
  <c r="BB79" i="10"/>
  <c r="CA78" i="10"/>
  <c r="CA83" i="10"/>
  <c r="CA84" i="10"/>
  <c r="CA85" i="10"/>
  <c r="CA88" i="10"/>
  <c r="CA89" i="10"/>
  <c r="CA94" i="10"/>
  <c r="CA97" i="10"/>
  <c r="CA98" i="10"/>
  <c r="CA99" i="10"/>
  <c r="CA101" i="10"/>
  <c r="CA102" i="10"/>
  <c r="BI78" i="10"/>
  <c r="BB78" i="10"/>
  <c r="AK78" i="10"/>
  <c r="Z77" i="10"/>
  <c r="BY76" i="10"/>
  <c r="Z76" i="10"/>
  <c r="BX75" i="10"/>
  <c r="AK75" i="10"/>
  <c r="Z75" i="10"/>
  <c r="AK74" i="10"/>
  <c r="Z74" i="10"/>
  <c r="BI73" i="10"/>
  <c r="BB73" i="10"/>
  <c r="BU73" i="10"/>
  <c r="BU74" i="10"/>
  <c r="BU77" i="10"/>
  <c r="BU78" i="10"/>
  <c r="BU81" i="10"/>
  <c r="BU84" i="10"/>
  <c r="BU86" i="10"/>
  <c r="BU88" i="10"/>
  <c r="BU89" i="10"/>
  <c r="BU91" i="10"/>
  <c r="BU94" i="10"/>
  <c r="BU97" i="10"/>
  <c r="BU100" i="10"/>
  <c r="BU101" i="10"/>
  <c r="BU102" i="10"/>
  <c r="Z72" i="10"/>
  <c r="BI71" i="10"/>
  <c r="BB70" i="10"/>
  <c r="Z70" i="10"/>
  <c r="BR69" i="10"/>
  <c r="BN81" i="10"/>
  <c r="BN69" i="10"/>
  <c r="BN71" i="10"/>
  <c r="BN87" i="10"/>
  <c r="BN88" i="10"/>
  <c r="BN94" i="10"/>
  <c r="BN95" i="10"/>
  <c r="BN96" i="10"/>
  <c r="BN97" i="10"/>
  <c r="BN100" i="10"/>
  <c r="BN70" i="10"/>
  <c r="BN86" i="10"/>
  <c r="BN73" i="10"/>
  <c r="BN89" i="10"/>
  <c r="BN101" i="10"/>
  <c r="BN77" i="10"/>
  <c r="BN78" i="10"/>
  <c r="BN74" i="10"/>
  <c r="BN90" i="10"/>
  <c r="BB65" i="10"/>
  <c r="BM64" i="10"/>
  <c r="BM65" i="10"/>
  <c r="BM67" i="10"/>
  <c r="BM70" i="10"/>
  <c r="BM72" i="10"/>
  <c r="BM74" i="10"/>
  <c r="BM75" i="10"/>
  <c r="BM77" i="10"/>
  <c r="BM78" i="10"/>
  <c r="BM82" i="10"/>
  <c r="BM85" i="10"/>
  <c r="BM86" i="10"/>
  <c r="BM89" i="10"/>
  <c r="BM91" i="10"/>
  <c r="BM92" i="10"/>
  <c r="BM98" i="10"/>
  <c r="BM99" i="10"/>
  <c r="BM102" i="10"/>
  <c r="BI64" i="10"/>
  <c r="BK62" i="10"/>
  <c r="BK69" i="10"/>
  <c r="BK70" i="10"/>
  <c r="BK71" i="10"/>
  <c r="BK76" i="10"/>
  <c r="BK77" i="10"/>
  <c r="BK78" i="10"/>
  <c r="BK82" i="10"/>
  <c r="BK85" i="10"/>
  <c r="BK86" i="10"/>
  <c r="BK89" i="10"/>
  <c r="BK91" i="10"/>
  <c r="BK92" i="10"/>
  <c r="BK98" i="10"/>
  <c r="BK99" i="10"/>
  <c r="BK102" i="10"/>
  <c r="BB62" i="10"/>
  <c r="BB61" i="10"/>
  <c r="Z61" i="10"/>
  <c r="BI60" i="10"/>
  <c r="BB59" i="10"/>
  <c r="AK59" i="10"/>
  <c r="Z59" i="10"/>
  <c r="BF57" i="10"/>
  <c r="BF60" i="10"/>
  <c r="BF63" i="10"/>
  <c r="BF65" i="10"/>
  <c r="BF66" i="10"/>
  <c r="BF67" i="10"/>
  <c r="BF72" i="10"/>
  <c r="BF73" i="10"/>
  <c r="BF74" i="10"/>
  <c r="BF76" i="10"/>
  <c r="BF77" i="10"/>
  <c r="BF78" i="10"/>
  <c r="BF79" i="10"/>
  <c r="BF80" i="10"/>
  <c r="BF81" i="10"/>
  <c r="BF83" i="10"/>
  <c r="BF84" i="10"/>
  <c r="BF87" i="10"/>
  <c r="BF88" i="10"/>
  <c r="BF90" i="10"/>
  <c r="BF91" i="10"/>
  <c r="BF93" i="10"/>
  <c r="BF94" i="10"/>
  <c r="BF95" i="10"/>
  <c r="BF96" i="10"/>
  <c r="BF97" i="10"/>
  <c r="BF98" i="10"/>
  <c r="BF101" i="10"/>
  <c r="BE57" i="10"/>
  <c r="BE58" i="10"/>
  <c r="BE61" i="10"/>
  <c r="BE68" i="10"/>
  <c r="BE69" i="10"/>
  <c r="BE70" i="10"/>
  <c r="BE71" i="10"/>
  <c r="BE75" i="10"/>
  <c r="BE82" i="10"/>
  <c r="BE85" i="10"/>
  <c r="BE86" i="10"/>
  <c r="BE89" i="10"/>
  <c r="BE92" i="10"/>
  <c r="BE99" i="10"/>
  <c r="BE100" i="10"/>
  <c r="BE102" i="10"/>
  <c r="BD55" i="10"/>
  <c r="BD56" i="10"/>
  <c r="BD57" i="10"/>
  <c r="BD59" i="10"/>
  <c r="BD62" i="10"/>
  <c r="BD63" i="10"/>
  <c r="BD64" i="10"/>
  <c r="BD65" i="10"/>
  <c r="BD67" i="10"/>
  <c r="BD72" i="10"/>
  <c r="BD73" i="10"/>
  <c r="BD74" i="10"/>
  <c r="BD76" i="10"/>
  <c r="BD77" i="10"/>
  <c r="BD78" i="10"/>
  <c r="BD79" i="10"/>
  <c r="BD80" i="10"/>
  <c r="BD81" i="10"/>
  <c r="BD83" i="10"/>
  <c r="BD84" i="10"/>
  <c r="BD87" i="10"/>
  <c r="BD88" i="10"/>
  <c r="BD90" i="10"/>
  <c r="BD91" i="10"/>
  <c r="BD93" i="10"/>
  <c r="BD94" i="10"/>
  <c r="BD95" i="10"/>
  <c r="BD96" i="10"/>
  <c r="BD97" i="10"/>
  <c r="BD98" i="10"/>
  <c r="BD101" i="10"/>
  <c r="BB55" i="10"/>
  <c r="Z54" i="10"/>
  <c r="BB53" i="10"/>
  <c r="Z52" i="10"/>
  <c r="AY51" i="10"/>
  <c r="AY57" i="10"/>
  <c r="AY61" i="10"/>
  <c r="AY65" i="10"/>
  <c r="AY66" i="10"/>
  <c r="AY67" i="10"/>
  <c r="AY68" i="10"/>
  <c r="AY69" i="10"/>
  <c r="AY72" i="10"/>
  <c r="AY73" i="10"/>
  <c r="AY74" i="10"/>
  <c r="AY75" i="10"/>
  <c r="AY78" i="10"/>
  <c r="AY79" i="10"/>
  <c r="AY80" i="10"/>
  <c r="AY81" i="10"/>
  <c r="AY82" i="10"/>
  <c r="AY84" i="10"/>
  <c r="AY86" i="10"/>
  <c r="AY89" i="10"/>
  <c r="AY92" i="10"/>
  <c r="AY99" i="10"/>
  <c r="AY100" i="10"/>
  <c r="AY102" i="10"/>
  <c r="AK50" i="10"/>
  <c r="AK47" i="10"/>
  <c r="AU46" i="10"/>
  <c r="AU47" i="10"/>
  <c r="AU49" i="10"/>
  <c r="AU50" i="10"/>
  <c r="AU53" i="10"/>
  <c r="AU54" i="10"/>
  <c r="AU59" i="10"/>
  <c r="AU60" i="10"/>
  <c r="AU63" i="10"/>
  <c r="AU64" i="10"/>
  <c r="AU65" i="10"/>
  <c r="AU66" i="10"/>
  <c r="AU68" i="10"/>
  <c r="AU69" i="10"/>
  <c r="AU70" i="10"/>
  <c r="AU72" i="10"/>
  <c r="AU75" i="10"/>
  <c r="AU78" i="10"/>
  <c r="AU79" i="10"/>
  <c r="AU81" i="10"/>
  <c r="AU82" i="10"/>
  <c r="AU84" i="10"/>
  <c r="AU86" i="10"/>
  <c r="AU89" i="10"/>
  <c r="AU92" i="10"/>
  <c r="AU99" i="10"/>
  <c r="AU100" i="10"/>
  <c r="AU102" i="10"/>
  <c r="AK46" i="10"/>
  <c r="AK39" i="10"/>
  <c r="AM38" i="10"/>
  <c r="AM40" i="10"/>
  <c r="AM44" i="10"/>
  <c r="AM47" i="10"/>
  <c r="AM48" i="10"/>
  <c r="AM45" i="10"/>
  <c r="AM50" i="10"/>
  <c r="AM53" i="10"/>
  <c r="AM54" i="10"/>
  <c r="AM55" i="10"/>
  <c r="AM57" i="10"/>
  <c r="AM58" i="10"/>
  <c r="AM59" i="10"/>
  <c r="AM60" i="10"/>
  <c r="AM61" i="10"/>
  <c r="AM62" i="10"/>
  <c r="AM63" i="10"/>
  <c r="AM64" i="10"/>
  <c r="AM65" i="10"/>
  <c r="AM66" i="10"/>
  <c r="AM68" i="10"/>
  <c r="AM69" i="10"/>
  <c r="AM70" i="10"/>
  <c r="AM72" i="10"/>
  <c r="AM76" i="10"/>
  <c r="AM77" i="10"/>
  <c r="AM79" i="10"/>
  <c r="AM81" i="10"/>
  <c r="AM82" i="10"/>
  <c r="AM83" i="10"/>
  <c r="AM84" i="10"/>
  <c r="AM85" i="10"/>
  <c r="AM88" i="10"/>
  <c r="AM89" i="10"/>
  <c r="AM91" i="10"/>
  <c r="AM92" i="10"/>
  <c r="AM99" i="10"/>
  <c r="AM100" i="10"/>
  <c r="AM102" i="10"/>
  <c r="X33" i="10"/>
  <c r="X47" i="10"/>
  <c r="X24" i="10"/>
  <c r="X35" i="10"/>
  <c r="X40" i="10"/>
  <c r="X43" i="10"/>
  <c r="X56" i="10"/>
  <c r="X57" i="10"/>
  <c r="X58" i="10"/>
  <c r="X63" i="10"/>
  <c r="X64" i="10"/>
  <c r="X65" i="10"/>
  <c r="X66" i="10"/>
  <c r="X67" i="10"/>
  <c r="X68" i="10"/>
  <c r="X69" i="10"/>
  <c r="X78" i="10"/>
  <c r="X79" i="10"/>
  <c r="X80" i="10"/>
  <c r="X84" i="10"/>
  <c r="X85" i="10"/>
  <c r="X86" i="10"/>
  <c r="X87" i="10"/>
  <c r="X90" i="10"/>
  <c r="X93" i="10"/>
  <c r="X94" i="10"/>
  <c r="X95" i="10"/>
  <c r="X96" i="10"/>
  <c r="X97" i="10"/>
  <c r="X98" i="10"/>
  <c r="X101" i="10"/>
  <c r="CO92" i="10"/>
  <c r="CO98" i="10"/>
  <c r="CO93" i="10"/>
  <c r="CO97" i="10"/>
  <c r="AI34" i="10"/>
  <c r="AI39" i="10"/>
  <c r="AI41" i="10"/>
  <c r="AI45" i="10"/>
  <c r="AI47" i="10"/>
  <c r="AI49" i="10"/>
  <c r="AI38" i="10"/>
  <c r="AI43" i="10"/>
  <c r="AI44" i="10"/>
  <c r="AI46" i="10"/>
  <c r="AI48" i="10"/>
  <c r="AI50" i="10"/>
  <c r="AI54" i="10"/>
  <c r="AI56" i="10"/>
  <c r="AI57" i="10"/>
  <c r="AI58" i="10"/>
  <c r="AI60" i="10"/>
  <c r="AI61" i="10"/>
  <c r="AI63" i="10"/>
  <c r="AI64" i="10"/>
  <c r="AI66" i="10"/>
  <c r="AI68" i="10"/>
  <c r="AI69" i="10"/>
  <c r="AI70" i="10"/>
  <c r="AI72" i="10"/>
  <c r="AI76" i="10"/>
  <c r="AI77" i="10"/>
  <c r="AI79" i="10"/>
  <c r="AI81" i="10"/>
  <c r="AI82" i="10"/>
  <c r="AI83" i="10"/>
  <c r="AI84" i="10"/>
  <c r="AI85" i="10"/>
  <c r="AI88" i="10"/>
  <c r="AI89" i="10"/>
  <c r="AI91" i="10"/>
  <c r="AI92" i="10"/>
  <c r="AI99" i="10"/>
  <c r="AI100" i="10"/>
  <c r="AI102" i="10"/>
  <c r="AV47" i="10"/>
  <c r="AV48" i="10"/>
  <c r="AO40" i="10"/>
  <c r="AO42" i="10"/>
  <c r="AO48" i="10"/>
  <c r="AJ38" i="10"/>
  <c r="AJ36" i="10"/>
  <c r="AJ40" i="10"/>
  <c r="AJ46" i="10"/>
  <c r="AG35" i="10"/>
  <c r="AG38" i="10"/>
  <c r="AG39" i="10"/>
  <c r="AG41" i="10"/>
  <c r="AG45" i="10"/>
  <c r="AG47" i="10"/>
  <c r="AF31" i="10"/>
  <c r="AF49" i="10"/>
  <c r="W27" i="10"/>
  <c r="W25" i="10"/>
  <c r="W29" i="10"/>
  <c r="W32" i="10"/>
  <c r="W34" i="10"/>
  <c r="W35" i="10"/>
  <c r="W36" i="10"/>
  <c r="W38" i="10"/>
  <c r="W39" i="10"/>
  <c r="W40" i="10"/>
  <c r="W43" i="10"/>
  <c r="W45" i="10"/>
  <c r="W46" i="10"/>
  <c r="W48" i="10"/>
  <c r="V23" i="10"/>
  <c r="V28" i="10"/>
  <c r="V49" i="10"/>
  <c r="R17" i="10"/>
  <c r="R20" i="10"/>
  <c r="R22" i="10"/>
  <c r="R25" i="10"/>
  <c r="R27" i="10"/>
  <c r="R28" i="10"/>
  <c r="R29" i="10"/>
  <c r="R31" i="10"/>
  <c r="R35" i="10"/>
  <c r="R36" i="10"/>
  <c r="R38" i="10"/>
  <c r="R41" i="10"/>
  <c r="R42" i="10"/>
  <c r="R44" i="10"/>
  <c r="R47" i="10"/>
  <c r="R49" i="10"/>
  <c r="P19" i="10"/>
  <c r="P23" i="10"/>
  <c r="P25" i="10"/>
  <c r="P31" i="10"/>
  <c r="P35" i="10"/>
  <c r="P36" i="10"/>
  <c r="P38" i="10"/>
  <c r="P41" i="10"/>
  <c r="P44" i="10"/>
  <c r="P47" i="10"/>
  <c r="P49" i="10"/>
  <c r="O14" i="10"/>
  <c r="O29" i="10"/>
  <c r="O32" i="10"/>
  <c r="O42" i="10"/>
  <c r="O48" i="10"/>
  <c r="M18" i="10"/>
  <c r="M22" i="10"/>
  <c r="M25" i="10"/>
  <c r="M26" i="10"/>
  <c r="M27" i="10"/>
  <c r="M28" i="10"/>
  <c r="M30" i="10"/>
  <c r="M31" i="10"/>
  <c r="M33" i="10"/>
  <c r="M37" i="10"/>
  <c r="M40" i="10"/>
  <c r="M41" i="10"/>
  <c r="M42" i="10"/>
  <c r="M44" i="10"/>
  <c r="M46" i="10"/>
  <c r="M47" i="10"/>
  <c r="M48" i="10"/>
  <c r="K21" i="10"/>
  <c r="K15" i="10"/>
  <c r="K36" i="10"/>
  <c r="K38" i="10"/>
  <c r="K39" i="10"/>
  <c r="K48" i="10"/>
  <c r="I35" i="10"/>
  <c r="I22" i="10"/>
  <c r="I32" i="10"/>
  <c r="I36" i="10"/>
  <c r="I39" i="10"/>
  <c r="I41" i="10"/>
  <c r="I42" i="10"/>
  <c r="I44" i="10"/>
  <c r="G6" i="10"/>
  <c r="G8" i="10"/>
  <c r="G10" i="10"/>
  <c r="G12" i="10"/>
  <c r="G13" i="10"/>
  <c r="G16" i="10"/>
  <c r="G17" i="10"/>
  <c r="G19" i="10"/>
  <c r="G20" i="10"/>
  <c r="G21" i="10"/>
  <c r="G23" i="10"/>
  <c r="G25" i="10"/>
  <c r="G27" i="10"/>
  <c r="G28" i="10"/>
  <c r="G29" i="10"/>
  <c r="G30" i="10"/>
  <c r="G31" i="10"/>
  <c r="G35" i="10"/>
  <c r="G37" i="10"/>
  <c r="G38" i="10"/>
  <c r="G40" i="10"/>
  <c r="G45" i="10"/>
  <c r="G46" i="10"/>
  <c r="CN92" i="10"/>
  <c r="CN99" i="10"/>
  <c r="Q206" i="42"/>
  <c r="Q194" i="42"/>
  <c r="Q179" i="42"/>
  <c r="Q162" i="42"/>
  <c r="Q152" i="42"/>
  <c r="Q133" i="42"/>
  <c r="Q112" i="42"/>
  <c r="Q103" i="42"/>
  <c r="Q93" i="42"/>
  <c r="Q85" i="42"/>
  <c r="Q77" i="42"/>
  <c r="Q61" i="42"/>
  <c r="Q50" i="42"/>
  <c r="Q42" i="42"/>
  <c r="Q35" i="42"/>
  <c r="Q23" i="42"/>
  <c r="Q15" i="42"/>
  <c r="Q53" i="42"/>
  <c r="D9" i="1"/>
  <c r="D12" i="1" s="1"/>
  <c r="B9" i="1"/>
  <c r="P15" i="39"/>
  <c r="P33" i="39" s="1"/>
  <c r="AA35" i="37"/>
  <c r="M14" i="39"/>
  <c r="M32" i="39" s="1"/>
  <c r="V8" i="37"/>
  <c r="O7" i="37" s="1"/>
  <c r="T3" i="39"/>
  <c r="J7" i="34"/>
  <c r="K7" i="34" s="1"/>
  <c r="E223" i="33" s="1"/>
  <c r="K3" i="39"/>
  <c r="M17" i="39"/>
  <c r="M35" i="39" s="1"/>
  <c r="P17" i="39"/>
  <c r="S17" i="39"/>
  <c r="S35" i="39" s="1"/>
  <c r="G21" i="18"/>
  <c r="L246" i="42"/>
  <c r="E26" i="7"/>
  <c r="A19" i="7" s="1"/>
  <c r="E27" i="7"/>
  <c r="E23" i="7"/>
  <c r="N20" i="16"/>
  <c r="O21" i="16" s="1"/>
  <c r="J16" i="23" s="1"/>
  <c r="B11" i="24"/>
  <c r="K8" i="23"/>
  <c r="U2" i="37"/>
  <c r="F10" i="15" l="1"/>
  <c r="M26" i="2" s="1"/>
  <c r="G10" i="15"/>
  <c r="P7" i="40"/>
  <c r="A238" i="4"/>
  <c r="A241" i="6" s="1"/>
  <c r="U4" i="39"/>
  <c r="AC7" i="37" s="1"/>
  <c r="A74" i="42"/>
  <c r="N16" i="16"/>
  <c r="N17" i="16" s="1"/>
  <c r="A1" i="22"/>
  <c r="M8" i="15"/>
  <c r="D23" i="15" s="1"/>
  <c r="E23" i="15" s="1"/>
  <c r="L13" i="27"/>
  <c r="F26" i="17"/>
  <c r="B10" i="15"/>
  <c r="A26" i="17"/>
  <c r="X2" i="3" s="1"/>
  <c r="E26" i="17"/>
  <c r="C10" i="15"/>
  <c r="D10" i="15"/>
  <c r="E10" i="15"/>
  <c r="AB35" i="37"/>
  <c r="A10" i="15"/>
  <c r="AF2" i="3" s="1"/>
  <c r="M22" i="39"/>
  <c r="F12" i="17"/>
  <c r="E12" i="17"/>
  <c r="A12" i="17"/>
  <c r="V2" i="3" s="1"/>
  <c r="H25" i="12"/>
  <c r="I25" i="12"/>
  <c r="H26" i="12"/>
  <c r="D7" i="13"/>
  <c r="B74" i="42"/>
  <c r="B73" i="4"/>
  <c r="U31" i="39"/>
  <c r="AC13" i="37"/>
  <c r="AC10" i="37"/>
  <c r="U30" i="39"/>
  <c r="J9" i="34"/>
  <c r="K6" i="39"/>
  <c r="M7" i="34"/>
  <c r="T9" i="39"/>
  <c r="T24" i="39" s="1"/>
  <c r="N13" i="37"/>
  <c r="P9" i="39"/>
  <c r="S9" i="39"/>
  <c r="O10" i="37"/>
  <c r="L6" i="39" s="1"/>
  <c r="Z35" i="37"/>
  <c r="L7" i="34"/>
  <c r="L3" i="39"/>
  <c r="N7" i="34"/>
  <c r="P35" i="39"/>
  <c r="P22" i="39"/>
  <c r="S22" i="39"/>
  <c r="F19" i="2"/>
  <c r="B19" i="7"/>
  <c r="R2" i="3" s="1"/>
  <c r="G10" i="27" l="1"/>
  <c r="I16" i="15"/>
  <c r="U29" i="39"/>
  <c r="A75" i="42"/>
  <c r="O30" i="16"/>
  <c r="W21" i="2" s="1"/>
  <c r="S14" i="16"/>
  <c r="R25" i="16" s="1"/>
  <c r="O16" i="16"/>
  <c r="W19" i="2"/>
  <c r="D22" i="15"/>
  <c r="E22" i="15" s="1"/>
  <c r="D29" i="12"/>
  <c r="C29" i="12"/>
  <c r="F29" i="12"/>
  <c r="E29" i="12"/>
  <c r="F19" i="7"/>
  <c r="B19" i="12" s="1"/>
  <c r="G19" i="7"/>
  <c r="AC15" i="37"/>
  <c r="AC37" i="37" s="1"/>
  <c r="D19" i="7"/>
  <c r="E19" i="7"/>
  <c r="B227" i="33" s="1"/>
  <c r="C19" i="7"/>
  <c r="M23" i="2"/>
  <c r="A7" i="13"/>
  <c r="AC2" i="3" s="1"/>
  <c r="L15" i="12" s="1"/>
  <c r="K9" i="34"/>
  <c r="E225" i="33" s="1"/>
  <c r="L9" i="34"/>
  <c r="N9" i="34"/>
  <c r="M9" i="34"/>
  <c r="B74" i="4"/>
  <c r="B75" i="42"/>
  <c r="K9" i="39"/>
  <c r="J11" i="34"/>
  <c r="O13" i="37"/>
  <c r="L9" i="39" s="1"/>
  <c r="N15" i="37"/>
  <c r="N39" i="16" l="1"/>
  <c r="O39" i="16" s="1"/>
  <c r="M39" i="16" s="1"/>
  <c r="A76" i="42"/>
  <c r="S25" i="16"/>
  <c r="T25" i="16"/>
  <c r="F15" i="12"/>
  <c r="F12" i="12" s="1"/>
  <c r="B21" i="16"/>
  <c r="J18" i="16"/>
  <c r="A21" i="16" s="1"/>
  <c r="B225" i="33"/>
  <c r="F8" i="12"/>
  <c r="G8" i="12" s="1"/>
  <c r="J16" i="16"/>
  <c r="K13" i="16" s="1"/>
  <c r="C27" i="16" s="1"/>
  <c r="B18" i="16"/>
  <c r="M19" i="2"/>
  <c r="B223" i="33"/>
  <c r="J8" i="16"/>
  <c r="K8" i="16" s="1"/>
  <c r="F21" i="2"/>
  <c r="K5" i="40" s="1"/>
  <c r="S2" i="3"/>
  <c r="G15" i="18" s="1"/>
  <c r="L11" i="34"/>
  <c r="N11" i="34"/>
  <c r="K11" i="34"/>
  <c r="E227" i="33" s="1"/>
  <c r="M11" i="34"/>
  <c r="O15" i="37"/>
  <c r="B75" i="4"/>
  <c r="B76" i="42"/>
  <c r="B18" i="45"/>
  <c r="G18" i="16"/>
  <c r="E18" i="16"/>
  <c r="H18" i="16"/>
  <c r="E19" i="12"/>
  <c r="D19" i="12"/>
  <c r="F18" i="16"/>
  <c r="C19" i="12"/>
  <c r="D18" i="16"/>
  <c r="A77" i="42" l="1"/>
  <c r="G12" i="12"/>
  <c r="Q25" i="16"/>
  <c r="K36" i="16" s="1"/>
  <c r="B38" i="27" s="1"/>
  <c r="X19" i="2"/>
  <c r="X21" i="2"/>
  <c r="D21" i="16"/>
  <c r="H21" i="16"/>
  <c r="C21" i="16"/>
  <c r="E21" i="16"/>
  <c r="K37" i="16" s="1"/>
  <c r="F21" i="16"/>
  <c r="J13" i="16"/>
  <c r="C26" i="16" s="1"/>
  <c r="D26" i="16" s="1"/>
  <c r="C18" i="45"/>
  <c r="M21" i="2"/>
  <c r="L12" i="26"/>
  <c r="L19" i="27"/>
  <c r="D18" i="26"/>
  <c r="A19" i="12"/>
  <c r="A18" i="45" s="1"/>
  <c r="J12" i="16"/>
  <c r="K12" i="16"/>
  <c r="K15" i="12"/>
  <c r="M15" i="12" s="1"/>
  <c r="S19" i="2"/>
  <c r="B9" i="14"/>
  <c r="H9" i="14" s="1"/>
  <c r="B77" i="42"/>
  <c r="B76" i="4"/>
  <c r="D27" i="16"/>
  <c r="D15" i="18"/>
  <c r="F17" i="18"/>
  <c r="AN2" i="3" s="1"/>
  <c r="J17" i="18"/>
  <c r="C18" i="16"/>
  <c r="R18" i="2" l="1"/>
  <c r="B38" i="23"/>
  <c r="A18" i="16"/>
  <c r="AJ2" i="3" s="1"/>
  <c r="A78" i="42"/>
  <c r="K38" i="16"/>
  <c r="G33" i="16"/>
  <c r="X24" i="2" s="1"/>
  <c r="AA2" i="3"/>
  <c r="E9" i="14"/>
  <c r="J19" i="12" s="1"/>
  <c r="K19" i="12" s="1"/>
  <c r="J15" i="12"/>
  <c r="AB2" i="3" s="1"/>
  <c r="D18" i="45"/>
  <c r="G9" i="14"/>
  <c r="D9" i="14"/>
  <c r="L10" i="15" s="1"/>
  <c r="C9" i="14"/>
  <c r="F9" i="14"/>
  <c r="G22" i="15" s="1"/>
  <c r="I14" i="15" s="1"/>
  <c r="I20" i="23" s="1"/>
  <c r="A9" i="14"/>
  <c r="B78" i="42"/>
  <c r="B77" i="4"/>
  <c r="O19" i="12" l="1"/>
  <c r="A79" i="42"/>
  <c r="G27" i="27"/>
  <c r="G23" i="15"/>
  <c r="I25" i="23" s="1"/>
  <c r="I29" i="23" s="1"/>
  <c r="M19" i="12"/>
  <c r="L19" i="12"/>
  <c r="F9" i="45"/>
  <c r="U13" i="40" s="1"/>
  <c r="F26" i="16"/>
  <c r="F29" i="16" s="1"/>
  <c r="J20" i="23" s="1"/>
  <c r="F27" i="16"/>
  <c r="F31" i="16" s="1"/>
  <c r="B79" i="42"/>
  <c r="B78" i="4"/>
  <c r="A80" i="42" l="1"/>
  <c r="J25" i="23"/>
  <c r="J29" i="23" s="1"/>
  <c r="AC4" i="37"/>
  <c r="AC38" i="37" s="1"/>
  <c r="B80" i="42"/>
  <c r="B79" i="4"/>
  <c r="A81" i="42" l="1"/>
  <c r="B81" i="42"/>
  <c r="B80" i="4"/>
  <c r="A82" i="42" l="1"/>
  <c r="B82" i="42"/>
  <c r="B81" i="4"/>
  <c r="A83" i="42" l="1"/>
  <c r="B82" i="4"/>
  <c r="B83" i="42"/>
  <c r="A84" i="42" l="1"/>
  <c r="B83" i="4"/>
  <c r="B84" i="42"/>
  <c r="A85" i="42" l="1"/>
  <c r="B84" i="4"/>
  <c r="B85" i="42"/>
  <c r="A86" i="42" l="1"/>
  <c r="B85" i="4"/>
  <c r="B86" i="42"/>
  <c r="A87" i="42" l="1"/>
  <c r="B86" i="4"/>
  <c r="B87" i="42"/>
  <c r="A88" i="42" l="1"/>
  <c r="B88" i="42"/>
  <c r="B87" i="4"/>
  <c r="A89" i="42" l="1"/>
  <c r="B89" i="42"/>
  <c r="B88" i="4"/>
  <c r="A90" i="42" l="1"/>
  <c r="B90" i="42"/>
  <c r="B89" i="4"/>
  <c r="A91" i="42" l="1"/>
  <c r="B90" i="4"/>
  <c r="B91" i="42"/>
  <c r="A92" i="42" l="1"/>
  <c r="B91" i="4"/>
  <c r="B93" i="42" s="1"/>
  <c r="B92" i="42"/>
  <c r="A93" i="42" l="1"/>
  <c r="A94" i="42" l="1"/>
  <c r="A95" i="42" l="1"/>
  <c r="A96" i="42" l="1"/>
  <c r="A97" i="42" l="1"/>
  <c r="A98" i="42" l="1"/>
  <c r="A99" i="42" l="1"/>
  <c r="A100" i="42" l="1"/>
  <c r="A101" i="42" l="1"/>
  <c r="A102" i="42" l="1"/>
  <c r="A103" i="42" l="1"/>
  <c r="A104" i="42" l="1"/>
  <c r="A105" i="42" l="1"/>
  <c r="A106" i="42" l="1"/>
  <c r="A107" i="42" l="1"/>
  <c r="A108" i="42" l="1"/>
  <c r="A109" i="42" l="1"/>
  <c r="A110" i="42" l="1"/>
  <c r="A111" i="42" l="1"/>
  <c r="A112" i="42" l="1"/>
  <c r="A119" i="42" l="1"/>
  <c r="A120" i="42" l="1"/>
  <c r="A121" i="42" l="1"/>
  <c r="A122" i="42" l="1"/>
  <c r="A123" i="42" l="1"/>
  <c r="A125" i="42" l="1"/>
  <c r="A124" i="42"/>
  <c r="A128" i="42" l="1"/>
  <c r="A129" i="42" l="1"/>
  <c r="A130" i="42" l="1"/>
  <c r="A131" i="42" l="1"/>
  <c r="A132" i="42" l="1"/>
  <c r="A133" i="42" l="1"/>
  <c r="A134" i="42" l="1"/>
  <c r="A135" i="42" l="1"/>
  <c r="A136" i="42" l="1"/>
  <c r="A137" i="42" l="1"/>
  <c r="A138" i="42" l="1"/>
  <c r="A139" i="42" l="1"/>
  <c r="A140" i="42" l="1"/>
  <c r="A141" i="42" l="1"/>
  <c r="A142" i="42" l="1"/>
  <c r="A143" i="42" l="1"/>
  <c r="E28" i="27"/>
  <c r="E11" i="27"/>
  <c r="A144" i="42" l="1"/>
  <c r="A145" i="42" l="1"/>
  <c r="M28" i="26"/>
  <c r="A146" i="42" l="1"/>
  <c r="A147" i="42" l="1"/>
  <c r="A148" i="42" l="1"/>
  <c r="A149" i="42" l="1"/>
  <c r="A150" i="42" l="1"/>
  <c r="A151" i="42" l="1"/>
  <c r="A152" i="42" l="1"/>
  <c r="A154" i="42" l="1"/>
  <c r="A155" i="42" l="1"/>
  <c r="A156" i="42" l="1"/>
  <c r="A157" i="42" l="1"/>
  <c r="A158" i="42" l="1"/>
  <c r="A159" i="42" l="1"/>
  <c r="A160" i="42" l="1"/>
  <c r="A161" i="42" l="1"/>
  <c r="A162" i="42" l="1"/>
  <c r="A163" i="42" l="1"/>
  <c r="A164" i="42" l="1"/>
  <c r="A165" i="42" l="1"/>
  <c r="A166" i="42" l="1"/>
  <c r="A167" i="42" l="1"/>
  <c r="A168" i="42" l="1"/>
  <c r="A169" i="42" l="1"/>
  <c r="A170" i="42" l="1"/>
  <c r="A171" i="42" l="1"/>
  <c r="A172" i="42" l="1"/>
  <c r="A173" i="42" l="1"/>
  <c r="A175" i="42" l="1"/>
  <c r="A174" i="42"/>
  <c r="A176" i="42" l="1"/>
  <c r="A177" i="42" l="1"/>
  <c r="A178" i="42" l="1"/>
  <c r="A179" i="42" l="1"/>
  <c r="A180" i="42" l="1"/>
  <c r="A181" i="42" l="1"/>
  <c r="A182" i="42" l="1"/>
  <c r="A183" i="42" l="1"/>
  <c r="A184" i="42" l="1"/>
  <c r="A185" i="42" l="1"/>
  <c r="A186" i="42" l="1"/>
  <c r="A187" i="42" l="1"/>
  <c r="A188" i="42" l="1"/>
  <c r="A189" i="42" l="1"/>
  <c r="A190" i="42" l="1"/>
  <c r="A191" i="42" l="1"/>
  <c r="A192" i="42" l="1"/>
  <c r="A193" i="42" l="1"/>
  <c r="A194" i="42" l="1"/>
  <c r="A195" i="42" l="1"/>
  <c r="A196" i="42" l="1"/>
  <c r="A197" i="42" l="1"/>
  <c r="A198" i="42" l="1"/>
  <c r="A199" i="42" l="1"/>
  <c r="A200" i="42" l="1"/>
  <c r="A201" i="42" l="1"/>
  <c r="A202" i="42" l="1"/>
  <c r="A203" i="42" l="1"/>
  <c r="A204" i="42" l="1"/>
  <c r="A205" i="42" l="1"/>
  <c r="A206" i="42" l="1"/>
  <c r="A207" i="42" l="1"/>
  <c r="A208" i="42" l="1"/>
  <c r="A209" i="42" l="1"/>
  <c r="A210" i="42" l="1"/>
  <c r="A211" i="42" l="1"/>
  <c r="A212" i="42" l="1"/>
  <c r="A213" i="42" l="1"/>
  <c r="A214" i="42" l="1"/>
  <c r="A215" i="42" l="1"/>
  <c r="A216" i="42" l="1"/>
  <c r="A217" i="42" l="1"/>
  <c r="A219" i="42" l="1"/>
  <c r="A218" i="42"/>
  <c r="A221" i="42" l="1"/>
  <c r="A220" i="42"/>
  <c r="B238" i="4" l="1"/>
  <c r="B241" i="42" s="1"/>
  <c r="G238" i="4"/>
  <c r="G240" i="4" s="1"/>
  <c r="G241" i="4" s="1"/>
  <c r="R13" i="2" s="1"/>
  <c r="E238" i="4"/>
  <c r="H15" i="2" s="1"/>
  <c r="C238" i="4"/>
  <c r="I238" i="4"/>
  <c r="P5" i="12" s="1"/>
  <c r="P7" i="12" s="1"/>
  <c r="D238" i="4"/>
  <c r="F238" i="4"/>
  <c r="J21" i="44" s="1"/>
  <c r="L21" i="44" s="1"/>
  <c r="F30" i="44" s="1"/>
  <c r="G30" i="44" s="1"/>
  <c r="H238" i="4"/>
  <c r="E4" i="47" s="1"/>
  <c r="F3" i="27" l="1"/>
  <c r="G4" i="26"/>
  <c r="C2" i="37"/>
  <c r="C243" i="25"/>
  <c r="H1" i="39"/>
  <c r="B7" i="40"/>
  <c r="D8" i="23"/>
  <c r="M10" i="4"/>
  <c r="M16" i="4"/>
  <c r="M14" i="4"/>
  <c r="B243" i="25"/>
  <c r="C241" i="42"/>
  <c r="E251" i="42" s="1"/>
  <c r="M12" i="4"/>
  <c r="B241" i="6"/>
  <c r="K21" i="44"/>
  <c r="M21" i="44"/>
  <c r="F242" i="42"/>
  <c r="K12" i="2"/>
  <c r="E241" i="4"/>
  <c r="F21" i="44" a="1"/>
  <c r="L241" i="6" l="1"/>
  <c r="N241" i="6"/>
  <c r="O241" i="6"/>
  <c r="M241" i="6"/>
  <c r="K241" i="6"/>
  <c r="I241" i="6"/>
  <c r="J241" i="6"/>
  <c r="H241" i="6"/>
  <c r="F25" i="44"/>
  <c r="F26" i="44"/>
  <c r="F27" i="44"/>
  <c r="F24" i="44"/>
  <c r="F22" i="44"/>
  <c r="F23" i="44"/>
  <c r="F21" i="44"/>
  <c r="E6" i="47"/>
  <c r="D11" i="23"/>
  <c r="F241" i="6"/>
  <c r="D241" i="6"/>
  <c r="D244" i="6" s="1"/>
  <c r="C241" i="6"/>
  <c r="G241" i="6"/>
  <c r="D3" i="38" s="1"/>
  <c r="E241" i="6"/>
  <c r="F31" i="44"/>
  <c r="D243" i="25" s="1"/>
  <c r="D241" i="42" s="1"/>
  <c r="A22" i="43"/>
  <c r="J22" i="43" s="1"/>
  <c r="H30" i="44"/>
  <c r="BG243" i="25" l="1"/>
  <c r="BY243" i="25"/>
  <c r="BV243" i="25"/>
  <c r="AK243" i="25"/>
  <c r="AI243" i="25"/>
  <c r="BX243" i="25"/>
  <c r="BL243" i="25"/>
  <c r="M243" i="25"/>
  <c r="E243" i="25"/>
  <c r="D4" i="38" s="1"/>
  <c r="D8" i="38" s="1"/>
  <c r="S243" i="25"/>
  <c r="AU243" i="25"/>
  <c r="M8" i="26" s="1"/>
  <c r="N243" i="25"/>
  <c r="Y243" i="25"/>
  <c r="C11" i="27" s="1"/>
  <c r="AR243" i="25"/>
  <c r="K20" i="26" s="1"/>
  <c r="BT243" i="25"/>
  <c r="AD243" i="25"/>
  <c r="C28" i="27" s="1"/>
  <c r="BF243" i="25"/>
  <c r="K30" i="27" s="1"/>
  <c r="AO243" i="25"/>
  <c r="K28" i="26" s="1"/>
  <c r="AQ243" i="25"/>
  <c r="K24" i="26" s="1"/>
  <c r="AV243" i="25"/>
  <c r="BM243" i="25"/>
  <c r="BH243" i="25"/>
  <c r="AL243" i="25"/>
  <c r="L243" i="25"/>
  <c r="BJ243" i="25"/>
  <c r="T243" i="25"/>
  <c r="C20" i="26" s="1"/>
  <c r="BU243" i="25"/>
  <c r="P243" i="25"/>
  <c r="AY243" i="25"/>
  <c r="AW243" i="25"/>
  <c r="M19" i="27" s="1"/>
  <c r="BE243" i="25"/>
  <c r="BW243" i="25"/>
  <c r="AA243" i="25"/>
  <c r="C13" i="27" s="1"/>
  <c r="CA243" i="25"/>
  <c r="AH243" i="25"/>
  <c r="L10" i="26" s="1"/>
  <c r="R243" i="25"/>
  <c r="BB243" i="25"/>
  <c r="BP243" i="25"/>
  <c r="CB243" i="25"/>
  <c r="U243" i="25"/>
  <c r="C22" i="26" s="1"/>
  <c r="AN243" i="25"/>
  <c r="K16" i="26" s="1"/>
  <c r="BD243" i="25"/>
  <c r="M28" i="27" s="1"/>
  <c r="A243" i="25"/>
  <c r="A241" i="42" s="1"/>
  <c r="I241" i="42" s="1"/>
  <c r="BI243" i="25"/>
  <c r="AB243" i="25"/>
  <c r="C15" i="27" s="1"/>
  <c r="AJ243" i="25"/>
  <c r="K12" i="26" s="1"/>
  <c r="CC243" i="25"/>
  <c r="W243" i="25"/>
  <c r="C26" i="26" s="1"/>
  <c r="BC243" i="25"/>
  <c r="J243" i="25"/>
  <c r="AT243" i="25"/>
  <c r="K30" i="26" s="1"/>
  <c r="BZ243" i="25"/>
  <c r="AP243" i="25"/>
  <c r="AS243" i="25"/>
  <c r="G243" i="25"/>
  <c r="X243" i="25"/>
  <c r="CD243" i="25"/>
  <c r="AF243" i="25"/>
  <c r="C32" i="27" s="1"/>
  <c r="BN243" i="25"/>
  <c r="H243" i="25"/>
  <c r="BK243" i="25"/>
  <c r="M32" i="27"/>
  <c r="BA243" i="25"/>
  <c r="K17" i="27" s="1"/>
  <c r="Q243" i="25"/>
  <c r="V243" i="25"/>
  <c r="C24" i="26" s="1"/>
  <c r="BO243" i="25"/>
  <c r="AG243" i="25"/>
  <c r="C30" i="27" s="1"/>
  <c r="K243" i="25"/>
  <c r="AX243" i="25"/>
  <c r="K15" i="27" s="1"/>
  <c r="I243" i="25"/>
  <c r="AC243" i="25"/>
  <c r="Z243" i="25"/>
  <c r="AE243" i="25"/>
  <c r="O243" i="25"/>
  <c r="C10" i="26" s="1"/>
  <c r="BS243" i="25"/>
  <c r="AM243" i="25"/>
  <c r="M18" i="26" s="1"/>
  <c r="AZ243" i="25"/>
  <c r="K13" i="27" s="1"/>
  <c r="BQ243" i="25"/>
  <c r="F243" i="25"/>
  <c r="W4" i="2" s="1"/>
  <c r="BR243" i="25"/>
  <c r="E244" i="6"/>
  <c r="I15" i="23" s="1"/>
  <c r="E247" i="6"/>
  <c r="H22" i="15" s="1"/>
  <c r="I23" i="15" s="1"/>
  <c r="F244" i="6"/>
  <c r="F247" i="6"/>
  <c r="G26" i="16" s="1"/>
  <c r="H27" i="16" s="1"/>
  <c r="D22" i="43"/>
  <c r="B22" i="43"/>
  <c r="C22" i="43"/>
  <c r="G22" i="43"/>
  <c r="P26" i="27" s="1"/>
  <c r="M39" i="26"/>
  <c r="C39" i="26" s="1"/>
  <c r="E22" i="43"/>
  <c r="L13" i="35"/>
  <c r="F22" i="43"/>
  <c r="P5" i="27"/>
  <c r="I22" i="43"/>
  <c r="H22" i="43"/>
  <c r="C247" i="25"/>
  <c r="B9" i="40"/>
  <c r="J2" i="37"/>
  <c r="B2" i="23"/>
  <c r="A2" i="23"/>
  <c r="E14" i="24"/>
  <c r="H15" i="23"/>
  <c r="C14" i="26" l="1"/>
  <c r="E14" i="26"/>
  <c r="C18" i="26"/>
  <c r="E18" i="26"/>
  <c r="K22" i="26"/>
  <c r="M22" i="26"/>
  <c r="K26" i="26"/>
  <c r="M26" i="26"/>
  <c r="C12" i="26"/>
  <c r="E12" i="26"/>
  <c r="H30" i="27"/>
  <c r="G34" i="27"/>
  <c r="E245" i="25"/>
  <c r="E247" i="25" s="1"/>
  <c r="M10" i="26"/>
  <c r="K14" i="26"/>
  <c r="M14" i="26"/>
  <c r="K11" i="27"/>
  <c r="M13" i="27"/>
  <c r="L241" i="42"/>
  <c r="L26" i="27"/>
  <c r="M26" i="27" s="1"/>
  <c r="M34" i="27" s="1"/>
  <c r="N241" i="42"/>
  <c r="M16" i="26"/>
  <c r="H28" i="27"/>
  <c r="K19" i="27"/>
  <c r="K241" i="42"/>
  <c r="G254" i="42" s="1"/>
  <c r="Q241" i="42"/>
  <c r="K10" i="26"/>
  <c r="L9" i="27"/>
  <c r="M9" i="27" s="1"/>
  <c r="C26" i="27"/>
  <c r="AH247" i="25"/>
  <c r="T250" i="42" s="1"/>
  <c r="G10" i="23" s="1"/>
  <c r="O241" i="42"/>
  <c r="E241" i="42"/>
  <c r="J241" i="42"/>
  <c r="K26" i="27"/>
  <c r="K9" i="27"/>
  <c r="H10" i="26"/>
  <c r="M12" i="26"/>
  <c r="K28" i="27"/>
  <c r="H32" i="27"/>
  <c r="G30" i="27"/>
  <c r="D10" i="26"/>
  <c r="E10" i="26" s="1"/>
  <c r="K32" i="27"/>
  <c r="G14" i="26"/>
  <c r="G10" i="26"/>
  <c r="K18" i="26"/>
  <c r="C9" i="27"/>
  <c r="H241" i="42"/>
  <c r="G241" i="42"/>
  <c r="M241" i="42"/>
  <c r="P241" i="42"/>
  <c r="R241" i="42"/>
  <c r="G12" i="26"/>
  <c r="G32" i="27"/>
  <c r="H9" i="26"/>
  <c r="G9" i="26"/>
  <c r="H12" i="26"/>
  <c r="G28" i="27"/>
  <c r="E33" i="23"/>
  <c r="D26" i="27"/>
  <c r="E26" i="27" s="1"/>
  <c r="E34" i="27" s="1"/>
  <c r="D9" i="27"/>
  <c r="E9" i="27" s="1"/>
  <c r="E21" i="27" s="1"/>
  <c r="J21" i="23"/>
  <c r="I21" i="23"/>
  <c r="D37" i="27"/>
  <c r="E24" i="27"/>
  <c r="H34" i="27"/>
  <c r="D46" i="35"/>
  <c r="M13" i="35"/>
  <c r="N13" i="35" s="1"/>
  <c r="D48" i="35"/>
  <c r="D44" i="35"/>
  <c r="M14" i="21"/>
  <c r="H27" i="23" s="1"/>
  <c r="O2" i="3"/>
  <c r="F28" i="19"/>
  <c r="H26" i="23" s="1"/>
  <c r="K21" i="18"/>
  <c r="M40" i="26"/>
  <c r="P3" i="27"/>
  <c r="M38" i="26"/>
  <c r="H14" i="26" s="1"/>
  <c r="P9" i="27"/>
  <c r="H11" i="27" s="1"/>
  <c r="G6" i="26"/>
  <c r="F5" i="27"/>
  <c r="D9" i="23"/>
  <c r="F30" i="16"/>
  <c r="J15" i="23"/>
  <c r="I15" i="15"/>
  <c r="N18" i="35" a="1"/>
  <c r="E32" i="26" l="1"/>
  <c r="V10" i="2"/>
  <c r="BJ247" i="25" s="1"/>
  <c r="M21" i="27"/>
  <c r="L254" i="42"/>
  <c r="L255" i="42" s="1"/>
  <c r="S254" i="42" s="1"/>
  <c r="E36" i="23" s="1"/>
  <c r="I22" i="23"/>
  <c r="I31" i="23" s="1"/>
  <c r="P23" i="27" s="1"/>
  <c r="M32" i="26"/>
  <c r="H254" i="42"/>
  <c r="S252" i="42" s="1"/>
  <c r="E36" i="26" s="1"/>
  <c r="G258" i="42"/>
  <c r="G35" i="26" s="1"/>
  <c r="J22" i="23"/>
  <c r="J31" i="23" s="1"/>
  <c r="P36" i="27" s="1"/>
  <c r="N23" i="35"/>
  <c r="N18" i="35"/>
  <c r="N21" i="35"/>
  <c r="N22" i="35"/>
  <c r="N25" i="35"/>
  <c r="N20" i="35"/>
  <c r="N24" i="35"/>
  <c r="N19" i="35"/>
  <c r="C37" i="27"/>
  <c r="C24" i="27"/>
  <c r="D13" i="24"/>
  <c r="C20" i="18"/>
  <c r="N19" i="12"/>
  <c r="P19" i="12" s="1"/>
  <c r="G44" i="35"/>
  <c r="C223" i="33" s="1"/>
  <c r="F223" i="33" s="1"/>
  <c r="F44" i="35"/>
  <c r="H3" i="39" s="1"/>
  <c r="B29" i="39" s="1"/>
  <c r="I44" i="35"/>
  <c r="E44" i="35"/>
  <c r="L44" i="35" s="1"/>
  <c r="B44" i="35"/>
  <c r="H44" i="35"/>
  <c r="B38" i="26"/>
  <c r="D39" i="26"/>
  <c r="I48" i="35"/>
  <c r="H48" i="35"/>
  <c r="F48" i="35"/>
  <c r="H9" i="39" s="1"/>
  <c r="B48" i="35"/>
  <c r="E48" i="35"/>
  <c r="L48" i="35" s="1"/>
  <c r="G48" i="35"/>
  <c r="C227" i="33" s="1"/>
  <c r="F227" i="33" s="1"/>
  <c r="I9" i="39" s="1"/>
  <c r="B46" i="35"/>
  <c r="H46" i="35"/>
  <c r="F46" i="35"/>
  <c r="H6" i="39" s="1"/>
  <c r="B30" i="39" s="1"/>
  <c r="I46" i="35"/>
  <c r="G46" i="35"/>
  <c r="C225" i="33" s="1"/>
  <c r="F225" i="33" s="1"/>
  <c r="I6" i="39" s="1"/>
  <c r="E46" i="35"/>
  <c r="L46" i="35" s="1"/>
  <c r="BM247" i="25" l="1"/>
  <c r="G24" i="27" s="1"/>
  <c r="BP247" i="25"/>
  <c r="G37" i="27" s="1"/>
  <c r="S249" i="42"/>
  <c r="G9" i="23" s="1"/>
  <c r="F2" i="47"/>
  <c r="F3" i="47" s="1"/>
  <c r="F7" i="47" s="1"/>
  <c r="I33" i="23" s="1"/>
  <c r="P22" i="27" s="1"/>
  <c r="H22" i="27" s="1"/>
  <c r="I3" i="39"/>
  <c r="S4" i="39" s="1"/>
  <c r="S5" i="39" s="1"/>
  <c r="H35" i="23"/>
  <c r="G2" i="47"/>
  <c r="G3" i="47" s="1"/>
  <c r="G7" i="47" s="1"/>
  <c r="J33" i="23" s="1"/>
  <c r="P35" i="27" s="1"/>
  <c r="H36" i="27" s="1"/>
  <c r="S7" i="39"/>
  <c r="S8" i="39" s="1"/>
  <c r="M7" i="39"/>
  <c r="M8" i="39" s="1"/>
  <c r="P7" i="39"/>
  <c r="P8" i="39" s="1"/>
  <c r="X10" i="37"/>
  <c r="H25" i="23"/>
  <c r="K19" i="18"/>
  <c r="G23" i="18" s="1"/>
  <c r="H19" i="23" s="1"/>
  <c r="P10" i="39"/>
  <c r="P11" i="39" s="1"/>
  <c r="X13" i="37"/>
  <c r="S10" i="39"/>
  <c r="S11" i="39" s="1"/>
  <c r="M10" i="39"/>
  <c r="M11" i="39" s="1"/>
  <c r="C22" i="18"/>
  <c r="C24" i="18" s="1"/>
  <c r="H18" i="23" s="1"/>
  <c r="AA4" i="37" l="1"/>
  <c r="P13" i="40" s="1"/>
  <c r="X7" i="37"/>
  <c r="P4" i="39"/>
  <c r="P5" i="39" s="1"/>
  <c r="AA7" i="37" s="1"/>
  <c r="M4" i="39"/>
  <c r="M5" i="39" s="1"/>
  <c r="M12" i="39" s="1"/>
  <c r="M24" i="39" s="1"/>
  <c r="AB4" i="37"/>
  <c r="AA13" i="37"/>
  <c r="P31" i="39"/>
  <c r="AA10" i="37"/>
  <c r="P30" i="39"/>
  <c r="S30" i="39"/>
  <c r="AB10" i="37"/>
  <c r="Z13" i="37"/>
  <c r="M31" i="39"/>
  <c r="S12" i="39"/>
  <c r="S24" i="39" s="1"/>
  <c r="S25" i="39" s="1"/>
  <c r="C36" i="16" s="1"/>
  <c r="S29" i="39"/>
  <c r="AB7" i="37"/>
  <c r="M30" i="39"/>
  <c r="Z10" i="37"/>
  <c r="H17" i="23"/>
  <c r="H16" i="23"/>
  <c r="C25" i="18"/>
  <c r="S31" i="39"/>
  <c r="AB13" i="37"/>
  <c r="P12" i="39" l="1"/>
  <c r="P24" i="39" s="1"/>
  <c r="P25" i="39" s="1"/>
  <c r="D27" i="15" s="1"/>
  <c r="D28" i="15" s="1"/>
  <c r="P27" i="39" s="1"/>
  <c r="P29" i="39"/>
  <c r="P41" i="39" s="1"/>
  <c r="Z7" i="37"/>
  <c r="Z15" i="37" s="1"/>
  <c r="Z37" i="37" s="1"/>
  <c r="M29" i="39"/>
  <c r="M41" i="39" s="1"/>
  <c r="AB39" i="37"/>
  <c r="S13" i="40"/>
  <c r="AB15" i="37"/>
  <c r="AB37" i="37" s="1"/>
  <c r="AB38" i="37" s="1"/>
  <c r="H22" i="23"/>
  <c r="E15" i="24"/>
  <c r="D17" i="24" s="1"/>
  <c r="D20" i="24" s="1"/>
  <c r="H28" i="23" s="1"/>
  <c r="H29" i="23" s="1"/>
  <c r="S26" i="39"/>
  <c r="C37" i="16"/>
  <c r="S27" i="39" s="1"/>
  <c r="P29" i="40"/>
  <c r="P36" i="40"/>
  <c r="S41" i="39"/>
  <c r="AA15" i="37"/>
  <c r="AA37" i="37" s="1"/>
  <c r="P26" i="39" l="1"/>
  <c r="S29" i="40"/>
  <c r="S36" i="40"/>
  <c r="AA38" i="37"/>
  <c r="AA39" i="37"/>
  <c r="H31" i="23"/>
  <c r="H40" i="26" l="1"/>
  <c r="E2" i="47"/>
  <c r="E3" i="47" s="1"/>
  <c r="E7" i="47" s="1"/>
  <c r="H33" i="23" s="1"/>
  <c r="H39" i="26" l="1"/>
  <c r="Q246" i="42"/>
  <c r="H32" i="26" l="1"/>
  <c r="Z4" i="37" s="1"/>
  <c r="N253" i="42"/>
  <c r="B35" i="23" s="1"/>
  <c r="S253" i="42"/>
  <c r="N251" i="42" l="1"/>
  <c r="B35" i="26" s="1"/>
  <c r="R246" i="42"/>
  <c r="S251" i="42" s="1"/>
  <c r="N252" i="42" s="1"/>
  <c r="B36" i="26" s="1"/>
  <c r="Z38" i="37"/>
  <c r="Z39" i="37"/>
  <c r="M13" i="40"/>
  <c r="M29" i="40" s="1"/>
  <c r="I35" i="23"/>
  <c r="N254" i="42"/>
  <c r="B36" i="23" s="1"/>
  <c r="M36" i="40" l="1"/>
</calcChain>
</file>

<file path=xl/sharedStrings.xml><?xml version="1.0" encoding="utf-8"?>
<sst xmlns="http://schemas.openxmlformats.org/spreadsheetml/2006/main" count="11042" uniqueCount="1866">
  <si>
    <t>Liquame bovino/digestato</t>
  </si>
  <si>
    <t>asciutto / irriguo</t>
  </si>
  <si>
    <t>sì/no</t>
  </si>
  <si>
    <t>arrotonda</t>
  </si>
  <si>
    <t>Mais trinciato classe 700</t>
  </si>
  <si>
    <t>Mais trinciato classe 500</t>
  </si>
  <si>
    <t>Conc. 7</t>
  </si>
  <si>
    <t>Conc. 8</t>
  </si>
  <si>
    <t>dal 1/10 al 31/01</t>
  </si>
  <si>
    <t>Zona di selezione in funzione  del ciclo e  della stagione vegetativa</t>
  </si>
  <si>
    <t>F8:H12</t>
  </si>
  <si>
    <t>Prog_Cic_fert2</t>
  </si>
  <si>
    <t>Prog_Cic_Fert3</t>
  </si>
  <si>
    <t>Coltura</t>
  </si>
  <si>
    <t>ID_Gru</t>
  </si>
  <si>
    <t>A</t>
  </si>
  <si>
    <t>E</t>
  </si>
  <si>
    <t>F</t>
  </si>
  <si>
    <t>O</t>
  </si>
  <si>
    <t>Gruppo</t>
  </si>
  <si>
    <t>S</t>
  </si>
  <si>
    <t>Progressivo</t>
  </si>
  <si>
    <t>Gruppo attualmente selezionato</t>
  </si>
  <si>
    <t>ordinato</t>
  </si>
  <si>
    <t>ID_Coltura</t>
  </si>
  <si>
    <t>coltura</t>
  </si>
  <si>
    <t>A2</t>
  </si>
  <si>
    <t>A4</t>
  </si>
  <si>
    <t>A6</t>
  </si>
  <si>
    <t>Altri fruttiferi frutti, legno e foglie</t>
  </si>
  <si>
    <t>A8</t>
  </si>
  <si>
    <t>Arancio frutti, legno e foglie</t>
  </si>
  <si>
    <t>A10</t>
  </si>
  <si>
    <t>A12</t>
  </si>
  <si>
    <t>Ciliegio frutti, legno e foglie</t>
  </si>
  <si>
    <t>A14</t>
  </si>
  <si>
    <t>Clementine frutti, legno e foglie</t>
  </si>
  <si>
    <t>A16</t>
  </si>
  <si>
    <t>Fico frutti, legno e foglie</t>
  </si>
  <si>
    <t>A18</t>
  </si>
  <si>
    <t>Kaki frutti, legno e foglie</t>
  </si>
  <si>
    <t>A20</t>
  </si>
  <si>
    <t>Limone frutti, legno e foglie</t>
  </si>
  <si>
    <t>A22</t>
  </si>
  <si>
    <t>Mandarino frutti, legno e foglie</t>
  </si>
  <si>
    <t>A24</t>
  </si>
  <si>
    <t>Mandorlo frutti, legno e foglie</t>
  </si>
  <si>
    <t>A26</t>
  </si>
  <si>
    <t>Melo frutti, legno e foglie</t>
  </si>
  <si>
    <t>A28</t>
  </si>
  <si>
    <t>Nashi frutti, legno e foglie</t>
  </si>
  <si>
    <t>A30</t>
  </si>
  <si>
    <t>Nespolo frutti, legno e foglie</t>
  </si>
  <si>
    <t>A32</t>
  </si>
  <si>
    <t>Nettarine frutti, legno e foglie</t>
  </si>
  <si>
    <t>A34</t>
  </si>
  <si>
    <t>Nocciolo frutti, legno e foglie</t>
  </si>
  <si>
    <t>A36</t>
  </si>
  <si>
    <t>Noce da frutto frutti, legno e foglie</t>
  </si>
  <si>
    <t>Olivo olive, legno e foglie</t>
  </si>
  <si>
    <t>Pesco frutti, legno e foglie</t>
  </si>
  <si>
    <t>Pioppo</t>
  </si>
  <si>
    <t>Pioppo da energia</t>
  </si>
  <si>
    <t>Susino frutti, legno e foglie</t>
  </si>
  <si>
    <t>Uva da tavola grappoli, tralci e foglie</t>
  </si>
  <si>
    <t xml:space="preserve">Vite per uva da vino (collina e montagna) grappoli, tralci e foglie </t>
  </si>
  <si>
    <t>Vite per uva da vino (pianura) grappoli, legno e foglie</t>
  </si>
  <si>
    <t>E1</t>
  </si>
  <si>
    <t>E2</t>
  </si>
  <si>
    <t>Avena</t>
  </si>
  <si>
    <t>E3</t>
  </si>
  <si>
    <t>Avena pianta intera</t>
  </si>
  <si>
    <t>E4</t>
  </si>
  <si>
    <t>Barbababietola da zucchero (pianta intera)</t>
  </si>
  <si>
    <t>E5</t>
  </si>
  <si>
    <t>Barbabietola da zucchero  (radici)</t>
  </si>
  <si>
    <t>E6</t>
  </si>
  <si>
    <t>Canapa da fibra</t>
  </si>
  <si>
    <t>E7</t>
  </si>
  <si>
    <t>Cavolo abissino</t>
  </si>
  <si>
    <t>E8</t>
  </si>
  <si>
    <t>Cece</t>
  </si>
  <si>
    <t>E9</t>
  </si>
  <si>
    <t>Colza</t>
  </si>
  <si>
    <t>E10</t>
  </si>
  <si>
    <t>Colza pianta intera</t>
  </si>
  <si>
    <t>E11</t>
  </si>
  <si>
    <t>Farro</t>
  </si>
  <si>
    <t>E12</t>
  </si>
  <si>
    <t>Farro (pianta intera)</t>
  </si>
  <si>
    <t>E13</t>
  </si>
  <si>
    <t>E14</t>
  </si>
  <si>
    <t>Girasole (acheni)</t>
  </si>
  <si>
    <t>E15</t>
  </si>
  <si>
    <t>Girasole (pianta intera)</t>
  </si>
  <si>
    <t>E16</t>
  </si>
  <si>
    <t>Grano duro (granella)</t>
  </si>
  <si>
    <t>E17</t>
  </si>
  <si>
    <t>Grano duro (pianta intera)</t>
  </si>
  <si>
    <t>E18</t>
  </si>
  <si>
    <t>E19</t>
  </si>
  <si>
    <t>E20</t>
  </si>
  <si>
    <t>Grano tenero biscottiero  (granella)</t>
  </si>
  <si>
    <t>E21</t>
  </si>
  <si>
    <t>Grano tenero biscottiero pianta intera</t>
  </si>
  <si>
    <t>E22</t>
  </si>
  <si>
    <t>E23</t>
  </si>
  <si>
    <t>E24</t>
  </si>
  <si>
    <t>Lenticchia</t>
  </si>
  <si>
    <t>E25</t>
  </si>
  <si>
    <t>Lino  fibra</t>
  </si>
  <si>
    <t>E26</t>
  </si>
  <si>
    <t>Lino granella</t>
  </si>
  <si>
    <t>E27</t>
  </si>
  <si>
    <t>Lupino</t>
  </si>
  <si>
    <t>E28</t>
  </si>
  <si>
    <t>E29</t>
  </si>
  <si>
    <t>E30</t>
  </si>
  <si>
    <t>Mais dolce  (spighe)</t>
  </si>
  <si>
    <t>E31</t>
  </si>
  <si>
    <t>Mais dolce (pianta intera)</t>
  </si>
  <si>
    <t>E32</t>
  </si>
  <si>
    <t>E33</t>
  </si>
  <si>
    <t>Orzo (granella)</t>
  </si>
  <si>
    <t>E34</t>
  </si>
  <si>
    <t>Orzo (pianta intera)</t>
  </si>
  <si>
    <t>E35</t>
  </si>
  <si>
    <t>Panico</t>
  </si>
  <si>
    <t>E36</t>
  </si>
  <si>
    <t>Pisello proteico</t>
  </si>
  <si>
    <t>E37</t>
  </si>
  <si>
    <t>E38</t>
  </si>
  <si>
    <t>Rafano (da sovescio)</t>
  </si>
  <si>
    <t>E39</t>
  </si>
  <si>
    <t>Riso (granella)</t>
  </si>
  <si>
    <t>E40</t>
  </si>
  <si>
    <t>Riso (granella+paglia)</t>
  </si>
  <si>
    <t>E41</t>
  </si>
  <si>
    <t>E42</t>
  </si>
  <si>
    <t>Segale pianta intera</t>
  </si>
  <si>
    <t>E43</t>
  </si>
  <si>
    <t>Senape indiana</t>
  </si>
  <si>
    <t>E44</t>
  </si>
  <si>
    <t>Soia (granella)</t>
  </si>
  <si>
    <t>E45</t>
  </si>
  <si>
    <t>Soia (pianta intera)</t>
  </si>
  <si>
    <t>E46</t>
  </si>
  <si>
    <t>Sorgo da foraggio</t>
  </si>
  <si>
    <t>E47</t>
  </si>
  <si>
    <t>Sorgo da granella  (solo granella)</t>
  </si>
  <si>
    <t>E48</t>
  </si>
  <si>
    <t>Sorgo da granella (pianta intera)</t>
  </si>
  <si>
    <t>E49</t>
  </si>
  <si>
    <t>Tabacco Bright</t>
  </si>
  <si>
    <t>E50</t>
  </si>
  <si>
    <t>Tabacco Bright pianta intera</t>
  </si>
  <si>
    <t>E51</t>
  </si>
  <si>
    <t>Tabacco Burley</t>
  </si>
  <si>
    <t>E52</t>
  </si>
  <si>
    <t>Tabacco Burley pianta intera</t>
  </si>
  <si>
    <t>E53</t>
  </si>
  <si>
    <t>Triticale</t>
  </si>
  <si>
    <t>E54</t>
  </si>
  <si>
    <t>Triticale pianta intera</t>
  </si>
  <si>
    <t>F1</t>
  </si>
  <si>
    <t>Avena insilata</t>
  </si>
  <si>
    <t>F2</t>
  </si>
  <si>
    <t>Colza insilato</t>
  </si>
  <si>
    <t>F3</t>
  </si>
  <si>
    <t>Erba mazzolina</t>
  </si>
  <si>
    <t>F4</t>
  </si>
  <si>
    <t>Erba medica</t>
  </si>
  <si>
    <t>F5</t>
  </si>
  <si>
    <t>Erbai aut prim. Di cer. O cruc.</t>
  </si>
  <si>
    <t>F6</t>
  </si>
  <si>
    <t>Erbai aut prim. Di leguminose</t>
  </si>
  <si>
    <t>F7</t>
  </si>
  <si>
    <t>F8</t>
  </si>
  <si>
    <t>F9</t>
  </si>
  <si>
    <t>Farro insilato</t>
  </si>
  <si>
    <t>F10</t>
  </si>
  <si>
    <t>Festuca arundinacea</t>
  </si>
  <si>
    <t>F11</t>
  </si>
  <si>
    <t>Fleolo (coda di topo)</t>
  </si>
  <si>
    <t>F12</t>
  </si>
  <si>
    <t>Grano duro  insilato</t>
  </si>
  <si>
    <t>F13</t>
  </si>
  <si>
    <t>Grano tenero  insilato</t>
  </si>
  <si>
    <t>F14</t>
  </si>
  <si>
    <t>Loglio da insilare</t>
  </si>
  <si>
    <t>F15</t>
  </si>
  <si>
    <t>Loiessa</t>
  </si>
  <si>
    <t>F16</t>
  </si>
  <si>
    <t>Loietto perenne</t>
  </si>
  <si>
    <t>F17</t>
  </si>
  <si>
    <t>Orzo insilato</t>
  </si>
  <si>
    <t>F18</t>
  </si>
  <si>
    <t>Prati di graminacee</t>
  </si>
  <si>
    <t>F19</t>
  </si>
  <si>
    <t>Prati di trifoglio</t>
  </si>
  <si>
    <t>F20</t>
  </si>
  <si>
    <t>Prati pascoli in collina</t>
  </si>
  <si>
    <t>F21</t>
  </si>
  <si>
    <t>Prati polifiti &gt;50% leguminose</t>
  </si>
  <si>
    <t>F22</t>
  </si>
  <si>
    <t>F23</t>
  </si>
  <si>
    <t>Prati stabili in pianura</t>
  </si>
  <si>
    <t>F24</t>
  </si>
  <si>
    <t>Prato misto</t>
  </si>
  <si>
    <t>F25</t>
  </si>
  <si>
    <t>Segale insilato</t>
  </si>
  <si>
    <t>F26</t>
  </si>
  <si>
    <t>Triticale insilato</t>
  </si>
  <si>
    <t>Aglio</t>
  </si>
  <si>
    <t>Asparago verde (pianta intera)</t>
  </si>
  <si>
    <t>Carciofo</t>
  </si>
  <si>
    <t>Carota</t>
  </si>
  <si>
    <t>Cocomero</t>
  </si>
  <si>
    <t>Fagiolo secco</t>
  </si>
  <si>
    <t>Finocchio</t>
  </si>
  <si>
    <t xml:space="preserve">Fragola </t>
  </si>
  <si>
    <t>Lattuga</t>
  </si>
  <si>
    <t>Lattuga coltura protetta</t>
  </si>
  <si>
    <t>Melone</t>
  </si>
  <si>
    <t>Patata</t>
  </si>
  <si>
    <t>Piccoli frutti</t>
  </si>
  <si>
    <t>Pomodoro da mensa a pieno campo</t>
  </si>
  <si>
    <t>Pomodoro da mensa in serra</t>
  </si>
  <si>
    <t>Porro</t>
  </si>
  <si>
    <t>Rapa</t>
  </si>
  <si>
    <t>Ravanello</t>
  </si>
  <si>
    <t>Scalogno</t>
  </si>
  <si>
    <t>Verza da industria</t>
  </si>
  <si>
    <t>Zucca</t>
  </si>
  <si>
    <t>arboree</t>
  </si>
  <si>
    <t>erbacee</t>
  </si>
  <si>
    <t>foraggere</t>
  </si>
  <si>
    <t>orticole</t>
  </si>
  <si>
    <t>intervallo coltura</t>
  </si>
  <si>
    <t>matrice</t>
  </si>
  <si>
    <t>Coltura attualmente selezionata</t>
  </si>
  <si>
    <t>Criterio</t>
  </si>
  <si>
    <t>da</t>
  </si>
  <si>
    <t>N</t>
  </si>
  <si>
    <t>P2O5</t>
  </si>
  <si>
    <t>K2O</t>
  </si>
  <si>
    <t>Conta numero colture X gruppo</t>
  </si>
  <si>
    <t>A*</t>
  </si>
  <si>
    <t>E*</t>
  </si>
  <si>
    <t>F*</t>
  </si>
  <si>
    <t>O*</t>
  </si>
  <si>
    <t>S*</t>
  </si>
  <si>
    <t>Numero</t>
  </si>
  <si>
    <t>Legenda</t>
  </si>
  <si>
    <t>Descrizione</t>
  </si>
  <si>
    <t>Raggruppamento</t>
  </si>
  <si>
    <t>ID_Suo</t>
  </si>
  <si>
    <t>Sabbioso</t>
  </si>
  <si>
    <t>Grossolana</t>
  </si>
  <si>
    <t>Classe</t>
  </si>
  <si>
    <t>SF</t>
  </si>
  <si>
    <t>Sabbioso Franco</t>
  </si>
  <si>
    <t>L</t>
  </si>
  <si>
    <t>Limoso</t>
  </si>
  <si>
    <t>Media</t>
  </si>
  <si>
    <t>FS</t>
  </si>
  <si>
    <t>Franco Sabbioso</t>
  </si>
  <si>
    <t>Franco</t>
  </si>
  <si>
    <t>FL</t>
  </si>
  <si>
    <t>Franco Limoso</t>
  </si>
  <si>
    <t>FSA</t>
  </si>
  <si>
    <t>Franco Sabbioso Argilloso</t>
  </si>
  <si>
    <t>FA</t>
  </si>
  <si>
    <t>Franco Argilloso</t>
  </si>
  <si>
    <t>FLA</t>
  </si>
  <si>
    <t>Franco Limoso Argilloso</t>
  </si>
  <si>
    <t>AL</t>
  </si>
  <si>
    <t>Argilloso Limoso</t>
  </si>
  <si>
    <t>Fine</t>
  </si>
  <si>
    <t>AS</t>
  </si>
  <si>
    <t>Argilloso Sabbioso</t>
  </si>
  <si>
    <t>Argilloso</t>
  </si>
  <si>
    <t>Tessitura</t>
  </si>
  <si>
    <t>Seleziona il suolo</t>
  </si>
  <si>
    <t>Suolo</t>
  </si>
  <si>
    <t>R</t>
  </si>
  <si>
    <t>G</t>
  </si>
  <si>
    <t>I</t>
  </si>
  <si>
    <t>B</t>
  </si>
  <si>
    <t>pH</t>
  </si>
  <si>
    <t>CaCO3</t>
  </si>
  <si>
    <t>C/N</t>
  </si>
  <si>
    <t>S.O. (%)</t>
  </si>
  <si>
    <t>Attivo</t>
  </si>
  <si>
    <t>SO</t>
  </si>
  <si>
    <t>ID_SO</t>
  </si>
  <si>
    <t>classe CN</t>
  </si>
  <si>
    <t>Coeff_min</t>
  </si>
  <si>
    <t>basso</t>
  </si>
  <si>
    <t>equilibrato</t>
  </si>
  <si>
    <t>alto</t>
  </si>
  <si>
    <t>DI_CN</t>
  </si>
  <si>
    <t>min</t>
  </si>
  <si>
    <t>max</t>
  </si>
  <si>
    <t>Valore</t>
  </si>
  <si>
    <t>&lt;</t>
  </si>
  <si>
    <t>&gt;</t>
  </si>
  <si>
    <t>=</t>
  </si>
  <si>
    <t>Raggr.</t>
  </si>
  <si>
    <t>N tot (g/kg)</t>
  </si>
  <si>
    <t>Inserito</t>
  </si>
  <si>
    <t>Utilizzato</t>
  </si>
  <si>
    <t>S.O. t/ha</t>
  </si>
  <si>
    <t>N tot. t/ha</t>
  </si>
  <si>
    <t>Nm kg/ha</t>
  </si>
  <si>
    <t>Np kg/ha</t>
  </si>
  <si>
    <t>ID_Rag</t>
  </si>
  <si>
    <t>ID:CN</t>
  </si>
  <si>
    <t>ID_CN</t>
  </si>
  <si>
    <t>Peso_ specifico</t>
  </si>
  <si>
    <t>Peso_di_20_cm</t>
  </si>
  <si>
    <t>Peso_di_30_cm</t>
  </si>
  <si>
    <t>Peso_di_50_cm</t>
  </si>
  <si>
    <t>Ragguppamento Tessitura</t>
  </si>
  <si>
    <t>P</t>
  </si>
  <si>
    <t>ppm</t>
  </si>
  <si>
    <t>Fosforo</t>
  </si>
  <si>
    <t>ID_F_P</t>
  </si>
  <si>
    <t>forma</t>
  </si>
  <si>
    <t>fosforo</t>
  </si>
  <si>
    <t>kg/ha</t>
  </si>
  <si>
    <t>ID_Gri_P</t>
  </si>
  <si>
    <t>&lt; 5</t>
  </si>
  <si>
    <t>&lt; 10</t>
  </si>
  <si>
    <t>&lt; 15</t>
  </si>
  <si>
    <t>&lt; 30</t>
  </si>
  <si>
    <t>=&gt; 5</t>
  </si>
  <si>
    <t>=&gt; 10</t>
  </si>
  <si>
    <t>=&gt; 15</t>
  </si>
  <si>
    <t>=&gt; 30</t>
  </si>
  <si>
    <t>Dotazioni di fosforo assimilabile (ppm) metodo Olsen</t>
  </si>
  <si>
    <t>proposte dal SILPA</t>
  </si>
  <si>
    <t>minimo</t>
  </si>
  <si>
    <t>massimo</t>
  </si>
  <si>
    <t>Dotazione</t>
  </si>
  <si>
    <t>Dbase</t>
  </si>
  <si>
    <t>bassa</t>
  </si>
  <si>
    <t>media</t>
  </si>
  <si>
    <t>elevata</t>
  </si>
  <si>
    <t>Intervallo normalità</t>
  </si>
  <si>
    <t>Criteri</t>
  </si>
  <si>
    <t>K</t>
  </si>
  <si>
    <t>Argilla %:</t>
  </si>
  <si>
    <t>Lisciviazione</t>
  </si>
  <si>
    <t>argilla</t>
  </si>
  <si>
    <t>perdita</t>
  </si>
  <si>
    <t>%</t>
  </si>
  <si>
    <t>molto bassa</t>
  </si>
  <si>
    <t>Dotazione di K scambiabile (ppm)</t>
  </si>
  <si>
    <t>Sabbiosi</t>
  </si>
  <si>
    <t>Medio impasto</t>
  </si>
  <si>
    <t>Argillosi e limosi</t>
  </si>
  <si>
    <t>Potassio</t>
  </si>
  <si>
    <t>min K</t>
  </si>
  <si>
    <t>max K</t>
  </si>
  <si>
    <t>min K2O</t>
  </si>
  <si>
    <t>max K2O</t>
  </si>
  <si>
    <t>ID_F_K</t>
  </si>
  <si>
    <t>tenore</t>
  </si>
  <si>
    <t>iniziale</t>
  </si>
  <si>
    <t>digitato</t>
  </si>
  <si>
    <t>Forma</t>
  </si>
  <si>
    <t>Cercati in vert. Con tenore iniziale  K</t>
  </si>
  <si>
    <t>criteri x ricerca ID_Gri_K2O</t>
  </si>
  <si>
    <t>ID_Gri_K</t>
  </si>
  <si>
    <t>convers.</t>
  </si>
  <si>
    <t>Cercati in vert. Con tenore iniziale  P</t>
  </si>
  <si>
    <t>min P</t>
  </si>
  <si>
    <t>max P</t>
  </si>
  <si>
    <t>min P2O5</t>
  </si>
  <si>
    <t>max P2O5</t>
  </si>
  <si>
    <t xml:space="preserve"> molto elevata</t>
  </si>
  <si>
    <t>Perdite</t>
  </si>
  <si>
    <t>t/ha</t>
  </si>
  <si>
    <t>ID-Cal_tot</t>
  </si>
  <si>
    <t>giudizio</t>
  </si>
  <si>
    <t>min_CaCO3</t>
  </si>
  <si>
    <t>max_CaCO3</t>
  </si>
  <si>
    <t>Contenuto in calcare totale (%)</t>
  </si>
  <si>
    <t>Non calcareo</t>
  </si>
  <si>
    <t>Poco calcareo</t>
  </si>
  <si>
    <t>Mediamente calcareo</t>
  </si>
  <si>
    <t>Calcareo</t>
  </si>
  <si>
    <t>Molto calcareo</t>
  </si>
  <si>
    <t>&lt; 1</t>
  </si>
  <si>
    <t>=&gt; 1</t>
  </si>
  <si>
    <t>&lt; 25</t>
  </si>
  <si>
    <t>=&gt; 25</t>
  </si>
  <si>
    <t>&lt; 50</t>
  </si>
  <si>
    <t>=&gt; 50</t>
  </si>
  <si>
    <t>cerca vert. Digitato</t>
  </si>
  <si>
    <t>Contenuto in calcare attivo (%)</t>
  </si>
  <si>
    <t>&lt; 7,5</t>
  </si>
  <si>
    <t>=&gt; 7,5</t>
  </si>
  <si>
    <t>contenuto</t>
  </si>
  <si>
    <t>Basso</t>
  </si>
  <si>
    <t>Medio</t>
  </si>
  <si>
    <t>Elevato</t>
  </si>
  <si>
    <t>Molto elevato</t>
  </si>
  <si>
    <t>ID-Cal_att</t>
  </si>
  <si>
    <t>Criterio x ricerca ID_Cal_tot e SILPA</t>
  </si>
  <si>
    <t>min_att</t>
  </si>
  <si>
    <t>max_att</t>
  </si>
  <si>
    <t>Criterio x ricerca ID_Cal_att e SILPA</t>
  </si>
  <si>
    <t>Dotazione di SO (%)</t>
  </si>
  <si>
    <t xml:space="preserve">min </t>
  </si>
  <si>
    <t>Cercati in vert. Con inserito</t>
  </si>
  <si>
    <t>criteri x ricerca ID_SO</t>
  </si>
  <si>
    <t>ID_Min</t>
  </si>
  <si>
    <t>Dotazione di Azoto Totale (g/kg)</t>
  </si>
  <si>
    <t>ID_N_tot</t>
  </si>
  <si>
    <t>Molto bassa</t>
  </si>
  <si>
    <t>Bassa</t>
  </si>
  <si>
    <t>Elevata</t>
  </si>
  <si>
    <t>Molto elevata</t>
  </si>
  <si>
    <t xml:space="preserve"> &lt;0,5</t>
  </si>
  <si>
    <t>&gt;= 0,5 - &lt;1,0</t>
  </si>
  <si>
    <t>&gt;= 1,0 - &lt;2,0</t>
  </si>
  <si>
    <t>&gt;= 2,0 - &lt;2,5</t>
  </si>
  <si>
    <t>&gt;= 2,5</t>
  </si>
  <si>
    <t>Univ. Torino</t>
  </si>
  <si>
    <t>inserito</t>
  </si>
  <si>
    <t>Peso di 20 cm</t>
  </si>
  <si>
    <t>ID_Dre</t>
  </si>
  <si>
    <t>C</t>
  </si>
  <si>
    <t>fc_D</t>
  </si>
  <si>
    <t>ID_C&amp;D</t>
  </si>
  <si>
    <t>Precessione</t>
  </si>
  <si>
    <t>ID_Pre</t>
  </si>
  <si>
    <t>b1</t>
  </si>
  <si>
    <t>Girasole</t>
  </si>
  <si>
    <t>Soia</t>
  </si>
  <si>
    <t>Sorgo</t>
  </si>
  <si>
    <t>ID_Cat_Col</t>
  </si>
  <si>
    <t>b2</t>
  </si>
  <si>
    <t>Nm utile  kg/ha</t>
  </si>
  <si>
    <t>Barbabietola</t>
  </si>
  <si>
    <t>Cereale autunno-vern. Paglia asportata</t>
  </si>
  <si>
    <t>Cereale autunno-vern. Paglia interrata</t>
  </si>
  <si>
    <t>Mais stocchi asportati</t>
  </si>
  <si>
    <t>Mais stocchi interrati</t>
  </si>
  <si>
    <t>Medicaio in buone conndizioni</t>
  </si>
  <si>
    <t>Medicaio diradato</t>
  </si>
  <si>
    <t>Prato polifita con leguminose &gt; 15%</t>
  </si>
  <si>
    <t>Prato polifita con leguminose dal 5 al 15%</t>
  </si>
  <si>
    <t>Prato polifita con leguminose &lt; 5%</t>
  </si>
  <si>
    <t>Prato di breve durata o trifoglio</t>
  </si>
  <si>
    <t>Orticole a foglia</t>
  </si>
  <si>
    <t>Sovescio di leguminose</t>
  </si>
  <si>
    <t>Non definita</t>
  </si>
  <si>
    <t>fertilizzante</t>
  </si>
  <si>
    <t>tipo</t>
  </si>
  <si>
    <t>min_ss</t>
  </si>
  <si>
    <t>max_ss</t>
  </si>
  <si>
    <t>media_ss</t>
  </si>
  <si>
    <t>min_N</t>
  </si>
  <si>
    <t>max_N</t>
  </si>
  <si>
    <t>media_N</t>
  </si>
  <si>
    <t>min_P2O5</t>
  </si>
  <si>
    <t>max_P2O5</t>
  </si>
  <si>
    <t>media_P2O5</t>
  </si>
  <si>
    <t>min_K2O</t>
  </si>
  <si>
    <t>max_K2O</t>
  </si>
  <si>
    <t>media_K2O</t>
  </si>
  <si>
    <t>nessuno</t>
  </si>
  <si>
    <t>letame bovino</t>
  </si>
  <si>
    <t>letame suino</t>
  </si>
  <si>
    <t>letame ovino</t>
  </si>
  <si>
    <t>compost</t>
  </si>
  <si>
    <t>humofort pellet amm. Org. Nat.</t>
  </si>
  <si>
    <t>humoscam pellet amm. Veg. Fermentato</t>
  </si>
  <si>
    <t>tioscam 50 amm. Base ferro e zolfo</t>
  </si>
  <si>
    <t>lettiera esausta polli da carne</t>
  </si>
  <si>
    <t>pollina preessicata</t>
  </si>
  <si>
    <t>liquame bovini da carne</t>
  </si>
  <si>
    <t>liquame bovini da latte</t>
  </si>
  <si>
    <t>liquami suini</t>
  </si>
  <si>
    <t>liquami ovaiole</t>
  </si>
  <si>
    <t>ID_MO</t>
  </si>
  <si>
    <t>Matrice organica</t>
  </si>
  <si>
    <t>ogni 2</t>
  </si>
  <si>
    <t>ogni 3</t>
  </si>
  <si>
    <t>saltuaria</t>
  </si>
  <si>
    <t>Ammendante</t>
  </si>
  <si>
    <t>Liquame suino e/o pollina</t>
  </si>
  <si>
    <t>Nessuno</t>
  </si>
  <si>
    <t>Coefficienti di recupero</t>
  </si>
  <si>
    <t>tutti gli anni</t>
  </si>
  <si>
    <t>Tipo fertilizzante</t>
  </si>
  <si>
    <t>Frequenza</t>
  </si>
  <si>
    <t>ID_Fre</t>
  </si>
  <si>
    <t>ogni 2 anni</t>
  </si>
  <si>
    <t>ogni 3 anni</t>
  </si>
  <si>
    <t>saltuario</t>
  </si>
  <si>
    <t>campo</t>
  </si>
  <si>
    <t>Coefficiente</t>
  </si>
  <si>
    <t>recupero</t>
  </si>
  <si>
    <t xml:space="preserve">ricerca orrizz. </t>
  </si>
  <si>
    <t>il campo</t>
  </si>
  <si>
    <t>campi</t>
  </si>
  <si>
    <t>Quantità</t>
  </si>
  <si>
    <t>Q_N_MO</t>
  </si>
  <si>
    <t>Disponibilità</t>
  </si>
  <si>
    <t>annua</t>
  </si>
  <si>
    <t>effettiva</t>
  </si>
  <si>
    <t>N fissazione (%)</t>
  </si>
  <si>
    <t>Apporti naturali</t>
  </si>
  <si>
    <t>% di azoto fissazione</t>
  </si>
  <si>
    <t>proposta</t>
  </si>
  <si>
    <t>considerata</t>
  </si>
  <si>
    <t>es. cucurbitacee, crucifere e liliacee</t>
  </si>
  <si>
    <t>Pomodoro e altre orticole</t>
  </si>
  <si>
    <t>A)</t>
  </si>
  <si>
    <t>B)</t>
  </si>
  <si>
    <t>E)</t>
  </si>
  <si>
    <t>F)</t>
  </si>
  <si>
    <t>C)</t>
  </si>
  <si>
    <t>Perdite per lisciviazione</t>
  </si>
  <si>
    <t>D)</t>
  </si>
  <si>
    <t>Fabbisogno della coltura</t>
  </si>
  <si>
    <t>Fertilità organica residua</t>
  </si>
  <si>
    <t>Totale necessità</t>
  </si>
  <si>
    <t>Totale disponibilità</t>
  </si>
  <si>
    <t>G)</t>
  </si>
  <si>
    <t>Bilancio al netto dell'azoto fissazione</t>
  </si>
  <si>
    <t>Azoto fissazione</t>
  </si>
  <si>
    <t>%N_fissa</t>
  </si>
  <si>
    <t>Totale apporti naturali</t>
  </si>
  <si>
    <t>Bisogno calcolato</t>
  </si>
  <si>
    <t>Ubicazione</t>
  </si>
  <si>
    <t>ID_UBI</t>
  </si>
  <si>
    <t>Pianura limitrofa a zone urbanizzate</t>
  </si>
  <si>
    <t>Pianura isolata</t>
  </si>
  <si>
    <t>Collina o montagna</t>
  </si>
  <si>
    <t>Deposizione</t>
  </si>
  <si>
    <t>Deposizioni atmosferiche utile alla coltura</t>
  </si>
  <si>
    <t>Immobilizzazioni e dispersioni (*)</t>
  </si>
  <si>
    <t>Peso_di_40_cm</t>
  </si>
  <si>
    <t>Arricchimento</t>
  </si>
  <si>
    <t>B2</t>
  </si>
  <si>
    <t>Riduzione</t>
  </si>
  <si>
    <t>B1</t>
  </si>
  <si>
    <t>Differenza  tra il valore delle analisi ed i limiti di normalità</t>
  </si>
  <si>
    <t>Fattore immobilizzazione "C"</t>
  </si>
  <si>
    <t>limite</t>
  </si>
  <si>
    <t>inferiore</t>
  </si>
  <si>
    <t>superiore</t>
  </si>
  <si>
    <t>Mantenimento</t>
  </si>
  <si>
    <t>B1)</t>
  </si>
  <si>
    <t>Arricchimernti</t>
  </si>
  <si>
    <t>H</t>
  </si>
  <si>
    <t>Differenze  tra il valore delle analisi ed i limiti di normalità</t>
  </si>
  <si>
    <t>Fattore di immobilizzazione "G"</t>
  </si>
  <si>
    <t>Piano di fertilizzazione</t>
  </si>
  <si>
    <t>Scheda inserimento dati</t>
  </si>
  <si>
    <t>apporti consentiti %</t>
  </si>
  <si>
    <t>A2)</t>
  </si>
  <si>
    <t>Anticipazioni anni futuri</t>
  </si>
  <si>
    <t>anni</t>
  </si>
  <si>
    <t>anticipaz.</t>
  </si>
  <si>
    <t>no</t>
  </si>
  <si>
    <t>sì</t>
  </si>
  <si>
    <t>Resa  annua prevista</t>
  </si>
  <si>
    <t>Asportaz.</t>
  </si>
  <si>
    <t>future</t>
  </si>
  <si>
    <t>Anticipaz.</t>
  </si>
  <si>
    <t>ammiss.</t>
  </si>
  <si>
    <t>Resa_Standard</t>
  </si>
  <si>
    <t>N_Standard</t>
  </si>
  <si>
    <t>P2O5_X_dot_Normale</t>
  </si>
  <si>
    <t>P2O5_X_dot_Elevata</t>
  </si>
  <si>
    <t>P2O5_X_dot_Bassa</t>
  </si>
  <si>
    <t>Rid_N_Resa</t>
  </si>
  <si>
    <t>Rid_P2O5_Resa</t>
  </si>
  <si>
    <t>Rid_K2O_Resa</t>
  </si>
  <si>
    <t>Inc_N_Resa</t>
  </si>
  <si>
    <t>Inc_N_Inerbito</t>
  </si>
  <si>
    <t>N_Inc_Max</t>
  </si>
  <si>
    <t>Inc_P2O5_Resa</t>
  </si>
  <si>
    <t>Inc_P2O5 Max</t>
  </si>
  <si>
    <t>Inc_K2O_SO_bassa</t>
  </si>
  <si>
    <t>Inc_K2O_Resa</t>
  </si>
  <si>
    <t>Inc_K2O max</t>
  </si>
  <si>
    <t>t</t>
  </si>
  <si>
    <t>a</t>
  </si>
  <si>
    <t>n</t>
  </si>
  <si>
    <t>d</t>
  </si>
  <si>
    <t>r</t>
  </si>
  <si>
    <t>i</t>
  </si>
  <si>
    <t>u</t>
  </si>
  <si>
    <t>z</t>
  </si>
  <si>
    <t>o</t>
  </si>
  <si>
    <t>c</t>
  </si>
  <si>
    <t>e</t>
  </si>
  <si>
    <t>m</t>
  </si>
  <si>
    <t>criterio</t>
  </si>
  <si>
    <t>Resa bassa inferiore a</t>
  </si>
  <si>
    <t>Ammendante nell'anno precedente</t>
  </si>
  <si>
    <t>Tenore SO nel suolo elevato</t>
  </si>
  <si>
    <t>Resa alta superiore a</t>
  </si>
  <si>
    <t>Tenore SO nel suolo basso</t>
  </si>
  <si>
    <t>Lisciviazione x surplus pluviometrico</t>
  </si>
  <si>
    <t>Dose ricalcolata</t>
  </si>
  <si>
    <t>totale riduzioni</t>
  </si>
  <si>
    <t>totale incrementi</t>
  </si>
  <si>
    <t>AZOTO</t>
  </si>
  <si>
    <t>FOSFORO</t>
  </si>
  <si>
    <t>scarso</t>
  </si>
  <si>
    <t>normale</t>
  </si>
  <si>
    <t>Calcare attivo molto elevato</t>
  </si>
  <si>
    <t>POTASSIO</t>
  </si>
  <si>
    <t>P2O5_X_dot_Molto_Bassa</t>
  </si>
  <si>
    <t>molto scarso</t>
  </si>
  <si>
    <t>Leguminosa</t>
  </si>
  <si>
    <t>S1</t>
  </si>
  <si>
    <t>Dopo medica o prato &gt; 5 anni</t>
  </si>
  <si>
    <t>Dopo una  leguminosa</t>
  </si>
  <si>
    <t>Leguminosa da granella (Pisello, Fagiolo, Cece, ecc.)</t>
  </si>
  <si>
    <t>fattore di immobilizzazione di P (a)</t>
  </si>
  <si>
    <t>non concimato l'anno preced. o Cv tardive</t>
  </si>
  <si>
    <t>Alta densità/portinnesto debole</t>
  </si>
  <si>
    <t>Prevalenza di graminacee</t>
  </si>
  <si>
    <t>Ristoppio o interramento paglie</t>
  </si>
  <si>
    <t>ristoppio o da 2 anni senza</t>
  </si>
  <si>
    <t>Produz. Sia autunnale che primaverile</t>
  </si>
  <si>
    <t>fattore</t>
  </si>
  <si>
    <t>condiz.</t>
  </si>
  <si>
    <t>Decrementi (kg/ha)</t>
  </si>
  <si>
    <t>Incrementi (kg/ha)</t>
  </si>
  <si>
    <t>Si prevede l'interramento della paglia</t>
  </si>
  <si>
    <t xml:space="preserve"> 3° ciclo in poi</t>
  </si>
  <si>
    <t>Semina precoce</t>
  </si>
  <si>
    <t>Eccessivo rigoglio vegetativo o varietà vigorose</t>
  </si>
  <si>
    <t>Scarso vigore vegetativo o varietà poco vigorose</t>
  </si>
  <si>
    <t>Localizzato</t>
  </si>
  <si>
    <t>nd</t>
  </si>
  <si>
    <t>Cavoli da seme</t>
  </si>
  <si>
    <r>
      <t>Sono presenti diversi fogli di lavoro,  di cui solo alcuni visibili, quelli nascosti non devono essere compilati e contengono i dati di base per effettuare i calcoli.</t>
    </r>
    <r>
      <rPr>
        <sz val="10"/>
        <rFont val="Arial"/>
        <family val="2"/>
      </rPr>
      <t xml:space="preserve"> </t>
    </r>
    <r>
      <rPr>
        <b/>
        <sz val="10"/>
        <color indexed="10"/>
        <rFont val="Arial"/>
        <family val="2"/>
      </rPr>
      <t>I dati devono essere inseriti solo nelle celle di colore giallo</t>
    </r>
    <r>
      <rPr>
        <sz val="10"/>
        <rFont val="Arial"/>
        <family val="2"/>
      </rPr>
      <t xml:space="preserve">.Per alcune variabili è prevista  la selezione da elenchi predefiniti. </t>
    </r>
  </si>
  <si>
    <t>Solo per le colture pluriennali in fase di impianto può essere indicata la durata prevista per potere calcolare le future asportazioni complessive di fosforo e potassio.</t>
  </si>
  <si>
    <r>
      <t>Il primo foglio che bisogna utilizzare è “</t>
    </r>
    <r>
      <rPr>
        <b/>
        <sz val="10"/>
        <rFont val="Arial"/>
        <family val="2"/>
      </rPr>
      <t>Inserimento</t>
    </r>
    <r>
      <rPr>
        <sz val="10"/>
        <rFont val="Arial"/>
        <family val="2"/>
      </rPr>
      <t xml:space="preserve">”  dove devono essere digitate e selezionate le informazioni di base. </t>
    </r>
  </si>
  <si>
    <t>Nell'inserimento dei dati occorre tenere presente che in relazione alla coltura possono  variare le informazioni richieste.</t>
  </si>
  <si>
    <t xml:space="preserve">Nella parte che riguarda eventuali apporti  organici alla coltura in precessione nel caso di apporti regolari occorre  inserire la quantità annua mediamente apportata di azoto. </t>
  </si>
  <si>
    <t>B (kg/ha):   Apporti di azoto derivanti dalla fertilità del suolo .</t>
  </si>
  <si>
    <t>A (kg/ha):  Fabbisogni colturali</t>
  </si>
  <si>
    <t>coefficienti unitari</t>
  </si>
  <si>
    <t>C (kg/ha)  : Perdite per lisciviazione</t>
  </si>
  <si>
    <t>E (kg/ha):  fertilità residua della precessione</t>
  </si>
  <si>
    <t>F (kg/ha): N da fertilizzazioni organiche effettuate negli anni precedenti alle colture in precessione</t>
  </si>
  <si>
    <t>G (kg/ha):  N da apporti naturali</t>
  </si>
  <si>
    <t>ID_F_org</t>
  </si>
  <si>
    <t>Caratteristiche di alcuni Fertilizzanti organici</t>
  </si>
  <si>
    <t>ID_Tip_fer</t>
  </si>
  <si>
    <t>Tipo</t>
  </si>
  <si>
    <t>Consistenza</t>
  </si>
  <si>
    <t>Funzione prevalente</t>
  </si>
  <si>
    <t>Caratteristica</t>
  </si>
  <si>
    <t>nessuna</t>
  </si>
  <si>
    <t>palabile</t>
  </si>
  <si>
    <t>ammendante</t>
  </si>
  <si>
    <t>a lenta degradabilità</t>
  </si>
  <si>
    <t>Compost</t>
  </si>
  <si>
    <t>concimante</t>
  </si>
  <si>
    <t>a rapida mineralizzazione</t>
  </si>
  <si>
    <t>liquida</t>
  </si>
  <si>
    <t>liquida/palabile</t>
  </si>
  <si>
    <t>Lettiera esausta polli da carne</t>
  </si>
  <si>
    <t>Pollina preessicata</t>
  </si>
  <si>
    <t>Organico</t>
  </si>
  <si>
    <t>Organo Minerale</t>
  </si>
  <si>
    <t>Concime min.e/o di sintesi</t>
  </si>
  <si>
    <t>pronta disponibilità</t>
  </si>
  <si>
    <t>Efficienza</t>
  </si>
  <si>
    <t>medio alta</t>
  </si>
  <si>
    <t>alta</t>
  </si>
  <si>
    <t>ID-Conc_min</t>
  </si>
  <si>
    <t>Concime</t>
  </si>
  <si>
    <t>Acido fosforico 85%</t>
  </si>
  <si>
    <t>AGRESTE  ORG.MIN. 7,5/12/21</t>
  </si>
  <si>
    <t>AGROFERT MB   ORG.MIN. 10/5/15 +2+16</t>
  </si>
  <si>
    <t>AGROFERT MBS   O.MIN. 9,5/5/14,5+2+24</t>
  </si>
  <si>
    <t>AZO TOP   18,5/0/0</t>
  </si>
  <si>
    <t>AZO TOP   18,5/0/0 +32</t>
  </si>
  <si>
    <t>Azogold 40 N + 12 SO3</t>
  </si>
  <si>
    <t>Azoplus 35 N + 22 SO3</t>
  </si>
  <si>
    <t>BELFRUTTO MB   5/10/15 +5+16</t>
  </si>
  <si>
    <t>BELFRUTTO MBS KG 25   ORG.MIN. 6/10/15 +2+16</t>
  </si>
  <si>
    <t>Calcicianamide oleata</t>
  </si>
  <si>
    <t>Calciocianamide granulare</t>
  </si>
  <si>
    <t>Calciocianamide in polvere</t>
  </si>
  <si>
    <t>CALCIOCIANAMIDE POLV.</t>
  </si>
  <si>
    <t>Cloruro di potassio</t>
  </si>
  <si>
    <t>FERROUMATO</t>
  </si>
  <si>
    <t>FERTIL AGRESTE START KG 50   10/12/7 + 2+12+0,02</t>
  </si>
  <si>
    <t>FERTIL MBS   9/14/13 + 2+16+7,6</t>
  </si>
  <si>
    <t>Fosfato biammonico 18-46</t>
  </si>
  <si>
    <t>Fosfato biammonico 21-52</t>
  </si>
  <si>
    <t>Fosfato monoammonico 12-61</t>
  </si>
  <si>
    <t>Fosfato monopotassico 0-52-34</t>
  </si>
  <si>
    <t>Fosfato naturale tenero 0-27-0</t>
  </si>
  <si>
    <t>FOSTATO MONOAMM MULTI MAP</t>
  </si>
  <si>
    <t>FOSTATO MONOPOT MULTI MKP</t>
  </si>
  <si>
    <t>GEOMAG MCR   0,2+5+0,5+0,5</t>
  </si>
  <si>
    <t>HUMOFOS   3/15/0 +16+8</t>
  </si>
  <si>
    <t>HUMOFOS TOP   3/15/0 +16+8</t>
  </si>
  <si>
    <t>MAGNISOL (NITR.MAGNESIO liquido) 6-0-0 +9 Mg0</t>
  </si>
  <si>
    <t>MULTI-PEPTON  Hi- Agri (FERTIRRIGAZ)</t>
  </si>
  <si>
    <t>MULTI-UP 17/44/0 urea fosfato</t>
  </si>
  <si>
    <t>N. AMMONICO 26% PRIL</t>
  </si>
  <si>
    <t>N. AMMONICO 27%</t>
  </si>
  <si>
    <t>N. AMMONICO 27% GRAN</t>
  </si>
  <si>
    <t>N. AMMONICO 34,3%</t>
  </si>
  <si>
    <t xml:space="preserve">N. CALCIO </t>
  </si>
  <si>
    <t>N. CALCIO MULTICAL FG (FERTIRRIGAZIO)</t>
  </si>
  <si>
    <t>N. CALCIO MULTICAL FG (FERTIRRIGAZIO)(DIR)</t>
  </si>
  <si>
    <t>N. CALCIO MULTICAL SOL (FERTIRRIGAZ)</t>
  </si>
  <si>
    <t>N. POT. GRAN.</t>
  </si>
  <si>
    <t>N. POT.CRIST.</t>
  </si>
  <si>
    <t>N. POT.MULTI KMG CRIST.</t>
  </si>
  <si>
    <t>N. POT.MULTI KMG GRANUL</t>
  </si>
  <si>
    <t>NATURAL N   11-0-0</t>
  </si>
  <si>
    <t>NATURAL N 8   ORG.BIOSTIMOL. 8-1-1</t>
  </si>
  <si>
    <t>NATURAL NP   ORG.MINERALE 3/12/0+21</t>
  </si>
  <si>
    <t>NATURAL TRIO 25 6-5-7</t>
  </si>
  <si>
    <t>Nitrato ammonico 26-0-0</t>
  </si>
  <si>
    <t>Nitrato ammonico 27-0-0</t>
  </si>
  <si>
    <t>Nitrato ammonico 33,5-0-0</t>
  </si>
  <si>
    <t>Nitrato di calcio</t>
  </si>
  <si>
    <t>Nitrato di Potassio 3-0-15</t>
  </si>
  <si>
    <t>Nitrato potassico 13-0-42</t>
  </si>
  <si>
    <t>Nitrato potassico 13-0-46</t>
  </si>
  <si>
    <t>Nitrato potassico-magnesiaco</t>
  </si>
  <si>
    <t>Nitrato sodico-potassico</t>
  </si>
  <si>
    <t xml:space="preserve">NP 06-40 MULTI-SEED MINI </t>
  </si>
  <si>
    <t>NP 12-52</t>
  </si>
  <si>
    <t>NP 16-35</t>
  </si>
  <si>
    <t>NP 17-36</t>
  </si>
  <si>
    <t xml:space="preserve">NP 18/46 </t>
  </si>
  <si>
    <t>NP 23-21</t>
  </si>
  <si>
    <t xml:space="preserve">NP 25/10/0 C </t>
  </si>
  <si>
    <t>NP 25-10</t>
  </si>
  <si>
    <t>NP 25-13</t>
  </si>
  <si>
    <t>NP 30-10</t>
  </si>
  <si>
    <t>NP 8-40</t>
  </si>
  <si>
    <t>NPK  12 12 17s +2MgO HYDROBLU AZZURRO</t>
  </si>
  <si>
    <t xml:space="preserve">NPK 10/12/20 +2 +20 NITROPHOSKA ELITE </t>
  </si>
  <si>
    <t>NPK 10-25-25</t>
  </si>
  <si>
    <t xml:space="preserve">NPK 11/22/16S </t>
  </si>
  <si>
    <t>NPK 11-22-16</t>
  </si>
  <si>
    <t>NPK 12 16 18s +2MgO HYDROBLU ORO</t>
  </si>
  <si>
    <t xml:space="preserve">NPK 12/12/12           </t>
  </si>
  <si>
    <t xml:space="preserve">NPK 12/12/17 +2 +15 MIN.NPK+MG NITROPHOSKA BLU </t>
  </si>
  <si>
    <t xml:space="preserve">NPK 12/20/27 </t>
  </si>
  <si>
    <t xml:space="preserve">NPK 12/27/21 </t>
  </si>
  <si>
    <t>NPK 12-10-20</t>
  </si>
  <si>
    <t>NPK 12-12-12</t>
  </si>
  <si>
    <t>NPK 12-5-20</t>
  </si>
  <si>
    <t>NPK 12-6-18</t>
  </si>
  <si>
    <t>NPK 13/10/12</t>
  </si>
  <si>
    <t>NPK 14-10-12</t>
  </si>
  <si>
    <t xml:space="preserve">NPK 14-7-28+2 MULTI-FEED </t>
  </si>
  <si>
    <t>NPK 15/15/15</t>
  </si>
  <si>
    <t>NPK 15/23/23</t>
  </si>
  <si>
    <t xml:space="preserve">NPK 15/5/20 +2 +20 NITROPHOSKA PERFECT </t>
  </si>
  <si>
    <t>NPK 15/5/30</t>
  </si>
  <si>
    <t xml:space="preserve">NPK 15/9/15 +2 +16 MIN NPK NITROPHOSKA GOLD </t>
  </si>
  <si>
    <t>NPK 15-5-20 + 20 SO3</t>
  </si>
  <si>
    <t>NPK 16-5-8</t>
  </si>
  <si>
    <t xml:space="preserve">NPK 17 9 16 +2 MULTIGRO </t>
  </si>
  <si>
    <t>NPK 18/11/23</t>
  </si>
  <si>
    <t xml:space="preserve">NPK 20 10 10s +2MgO HYDROBLU DIAMANTE </t>
  </si>
  <si>
    <t xml:space="preserve">NPK 20/05/10 NITROPHOSKA SUPREME  </t>
  </si>
  <si>
    <t>NPK 20/10/10</t>
  </si>
  <si>
    <t>NPK 20-5-10+2 MULTI-FEED</t>
  </si>
  <si>
    <t>NPK 4-8-16</t>
  </si>
  <si>
    <t>NPK 5-10-15</t>
  </si>
  <si>
    <t>NPK 5-12-25</t>
  </si>
  <si>
    <t>NPK 5-14-22</t>
  </si>
  <si>
    <t>NPK 6-12-24</t>
  </si>
  <si>
    <t>NPK 6-15-10</t>
  </si>
  <si>
    <t>NPK 6-18-12</t>
  </si>
  <si>
    <t>NPK 7-14-28</t>
  </si>
  <si>
    <t>NPK 8/24/20S</t>
  </si>
  <si>
    <t>NPK 8/24/24</t>
  </si>
  <si>
    <t>NPK 8-14-18</t>
  </si>
  <si>
    <t>NPK 8-16-20</t>
  </si>
  <si>
    <t>NPK 8-24-20</t>
  </si>
  <si>
    <t>NPK 8-24-24</t>
  </si>
  <si>
    <t>NPK 8-5-28</t>
  </si>
  <si>
    <t>NUTRIGRAN TOP   12/24,5/0 +6+0,02+0,01</t>
  </si>
  <si>
    <t>OLIVETO  15-5-5</t>
  </si>
  <si>
    <t xml:space="preserve">ORGANOR PELLET   </t>
  </si>
  <si>
    <t>1,5</t>
  </si>
  <si>
    <t>Perfosfato concentrato 0-27-0</t>
  </si>
  <si>
    <t>Perfosfato semplice 0-19-0</t>
  </si>
  <si>
    <t>PERFOSFATO SEMPLICE GRAN. 18%</t>
  </si>
  <si>
    <t>PERFOSFATO SEMPLICE GRAN. 19%</t>
  </si>
  <si>
    <t>Perfosfato triplo 0-45-0 + microel.</t>
  </si>
  <si>
    <t>PERFOSFATO TRIPLO 46%</t>
  </si>
  <si>
    <t>PK  29-17</t>
  </si>
  <si>
    <t>PK 10-20</t>
  </si>
  <si>
    <t>PK 16/25</t>
  </si>
  <si>
    <t>PK 19-28</t>
  </si>
  <si>
    <t>Potassio Liquido 25</t>
  </si>
  <si>
    <t>Scorie potassiche 0-12-12</t>
  </si>
  <si>
    <t>Scorie Thomas</t>
  </si>
  <si>
    <t>SOLFATO AMMCO GRAN. PRATIKO 21%+66 SO3</t>
  </si>
  <si>
    <t xml:space="preserve">SOLFATO AMMCO POLV. N20% </t>
  </si>
  <si>
    <t>Solfato ammonico 21%</t>
  </si>
  <si>
    <t xml:space="preserve">SOLFATO POT.50%GRAN. </t>
  </si>
  <si>
    <t xml:space="preserve">SOLFATO POT.MAGN.GRAN. 30+10 </t>
  </si>
  <si>
    <t>SOLFATO POT.MULTI SOP</t>
  </si>
  <si>
    <t>Solfato potassico , magnesio</t>
  </si>
  <si>
    <t>Solfato potassio 50%</t>
  </si>
  <si>
    <t>SUPER ROBUR    ORG.MIN.15/5/5 +26+7,5</t>
  </si>
  <si>
    <t>SUPER ROBUR "S"    ORG.MIN.17/5/7 +27+7,5</t>
  </si>
  <si>
    <t xml:space="preserve">UNIKO 25,5 N </t>
  </si>
  <si>
    <t>Urea 46%</t>
  </si>
  <si>
    <t>UREA AGRICOLA GR.46%</t>
  </si>
  <si>
    <t>UREA AGRICOLA PRIL.46%</t>
  </si>
  <si>
    <t>Urea fosfato</t>
  </si>
  <si>
    <t>VIGNAFRUT MB    ORG.MIN.10/5/14,5+2+16</t>
  </si>
  <si>
    <t>VIGOR TOP 60    ORG.MIN.10/6/14</t>
  </si>
  <si>
    <t>Elenco Concimi</t>
  </si>
  <si>
    <t>Classificazione tipologia dei fertilizzanti</t>
  </si>
  <si>
    <t>livello</t>
  </si>
  <si>
    <t>ID_Mo</t>
  </si>
  <si>
    <t>Modalità_Epoca</t>
  </si>
  <si>
    <t>Su terreno nudo  e semina nell'anno successivo</t>
  </si>
  <si>
    <t>Su residui pagliosi e semina nell'anno successivo</t>
  </si>
  <si>
    <t>Alla preparazione del terreno e semina nel medesimo anno</t>
  </si>
  <si>
    <t>In copertura con fertirrigazione</t>
  </si>
  <si>
    <t>In copertura con interramento</t>
  </si>
  <si>
    <t>In copertura in primavera senza interramento</t>
  </si>
  <si>
    <t>In copertura in estate senza interramento</t>
  </si>
  <si>
    <t xml:space="preserve">Su residui pagliosi e semina nel medesimo anno </t>
  </si>
  <si>
    <t>Presemina</t>
  </si>
  <si>
    <t>In copertura nella fase di pieno accestimento (fine inverno)</t>
  </si>
  <si>
    <t>In copertura nella fase di levata</t>
  </si>
  <si>
    <t>Ripresa vegetativa e tagli primaverili</t>
  </si>
  <si>
    <t>Tagli estivi o autunno precoci (&lt; 15/10)</t>
  </si>
  <si>
    <t>Tardo autunno (&gt;15/10)</t>
  </si>
  <si>
    <t>In primavera su frutteto inerbito o con interramento</t>
  </si>
  <si>
    <t>In estate o fine inverno su frutteto inerbito o con interramento</t>
  </si>
  <si>
    <t>Modalità di distribuzione dfei fertilizzanti in relazione alla coltura e all'epoca</t>
  </si>
  <si>
    <t>Dose distribuzione N organico</t>
  </si>
  <si>
    <t>ID_N_Org</t>
  </si>
  <si>
    <t>valore</t>
  </si>
  <si>
    <t>Dose</t>
  </si>
  <si>
    <t>ID_Cic</t>
  </si>
  <si>
    <t>In copertura in fertirrigazione</t>
  </si>
  <si>
    <t>ID_Cic_Mo</t>
  </si>
  <si>
    <t>Livello di efficienza dei fertilizzanti organici in relazione al ciclo colturale e alle modalità di distribuzione</t>
  </si>
  <si>
    <t>ciclo</t>
  </si>
  <si>
    <t>Ciclo delle colture</t>
  </si>
  <si>
    <t>esempio</t>
  </si>
  <si>
    <t>melo, pesco, vite</t>
  </si>
  <si>
    <t>frumento tenero</t>
  </si>
  <si>
    <t>prati</t>
  </si>
  <si>
    <t>mais</t>
  </si>
  <si>
    <t>soia semina in giugno</t>
  </si>
  <si>
    <t>pluriennale arboree</t>
  </si>
  <si>
    <t>autunno - vernino</t>
  </si>
  <si>
    <t>pluriennale erbacee</t>
  </si>
  <si>
    <t>primaverile - estivo</t>
  </si>
  <si>
    <t>intercalare</t>
  </si>
  <si>
    <t>tendenzialmente sabbioso</t>
  </si>
  <si>
    <t>franco</t>
  </si>
  <si>
    <t>tendenzialmente argilloso</t>
  </si>
  <si>
    <t>ID_Liv</t>
  </si>
  <si>
    <t>ID_N_org</t>
  </si>
  <si>
    <t>dose</t>
  </si>
  <si>
    <t>suolo</t>
  </si>
  <si>
    <t>Tabella per creazione valori efficienza</t>
  </si>
  <si>
    <t>Selezione Valori efficienza</t>
  </si>
  <si>
    <t>v</t>
  </si>
  <si>
    <t>settore</t>
  </si>
  <si>
    <t>nn</t>
  </si>
  <si>
    <t>bov</t>
  </si>
  <si>
    <t>sui</t>
  </si>
  <si>
    <t>avi</t>
  </si>
  <si>
    <t>ind</t>
  </si>
  <si>
    <t>ID_Sett</t>
  </si>
  <si>
    <t>avicolo</t>
  </si>
  <si>
    <t>bovino</t>
  </si>
  <si>
    <t>suino</t>
  </si>
  <si>
    <t>indefinito</t>
  </si>
  <si>
    <t>g</t>
  </si>
  <si>
    <t>Coltura:</t>
  </si>
  <si>
    <t>ss %</t>
  </si>
  <si>
    <t>Epoca e modalità di distribuzione</t>
  </si>
  <si>
    <t>zona_ciclo</t>
  </si>
  <si>
    <t>Prog_Cic</t>
  </si>
  <si>
    <t>F3:H7</t>
  </si>
  <si>
    <t xml:space="preserve"> 100% zootec</t>
  </si>
  <si>
    <t>ID_Met</t>
  </si>
  <si>
    <t>Metodo</t>
  </si>
  <si>
    <t xml:space="preserve">Bilancio </t>
  </si>
  <si>
    <t>Schede</t>
  </si>
  <si>
    <t>errore</t>
  </si>
  <si>
    <t>Metodo selezionato</t>
  </si>
  <si>
    <t>Predisposizione del Piano di distribuzione dei fertilizzanti</t>
  </si>
  <si>
    <t>fertilizz org. a cessione graduale</t>
  </si>
  <si>
    <t>Fert. 1</t>
  </si>
  <si>
    <t>Ciclo_Modalità epoca</t>
  </si>
  <si>
    <t>effic.</t>
  </si>
  <si>
    <t>criteri</t>
  </si>
  <si>
    <t>org.</t>
  </si>
  <si>
    <t>zootec.</t>
  </si>
  <si>
    <t>min.</t>
  </si>
  <si>
    <t>al campo</t>
  </si>
  <si>
    <t>utili alla coltura</t>
  </si>
  <si>
    <t>Apporti</t>
  </si>
  <si>
    <t>Quantità utili per la coltura</t>
  </si>
  <si>
    <t>anno raccolta</t>
  </si>
  <si>
    <t>Fert. 2</t>
  </si>
  <si>
    <t>disponibili nell'annata</t>
  </si>
  <si>
    <t>Fert. 3</t>
  </si>
  <si>
    <t>Anno</t>
  </si>
  <si>
    <t>Metodo scelto</t>
  </si>
  <si>
    <t>concime</t>
  </si>
  <si>
    <t>Org.</t>
  </si>
  <si>
    <t>Zootec.</t>
  </si>
  <si>
    <t xml:space="preserve">Totale degli apporti da matrici organiche </t>
  </si>
  <si>
    <t>anno</t>
  </si>
  <si>
    <t>titoli kg/t</t>
  </si>
  <si>
    <t>Fertilizz. Organico</t>
  </si>
  <si>
    <t>N campo kg</t>
  </si>
  <si>
    <t>Concimi minerali e di sintesi</t>
  </si>
  <si>
    <t>titoli kg/q</t>
  </si>
  <si>
    <t>Totale degli apporti da concimi</t>
  </si>
  <si>
    <t>Apporti  utili complessivi</t>
  </si>
  <si>
    <t>Concimi minerali o di sintesi</t>
  </si>
  <si>
    <t>modalità</t>
  </si>
  <si>
    <t>Conc. 1</t>
  </si>
  <si>
    <t>Conc. 2</t>
  </si>
  <si>
    <t>Conc. 3</t>
  </si>
  <si>
    <t>Conc. 4</t>
  </si>
  <si>
    <t>Conc. 5</t>
  </si>
  <si>
    <t>Conc. 6</t>
  </si>
  <si>
    <t>Totale delle disponibilità annuali al terreno</t>
  </si>
  <si>
    <t xml:space="preserve"> *</t>
  </si>
  <si>
    <t xml:space="preserve"> **</t>
  </si>
  <si>
    <t>Utili alla coltura</t>
  </si>
  <si>
    <t>Riquadro per scheda distribuzioni</t>
  </si>
  <si>
    <t>Totale delle disponibilità utili alla coltura</t>
  </si>
  <si>
    <t>kg che modificano il tenore dell'elemento nel terreno</t>
  </si>
  <si>
    <t>x 30 cm</t>
  </si>
  <si>
    <t xml:space="preserve">in </t>
  </si>
  <si>
    <t>Dotazione finale se si apportano le quantità indicate nel piano di distribuzione</t>
  </si>
  <si>
    <t>Dotazione finale nel terreno se si apportano le quantità indicate nel piano di distribuzione</t>
  </si>
  <si>
    <t>NECESSITA'</t>
  </si>
  <si>
    <t>DISPONIBILITA'</t>
  </si>
  <si>
    <t xml:space="preserve">Scheda di registrazione del Piano di Fertilizzazione </t>
  </si>
  <si>
    <t>Area omogenea</t>
  </si>
  <si>
    <t>Appezz.</t>
  </si>
  <si>
    <t>Resa (t/ha)</t>
  </si>
  <si>
    <t>Rag. Sociale</t>
  </si>
  <si>
    <t>Appezzamento</t>
  </si>
  <si>
    <t>Azienda</t>
  </si>
  <si>
    <t>Azoto (*)</t>
  </si>
  <si>
    <t>Apporti totali</t>
  </si>
  <si>
    <t>Quantità ed epoca di distribuzione dei fertilizzanti</t>
  </si>
  <si>
    <t>n°</t>
  </si>
  <si>
    <t>Note</t>
  </si>
  <si>
    <t>pronto</t>
  </si>
  <si>
    <t>da SO</t>
  </si>
  <si>
    <t>in base alla facilità del drenaggio</t>
  </si>
  <si>
    <t>in base alle precipitazioni</t>
  </si>
  <si>
    <t>x percentuale di perdita (%)</t>
  </si>
  <si>
    <t>coefficienti, parametri e valori</t>
  </si>
  <si>
    <t>D (kg/ha) : Perdite immobilizz. e dispersione</t>
  </si>
  <si>
    <t>E (kg/ha)</t>
  </si>
  <si>
    <t>D +(- E)</t>
  </si>
  <si>
    <t xml:space="preserve"> + E</t>
  </si>
  <si>
    <t>Fertilità residua positiva (*)</t>
  </si>
  <si>
    <t xml:space="preserve"> *)  se negativa vedi scheda "C&amp;D"</t>
  </si>
  <si>
    <t>da conteggiare</t>
  </si>
  <si>
    <t>S2</t>
  </si>
  <si>
    <t>S3</t>
  </si>
  <si>
    <t>S4</t>
  </si>
  <si>
    <t>S5</t>
  </si>
  <si>
    <t>Cipolla da seme (fase portaseme)</t>
  </si>
  <si>
    <t>Cipolla da seme (fase vivaio)</t>
  </si>
  <si>
    <t>Se nella selezione delle finestre a tendina, si verificano degli errori, ripetere la selezione passando dalla prima voce in elenco.</t>
  </si>
  <si>
    <t>Clima avverso, assenza inoculo</t>
  </si>
  <si>
    <t>Barbabiertola da seme (fase porta seme)</t>
  </si>
  <si>
    <t>S6</t>
  </si>
  <si>
    <t>S7</t>
  </si>
  <si>
    <t>Carota da seme (fase portaseme)</t>
  </si>
  <si>
    <t>Carota da seme (fase vivaio)</t>
  </si>
  <si>
    <t>progressivo di gruppo</t>
  </si>
  <si>
    <t>S8</t>
  </si>
  <si>
    <t>S9</t>
  </si>
  <si>
    <t>S10</t>
  </si>
  <si>
    <t>S11</t>
  </si>
  <si>
    <t>S12</t>
  </si>
  <si>
    <t>Cetriolo da seme</t>
  </si>
  <si>
    <t>S13</t>
  </si>
  <si>
    <t>Cicoria da seme</t>
  </si>
  <si>
    <t>S14</t>
  </si>
  <si>
    <t>Erba medica  da seme</t>
  </si>
  <si>
    <t>S15</t>
  </si>
  <si>
    <t>Finocchio da seme</t>
  </si>
  <si>
    <t>Lattuga da seme</t>
  </si>
  <si>
    <t>Maggiori esigenze x ciclo o epoca</t>
  </si>
  <si>
    <t>S16</t>
  </si>
  <si>
    <t>S17</t>
  </si>
  <si>
    <t>S18</t>
  </si>
  <si>
    <t>Prezzemolo da seme</t>
  </si>
  <si>
    <t>Ravanello da seme</t>
  </si>
  <si>
    <t>Tenore SO nel suolo molto elevato (&gt;4%)</t>
  </si>
  <si>
    <t>C4:E7</t>
  </si>
  <si>
    <t>C8:E11</t>
  </si>
  <si>
    <t>C12:E15</t>
  </si>
  <si>
    <t xml:space="preserve">N_I anno allevamento </t>
  </si>
  <si>
    <t>N_II anno allevamento</t>
  </si>
  <si>
    <t>P2O5_I anno allevamento</t>
  </si>
  <si>
    <t>P2O5_II anno allevamento</t>
  </si>
  <si>
    <t>K2O_I anno allevamento</t>
  </si>
  <si>
    <t>p</t>
  </si>
  <si>
    <t>durata(*)</t>
  </si>
  <si>
    <t>ID Dur</t>
  </si>
  <si>
    <t>indefinita</t>
  </si>
  <si>
    <t>meno di un anno</t>
  </si>
  <si>
    <t>più di un anno</t>
  </si>
  <si>
    <t>erbaio</t>
  </si>
  <si>
    <t>Valori intermedi</t>
  </si>
  <si>
    <t>kg/ha N</t>
  </si>
  <si>
    <t>% N =</t>
  </si>
  <si>
    <t>% P2O5</t>
  </si>
  <si>
    <t>Perdite per lisciviazione  (C),  immobilizzazione e dispersione (D) e effetto negativo precessione (- E)</t>
  </si>
  <si>
    <t>Fase</t>
  </si>
  <si>
    <t>C13</t>
  </si>
  <si>
    <t>intero</t>
  </si>
  <si>
    <t>% di argilla</t>
  </si>
  <si>
    <t>% di sabbia</t>
  </si>
  <si>
    <t>FSS</t>
  </si>
  <si>
    <t>riga</t>
  </si>
  <si>
    <t>colonna</t>
  </si>
  <si>
    <t>C11</t>
  </si>
  <si>
    <t>inserimento</t>
  </si>
  <si>
    <t>TRI3</t>
  </si>
  <si>
    <t>TRI</t>
  </si>
  <si>
    <t>TRI2</t>
  </si>
  <si>
    <t>Z</t>
  </si>
  <si>
    <t>D</t>
  </si>
  <si>
    <t>l</t>
  </si>
  <si>
    <t>_</t>
  </si>
  <si>
    <t>foglio</t>
  </si>
  <si>
    <t>variabile</t>
  </si>
  <si>
    <t>Matrice</t>
  </si>
  <si>
    <t>Foglio</t>
  </si>
  <si>
    <t>SABBIA</t>
  </si>
  <si>
    <t>ARGILLA</t>
  </si>
  <si>
    <t>Riga Matrice</t>
  </si>
  <si>
    <t>Colonna Matrice</t>
  </si>
  <si>
    <t>Pisello da industria (grani)</t>
  </si>
  <si>
    <t>molto alto</t>
  </si>
  <si>
    <t xml:space="preserve"> *) per i concimi si considera un 5% di materia organica non mineralizzata e per l'azoto anche una perdita del 10% per volatilizzazione</t>
  </si>
  <si>
    <t>A+H</t>
  </si>
  <si>
    <t>Apporti ammessi</t>
  </si>
  <si>
    <t>Giudizio</t>
  </si>
  <si>
    <t>Classe dotaz.</t>
  </si>
  <si>
    <t>Classe dotaz. (*)</t>
  </si>
  <si>
    <t>*) usata nelle schede</t>
  </si>
  <si>
    <t>scarsa</t>
  </si>
  <si>
    <t>molto alta</t>
  </si>
  <si>
    <t>La dotazione scarsa contiene i giudizi molto bassa e bassa, quello normale comprende i giudizi media ed elevata:</t>
  </si>
  <si>
    <t xml:space="preserve"> **) per gli ammendanti si considera il fattore tempo e per i liquami il coefficiente di efficienza</t>
  </si>
  <si>
    <t>S19</t>
  </si>
  <si>
    <t>Prati polifiti</t>
  </si>
  <si>
    <t>Imperfetta</t>
  </si>
  <si>
    <t>Buona</t>
  </si>
  <si>
    <t>Disponibilità d'ossigeno</t>
  </si>
  <si>
    <t>Come carattere per la separazione dei decimali usare la virgola.</t>
  </si>
  <si>
    <t>Mais da granella 300-400 (granella)</t>
  </si>
  <si>
    <t>Mais da granella 300-400 (pianta intera)</t>
  </si>
  <si>
    <t>Mais da granella 500-700 (granella)</t>
  </si>
  <si>
    <t>Mais da granella 500-700 (pianta intera)</t>
  </si>
  <si>
    <t>E55</t>
  </si>
  <si>
    <t>E56</t>
  </si>
  <si>
    <t>Coriandolo da seme</t>
  </si>
  <si>
    <t>S20</t>
  </si>
  <si>
    <t>BL1</t>
  </si>
  <si>
    <t>BL2</t>
  </si>
  <si>
    <t>BL3</t>
  </si>
  <si>
    <t>BL4</t>
  </si>
  <si>
    <t>Valerianella</t>
  </si>
  <si>
    <t>BL5</t>
  </si>
  <si>
    <t>baby leaf generica</t>
  </si>
  <si>
    <t>BL*</t>
  </si>
  <si>
    <t>CONTROLLO DEL MAS</t>
  </si>
  <si>
    <t>Da Tab. MAS</t>
  </si>
  <si>
    <t>Uniformato a DPI</t>
  </si>
  <si>
    <t>MAS</t>
  </si>
  <si>
    <t>resa</t>
  </si>
  <si>
    <t>come</t>
  </si>
  <si>
    <t>prod.</t>
  </si>
  <si>
    <t>ss</t>
  </si>
  <si>
    <t>Incremento max</t>
  </si>
  <si>
    <t>Dose max</t>
  </si>
  <si>
    <t>tq</t>
  </si>
  <si>
    <t>gran</t>
  </si>
  <si>
    <t>spighe</t>
  </si>
  <si>
    <t>s.s.</t>
  </si>
  <si>
    <t>pianta</t>
  </si>
  <si>
    <t>fieno</t>
  </si>
  <si>
    <t>bulbi</t>
  </si>
  <si>
    <t>turrioni</t>
  </si>
  <si>
    <t>seme</t>
  </si>
  <si>
    <t>tubero</t>
  </si>
  <si>
    <t>Nel Bilancio</t>
  </si>
  <si>
    <t>ipotesi</t>
  </si>
  <si>
    <t>fert. Prec.</t>
  </si>
  <si>
    <t>Irrigazione</t>
  </si>
  <si>
    <t>Note:</t>
  </si>
  <si>
    <t>Coltura non  diversificata (irriguo/asciutto)</t>
  </si>
  <si>
    <t>Riduzione in asciutto</t>
  </si>
  <si>
    <t>Riferimento resa in asciutto</t>
  </si>
  <si>
    <t>ZVN</t>
  </si>
  <si>
    <t>corretto</t>
  </si>
  <si>
    <t xml:space="preserve">Ammesso </t>
  </si>
  <si>
    <t>da bilancio</t>
  </si>
  <si>
    <t>Irrig</t>
  </si>
  <si>
    <t>Riferimento resa in base al regime irriguo</t>
  </si>
  <si>
    <t>da_seme</t>
  </si>
  <si>
    <t>BL</t>
  </si>
  <si>
    <t>baby_life</t>
  </si>
  <si>
    <t>Coefficiente tempo in funzione di: Macro c., Ciclo e fase</t>
  </si>
  <si>
    <t>ID_Fa_D</t>
  </si>
  <si>
    <t>Fase colturale_ciclo</t>
  </si>
  <si>
    <t>C_tempo</t>
  </si>
  <si>
    <t>Precessione da conteggiare</t>
  </si>
  <si>
    <t>allevamento</t>
  </si>
  <si>
    <t>ID_Sta</t>
  </si>
  <si>
    <t>pre impianto</t>
  </si>
  <si>
    <t>I anno allev.</t>
  </si>
  <si>
    <t>II anno allev.</t>
  </si>
  <si>
    <t>piena produzione</t>
  </si>
  <si>
    <t>1° taglio</t>
  </si>
  <si>
    <t>2° taglio o succ.</t>
  </si>
  <si>
    <t>un ciclo intero</t>
  </si>
  <si>
    <t>secondo raccolto</t>
  </si>
  <si>
    <t>Primaverile-estiva &lt;70 gg</t>
  </si>
  <si>
    <t>Primaverile-estiva  70–100 gg</t>
  </si>
  <si>
    <t>Primaverile-estiva  100–130 gg</t>
  </si>
  <si>
    <t>Primaverile-estiva  &gt;130 gg</t>
  </si>
  <si>
    <t>Autunno-vernina &lt;150 gg</t>
  </si>
  <si>
    <t>Autunno-vernina &gt;150 gg</t>
  </si>
  <si>
    <t>In produzione</t>
  </si>
  <si>
    <t>Cciclo</t>
  </si>
  <si>
    <t>Macro categoria</t>
  </si>
  <si>
    <t>Fase colturale_ durata ciclo</t>
  </si>
  <si>
    <t>Stagione di crescita</t>
  </si>
  <si>
    <t>Combinazioni tra Macro Categoria e Fase-Durata</t>
  </si>
  <si>
    <t>Macro C</t>
  </si>
  <si>
    <t>Fase-durata</t>
  </si>
  <si>
    <t>Macro C.</t>
  </si>
  <si>
    <t>L.Ciclo</t>
  </si>
  <si>
    <t>intervallo</t>
  </si>
  <si>
    <t>baby life</t>
  </si>
  <si>
    <t>non definita</t>
  </si>
  <si>
    <t>F3:H6</t>
  </si>
  <si>
    <t>inferiore all'anno</t>
  </si>
  <si>
    <t>F7:H9</t>
  </si>
  <si>
    <t>pluriennale</t>
  </si>
  <si>
    <t>F10:H16</t>
  </si>
  <si>
    <t>F17:H19</t>
  </si>
  <si>
    <t>breve</t>
  </si>
  <si>
    <t>estate autunno</t>
  </si>
  <si>
    <t>primavera estate</t>
  </si>
  <si>
    <t>autunno inverno primavera</t>
  </si>
  <si>
    <t>primavera estate autunno inverno</t>
  </si>
  <si>
    <t>autunno inverno</t>
  </si>
  <si>
    <t>prog</t>
  </si>
  <si>
    <t>Matrice fase:</t>
  </si>
  <si>
    <t>Cicli_Fase.F10:H16</t>
  </si>
  <si>
    <t>Criterio Selezionato</t>
  </si>
  <si>
    <t>Area</t>
  </si>
  <si>
    <t>Zona ZVN</t>
  </si>
  <si>
    <r>
      <t>Piano di fertilizzazione</t>
    </r>
    <r>
      <rPr>
        <sz val="10"/>
        <rFont val="Arial"/>
        <family val="2"/>
      </rPr>
      <t xml:space="preserve">; metodo: </t>
    </r>
    <r>
      <rPr>
        <b/>
        <sz val="10"/>
        <rFont val="Arial"/>
        <family val="2"/>
      </rPr>
      <t>Scheda a dose Standard</t>
    </r>
  </si>
  <si>
    <t>Riferimenti al metodo del bilancio</t>
  </si>
  <si>
    <t>ammesso</t>
  </si>
  <si>
    <t>calcolato</t>
  </si>
  <si>
    <t>ID:Cat</t>
  </si>
  <si>
    <t xml:space="preserve">allev. </t>
  </si>
  <si>
    <t>Fase/ciclo</t>
  </si>
  <si>
    <t xml:space="preserve"> x bilancio</t>
  </si>
  <si>
    <t xml:space="preserve"> x scheda</t>
  </si>
  <si>
    <t>Anticip</t>
  </si>
  <si>
    <t>Resa_media</t>
  </si>
  <si>
    <t>Resa_annua</t>
  </si>
  <si>
    <t>Impianto_anni</t>
  </si>
  <si>
    <t>Appezz</t>
  </si>
  <si>
    <t>prevista</t>
  </si>
  <si>
    <t>In serra</t>
  </si>
  <si>
    <t>ossigeno</t>
  </si>
  <si>
    <t>Allev.</t>
  </si>
  <si>
    <t>fase</t>
  </si>
  <si>
    <t>% K2O</t>
  </si>
  <si>
    <t>K2O_II anno allevamento</t>
  </si>
  <si>
    <t>ID_Dot_K</t>
  </si>
  <si>
    <t>C3:H6</t>
  </si>
  <si>
    <t>C7:H10</t>
  </si>
  <si>
    <t>C11:H14</t>
  </si>
  <si>
    <t>Riferimenti al Bilancio</t>
  </si>
  <si>
    <t>Bilancio</t>
  </si>
  <si>
    <t>(sì/no)</t>
  </si>
  <si>
    <t>Possibilità</t>
  </si>
  <si>
    <t>Selezione</t>
  </si>
  <si>
    <t xml:space="preserve">Dopo aver scelto la coltura occorre selezionare il periodo stagionale in cui si svolge il ciclo colturale (emergenza raccolta)  e la sua  durata presunta in giorni. </t>
  </si>
  <si>
    <t>Fase / Ciclo</t>
  </si>
  <si>
    <t>Moderata</t>
  </si>
  <si>
    <t>La resa ipotizzata è più alta di quella di riferimento del MAS</t>
  </si>
  <si>
    <t>rif. Al MAS</t>
  </si>
  <si>
    <t>rif. Scheda</t>
  </si>
  <si>
    <t>x  il MAS</t>
  </si>
  <si>
    <t>x scheda</t>
  </si>
  <si>
    <t>In copertura con fertirrigazione a bassa pressione</t>
  </si>
  <si>
    <t>si</t>
  </si>
  <si>
    <t>In primavera su frutteto lavorato senza interramento</t>
  </si>
  <si>
    <t>In estate autunno su frutteto lavorato senza interramento</t>
  </si>
  <si>
    <t>Prima o durante il rapido accrescimento</t>
  </si>
  <si>
    <t>Prog_Cic_Fert1</t>
  </si>
  <si>
    <t>q/ha</t>
  </si>
  <si>
    <t>Spazio per eventuali note</t>
  </si>
  <si>
    <t>Digestato_biogas tal quale</t>
  </si>
  <si>
    <t>Estensore</t>
  </si>
  <si>
    <t>dalla scheda</t>
  </si>
  <si>
    <t>dig_tq</t>
  </si>
  <si>
    <t>dig_chi</t>
  </si>
  <si>
    <t>Bietola da foglia</t>
  </si>
  <si>
    <t>Cicorino</t>
  </si>
  <si>
    <t>Foglie e steli di Brassica</t>
  </si>
  <si>
    <t>Lattuga da cespo</t>
  </si>
  <si>
    <t>BL6</t>
  </si>
  <si>
    <t>BL7</t>
  </si>
  <si>
    <t>BL8</t>
  </si>
  <si>
    <t>BL9</t>
  </si>
  <si>
    <t>foglie</t>
  </si>
  <si>
    <t>Castagno solo frutti</t>
  </si>
  <si>
    <t>Fagiolo in baccelli da sgranare</t>
  </si>
  <si>
    <t>modificati il 14/12/2012</t>
  </si>
  <si>
    <t>pieno campo</t>
  </si>
  <si>
    <t>coltivazione usuale</t>
  </si>
  <si>
    <t>protetta</t>
  </si>
  <si>
    <t>Corretta</t>
  </si>
  <si>
    <t>Inc_N_inizio produz</t>
  </si>
  <si>
    <t>Inc_P2O5_inizio produz</t>
  </si>
  <si>
    <t>Inc_K2O_inizio produz</t>
  </si>
  <si>
    <t>La resa ipotizzata è più alta di quella di riferimento DPI</t>
  </si>
  <si>
    <t>Anticipazione annuale</t>
  </si>
  <si>
    <t>Erbai biennali o Prati avv. di Graminacee</t>
  </si>
  <si>
    <t>Erbai biennali misti o Prati avv. Polifita</t>
  </si>
  <si>
    <t>Preimpianto distante dalla crescita</t>
  </si>
  <si>
    <t>Preimpianto vicino dalla crescita</t>
  </si>
  <si>
    <t>F13:H14</t>
  </si>
  <si>
    <t>F15:H19</t>
  </si>
  <si>
    <t>F20:H22</t>
  </si>
  <si>
    <t>F23:H30</t>
  </si>
  <si>
    <t>F31:H36</t>
  </si>
  <si>
    <t>F37:H38</t>
  </si>
  <si>
    <t>F39:H40</t>
  </si>
  <si>
    <t>Preimpianto vicino alla crescita</t>
  </si>
  <si>
    <t>1° anno - impianto a primavera</t>
  </si>
  <si>
    <t>pre impianto autunno</t>
  </si>
  <si>
    <t>Regione Emilia Romagna</t>
  </si>
  <si>
    <t>Apporto massimo annuale di SO</t>
  </si>
  <si>
    <t>Dotazione Giudizio</t>
  </si>
  <si>
    <t>Dotazione classe</t>
  </si>
  <si>
    <t>Dotazione terreno in S.O.</t>
  </si>
  <si>
    <t>Apporto massimo</t>
  </si>
  <si>
    <t>Scarsa</t>
  </si>
  <si>
    <t>classe</t>
  </si>
  <si>
    <t>t ss/ha</t>
  </si>
  <si>
    <t>Normale</t>
  </si>
  <si>
    <t>Quantità max</t>
  </si>
  <si>
    <t>Anno_F_org_1</t>
  </si>
  <si>
    <t>Anno_F_org_2</t>
  </si>
  <si>
    <t>Anno_F_org_3</t>
  </si>
  <si>
    <t>SO ss (t/ha)</t>
  </si>
  <si>
    <t>totale</t>
  </si>
  <si>
    <t>incr. SO aa</t>
  </si>
  <si>
    <t>Incremento SO</t>
  </si>
  <si>
    <t>Totale unità da concimi minerali o di sintesi utili alla coltura</t>
  </si>
  <si>
    <t>Totale unità di origine organica utili alla coltura</t>
  </si>
  <si>
    <t>Copertura del fabbisogno con unità fornite dai concimi minerali o di sintesi</t>
  </si>
  <si>
    <t>S.O.</t>
  </si>
  <si>
    <t>in febbraio</t>
  </si>
  <si>
    <t>Grano tenero FP/FPS (granella)</t>
  </si>
  <si>
    <t>Grano tenero FP/FPS (pianta intera)</t>
  </si>
  <si>
    <t>Grano tenero FF (granella)</t>
  </si>
  <si>
    <t>Grano tenero FF (pianta intera)</t>
  </si>
  <si>
    <t>Terreno compattato o semina su sodo</t>
  </si>
  <si>
    <t>Irriguo</t>
  </si>
  <si>
    <t>Semina su sodo</t>
  </si>
  <si>
    <t>sodo</t>
  </si>
  <si>
    <t>Cb = perdite all'uscita dall'inverno</t>
  </si>
  <si>
    <t>Ca = perdite nella stagione autunno invernale</t>
  </si>
  <si>
    <t xml:space="preserve">Condizioni: </t>
  </si>
  <si>
    <t>Detrazione per semina su sodo</t>
  </si>
  <si>
    <t>Sodo</t>
  </si>
  <si>
    <t>Detrazione x semina su sodo</t>
  </si>
  <si>
    <t>Detrazione</t>
  </si>
  <si>
    <t>Nome azienda</t>
  </si>
  <si>
    <t>Caratteristiche del suolo</t>
  </si>
  <si>
    <r>
      <t>Resa annua</t>
    </r>
    <r>
      <rPr>
        <sz val="8"/>
        <rFont val="Arial"/>
        <family val="2"/>
      </rPr>
      <t xml:space="preserve"> (t/ha)</t>
    </r>
  </si>
  <si>
    <r>
      <t>N</t>
    </r>
    <r>
      <rPr>
        <sz val="8"/>
        <rFont val="Arial"/>
        <family val="2"/>
      </rPr>
      <t xml:space="preserve"> (kg/ha)</t>
    </r>
  </si>
  <si>
    <t>Pratiche agronomiche</t>
  </si>
  <si>
    <t>Andamento meteo</t>
  </si>
  <si>
    <t xml:space="preserve"> (sì/no)</t>
  </si>
  <si>
    <r>
      <t xml:space="preserve">Precipitazioni </t>
    </r>
    <r>
      <rPr>
        <sz val="8"/>
        <rFont val="Arial"/>
        <family val="2"/>
      </rPr>
      <t>in mm</t>
    </r>
  </si>
  <si>
    <t>Fertilizzazioni organiche alle colture in precessione</t>
  </si>
  <si>
    <t>Colture leguminose</t>
  </si>
  <si>
    <r>
      <t>Durata</t>
    </r>
    <r>
      <rPr>
        <sz val="8"/>
        <rFont val="Arial"/>
        <family val="2"/>
      </rPr>
      <t xml:space="preserve"> (anni)</t>
    </r>
  </si>
  <si>
    <r>
      <t xml:space="preserve">Resa media </t>
    </r>
    <r>
      <rPr>
        <sz val="8"/>
        <rFont val="Arial"/>
        <family val="2"/>
      </rPr>
      <t>(t/ha)</t>
    </r>
  </si>
  <si>
    <t>Colture pluriennali</t>
  </si>
  <si>
    <t>Zona Vunerabile ai Nitrati</t>
  </si>
  <si>
    <r>
      <rPr>
        <sz val="9"/>
        <rFont val="Arial"/>
        <family val="2"/>
      </rPr>
      <t>Anticipazioni P e K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(sì/no)</t>
    </r>
  </si>
  <si>
    <t>Dati aziendali e scelta del metodo di calcolo</t>
  </si>
  <si>
    <t>Dati della coltura e ubicazione</t>
  </si>
  <si>
    <t>Modalità di coltivazione:</t>
  </si>
  <si>
    <t>Modalità di coltivazione</t>
  </si>
  <si>
    <t>Modalità coltivaz.</t>
  </si>
  <si>
    <t>nelle celle color arancio i titoli indicativi</t>
  </si>
  <si>
    <t>fanghi</t>
  </si>
  <si>
    <t>fanghi agroalimentari</t>
  </si>
  <si>
    <t>fan</t>
  </si>
  <si>
    <t>Letame e assimilati</t>
  </si>
  <si>
    <t>sono assimilati: frazione palabile digestato, correttivi e altre sostanze vegetali</t>
  </si>
  <si>
    <t>Liquami e frazioni palabili zootecniche</t>
  </si>
  <si>
    <t>com</t>
  </si>
  <si>
    <t>commerciale</t>
  </si>
  <si>
    <t>dig_sui</t>
  </si>
  <si>
    <t>dig_avi</t>
  </si>
  <si>
    <t>dig-tq</t>
  </si>
  <si>
    <t>digestato di qualsiasi matrice sottoposto a separazione</t>
  </si>
  <si>
    <t>dig_pal</t>
  </si>
  <si>
    <t>frazione liquida del digestato di qualsiasi matrice sottoposto a separazione</t>
  </si>
  <si>
    <t xml:space="preserve">Fanghi </t>
  </si>
  <si>
    <t>è equiparato come funzione concimante agli effluenti bovini</t>
  </si>
  <si>
    <t>note</t>
  </si>
  <si>
    <t>digestato derivante da biomasse da sole o in miscela con effluenti bovini</t>
  </si>
  <si>
    <t>digestato derivante da biomasse con presenza di effluenti suini per più del 50%</t>
  </si>
  <si>
    <t>digestato derivante da biomasse con presenza di effluenti avicoli per più del 50%</t>
  </si>
  <si>
    <t>Digestato t.q. biomasse o con effl. bovini</t>
  </si>
  <si>
    <t>Digestato t.q. con prevalenza effl. Suini</t>
  </si>
  <si>
    <t>Digestato t.q. con prevalenza di effl. avicoli</t>
  </si>
  <si>
    <t>Digestato frazione chiarificata</t>
  </si>
  <si>
    <t>Digestato frazione palabile</t>
  </si>
  <si>
    <t>Usuale</t>
  </si>
  <si>
    <r>
      <rPr>
        <b/>
        <sz val="12"/>
        <rFont val="Arial"/>
        <family val="2"/>
      </rPr>
      <t>dig_ch</t>
    </r>
    <r>
      <rPr>
        <sz val="12"/>
        <rFont val="Arial"/>
        <family val="2"/>
      </rPr>
      <t>i</t>
    </r>
  </si>
  <si>
    <t>z nessuno</t>
  </si>
  <si>
    <t>Fertilità del suolo</t>
  </si>
  <si>
    <t>Pioggia nel periodo invernale</t>
  </si>
  <si>
    <t>Pioggia mancante per perdita completa</t>
  </si>
  <si>
    <t>N pronto potenzialmente lisciviabile (kg/ha)</t>
  </si>
  <si>
    <t>Perdite di N pronto con le piogge invernali</t>
  </si>
  <si>
    <t>Perdite di N pronto per piogge tardive (kg/ha)</t>
  </si>
  <si>
    <t>Quantità di N lisciviabile (kg/ha)</t>
  </si>
  <si>
    <t>precipitazioni invernali &gt; 150 mm</t>
  </si>
  <si>
    <t>Rimanenza piogge per  perdite febbraio</t>
  </si>
  <si>
    <t>Perdite da conteggiare in febbraio</t>
  </si>
  <si>
    <t>senza logo</t>
  </si>
  <si>
    <t>Perdite di N pronto complessive kg/ha</t>
  </si>
  <si>
    <t>Passaggio da me/100g a ppm e viceversa</t>
  </si>
  <si>
    <t>Mg</t>
  </si>
  <si>
    <t>Ca</t>
  </si>
  <si>
    <t>% su CSC</t>
  </si>
  <si>
    <t>Na</t>
  </si>
  <si>
    <t>Rapporto Mg/K</t>
  </si>
  <si>
    <t>in meq</t>
  </si>
  <si>
    <t>in ppm</t>
  </si>
  <si>
    <t>meq/</t>
  </si>
  <si>
    <t>Misura</t>
  </si>
  <si>
    <t>ID_M_K</t>
  </si>
  <si>
    <t>Tenore di Potassio</t>
  </si>
  <si>
    <t>unità di misura</t>
  </si>
  <si>
    <t>forma chimica</t>
  </si>
  <si>
    <t>Magnesio</t>
  </si>
  <si>
    <t>Contenuto di Magnesio</t>
  </si>
  <si>
    <t>ID_M_Mg</t>
  </si>
  <si>
    <t>tenore iniziale  Potassio</t>
  </si>
  <si>
    <t>Tenore iniziale Magnesio</t>
  </si>
  <si>
    <t>CSC</t>
  </si>
  <si>
    <t>Valutazione Rapporto Mg/K</t>
  </si>
  <si>
    <t>medio</t>
  </si>
  <si>
    <t>ID_Mg/K</t>
  </si>
  <si>
    <t>valutazione</t>
  </si>
  <si>
    <t>Capacità di scambio cationica (meq/100 g)</t>
  </si>
  <si>
    <t>ID_CSC</t>
  </si>
  <si>
    <t xml:space="preserve">&lt; 10 </t>
  </si>
  <si>
    <t>10 - 20</t>
  </si>
  <si>
    <t>&gt; 20</t>
  </si>
  <si>
    <t>Contenuto di Magnesio (ppm)</t>
  </si>
  <si>
    <t>&lt;50</t>
  </si>
  <si>
    <t>buono</t>
  </si>
  <si>
    <t>ricco</t>
  </si>
  <si>
    <t>molto ricco</t>
  </si>
  <si>
    <t>ID_Mg</t>
  </si>
  <si>
    <t>=&gt; 50  &lt; 100</t>
  </si>
  <si>
    <t>=&gt; 100  &lt; 150</t>
  </si>
  <si>
    <t>=&gt; 150  &lt; 200</t>
  </si>
  <si>
    <t>=&gt; 200  &lt; 250</t>
  </si>
  <si>
    <t>= &gt;250</t>
  </si>
  <si>
    <t>Cercati in vert. Con dotazione bassa</t>
  </si>
  <si>
    <t>Rapporto K/CSC</t>
  </si>
  <si>
    <t>Valutazione Rapporto K/C.S.C.</t>
  </si>
  <si>
    <t>ID_K/CSC</t>
  </si>
  <si>
    <t>ottimale</t>
  </si>
  <si>
    <t>Dotazione di K2O presa a riferimento per il calcolo dei fabbisogni colturali</t>
  </si>
  <si>
    <t>Correzione dotazione di potassio</t>
  </si>
  <si>
    <t>Valore appropriato se opera la correzione</t>
  </si>
  <si>
    <t>Dotazione di K2O (ppm) presa a riferimento per il calcolo dei fabbisogni colturali</t>
  </si>
  <si>
    <t>Classe di dotazione presa a riferimento</t>
  </si>
  <si>
    <t>valori</t>
  </si>
  <si>
    <t>classificazione</t>
  </si>
  <si>
    <t>ID_pH</t>
  </si>
  <si>
    <t>&lt; 5,4</t>
  </si>
  <si>
    <t>da 5,4  a 6</t>
  </si>
  <si>
    <t>Reazione del terreno (pH in acqua)</t>
  </si>
  <si>
    <t>da 6,1  a 6,7</t>
  </si>
  <si>
    <t>da 6,8  a 7,3</t>
  </si>
  <si>
    <t>da 7,4  a 8,1</t>
  </si>
  <si>
    <t>da 8,2  a 8,6</t>
  </si>
  <si>
    <t xml:space="preserve"> &gt; 8,6</t>
  </si>
  <si>
    <t>fortemente acido</t>
  </si>
  <si>
    <t>acido</t>
  </si>
  <si>
    <t>leggermente acido</t>
  </si>
  <si>
    <t>neutro</t>
  </si>
  <si>
    <t>leggermente alcalino</t>
  </si>
  <si>
    <t>alcalino</t>
  </si>
  <si>
    <t>fortemente alcalino</t>
  </si>
  <si>
    <t>soglie</t>
  </si>
  <si>
    <r>
      <rPr>
        <b/>
        <sz val="10"/>
        <rFont val="Arial"/>
        <family val="2"/>
      </rPr>
      <t>Sabbia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</si>
  <si>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Argilla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</si>
  <si>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Limo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</si>
  <si>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Calcare tot</t>
    </r>
    <r>
      <rPr>
        <sz val="10"/>
        <rFont val="Arial"/>
        <family val="2"/>
      </rPr>
      <t xml:space="preserve">. </t>
    </r>
    <r>
      <rPr>
        <sz val="8"/>
        <rFont val="Arial"/>
        <family val="2"/>
      </rPr>
      <t>(%)</t>
    </r>
  </si>
  <si>
    <r>
      <rPr>
        <b/>
        <sz val="10"/>
        <rFont val="Arial"/>
        <family val="2"/>
      </rPr>
      <t>Calcare att</t>
    </r>
    <r>
      <rPr>
        <sz val="10"/>
        <rFont val="Arial"/>
        <family val="2"/>
      </rPr>
      <t>.</t>
    </r>
    <r>
      <rPr>
        <sz val="8"/>
        <rFont val="Arial"/>
        <family val="2"/>
      </rPr>
      <t xml:space="preserve"> (%)</t>
    </r>
  </si>
  <si>
    <r>
      <rPr>
        <b/>
        <sz val="10"/>
        <rFont val="Arial"/>
        <family val="2"/>
      </rPr>
      <t xml:space="preserve">N </t>
    </r>
    <r>
      <rPr>
        <sz val="8"/>
        <rFont val="Arial"/>
        <family val="2"/>
      </rPr>
      <t>(g/kg)</t>
    </r>
  </si>
  <si>
    <r>
      <rPr>
        <b/>
        <sz val="10"/>
        <rFont val="Arial"/>
        <family val="2"/>
      </rPr>
      <t>S.O</t>
    </r>
    <r>
      <rPr>
        <sz val="10"/>
        <rFont val="Arial"/>
        <family val="2"/>
      </rPr>
      <t xml:space="preserve">. </t>
    </r>
    <r>
      <rPr>
        <sz val="8"/>
        <rFont val="Arial"/>
        <family val="2"/>
      </rPr>
      <t>(%)</t>
    </r>
  </si>
  <si>
    <r>
      <rPr>
        <b/>
        <sz val="10"/>
        <rFont val="Arial"/>
        <family val="2"/>
      </rPr>
      <t>Fosforo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(ppm)</t>
    </r>
  </si>
  <si>
    <r>
      <rPr>
        <b/>
        <sz val="10"/>
        <rFont val="Arial"/>
        <family val="2"/>
      </rPr>
      <t>C.S.C.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(meq/100 g)</t>
    </r>
  </si>
  <si>
    <t>**)</t>
  </si>
  <si>
    <t>K2O**</t>
  </si>
  <si>
    <t xml:space="preserve"> *)</t>
  </si>
  <si>
    <t xml:space="preserve"> comprensive di eventuali immobilizzazioni della precessione</t>
  </si>
  <si>
    <t>non calcolato</t>
  </si>
  <si>
    <t>non valorizzato</t>
  </si>
  <si>
    <t>errato</t>
  </si>
  <si>
    <t>catione</t>
  </si>
  <si>
    <t>valore minimo critico</t>
  </si>
  <si>
    <t>% di copertura del fabbisogno con unità fornite dai concimi minerali o di sintesi</t>
  </si>
  <si>
    <t>CV x consercvaz. e/o a destinaz. industriale</t>
  </si>
  <si>
    <t>Quantità massime che è possibile apportare</t>
  </si>
  <si>
    <t>Come P2O5 e K2O</t>
  </si>
  <si>
    <r>
      <t>P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5</t>
    </r>
  </si>
  <si>
    <r>
      <t>K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</si>
  <si>
    <r>
      <t>P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  <r>
      <rPr>
        <b/>
        <vertAlign val="subscript"/>
        <sz val="10"/>
        <rFont val="Arial"/>
        <family val="2"/>
      </rPr>
      <t>5</t>
    </r>
  </si>
  <si>
    <r>
      <t>K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</si>
  <si>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t>Organici</t>
  </si>
  <si>
    <t>Minerali o di sintesi</t>
  </si>
  <si>
    <t>Precipitazioni a febbraio:</t>
  </si>
  <si>
    <t>Condizione: poiggia dal 1/10 al 28/2 &gt;= 300 mmm</t>
  </si>
  <si>
    <r>
      <rPr>
        <b/>
        <sz val="10"/>
        <rFont val="Arial"/>
        <family val="2"/>
      </rPr>
      <t>Fattore incremento</t>
    </r>
    <r>
      <rPr>
        <sz val="10"/>
        <rFont val="Arial"/>
        <family val="2"/>
      </rPr>
      <t xml:space="preserve"> nelle schede a dose standard:</t>
    </r>
  </si>
  <si>
    <t>Nei fogli "Apporti al terreno" e "Registra Piano" è possibile controllare quale dovrebbe essere la dotazione in P2O5 e K2O nel terreno alla fine del ciclo colturale se si sono apportati i concimi indicati nel foglio distribuzione.</t>
  </si>
  <si>
    <t>Dotazioni finali nel terreno se si apportano le quantità di fertilizzanti riportate nel piano. Valori da utilizzare nel piano del prossimo anno</t>
  </si>
  <si>
    <t>- Ca)</t>
  </si>
  <si>
    <t>- Cb)</t>
  </si>
  <si>
    <t>N "pronto" perso nel periodo autunno invernale</t>
  </si>
  <si>
    <t>N perso all'uscita dall'inverno</t>
  </si>
  <si>
    <t>Assorbimento coltura</t>
  </si>
  <si>
    <t>Come P e K</t>
  </si>
  <si>
    <t>Teorico massimo o con assenza inoculo</t>
  </si>
  <si>
    <t>Mancata o carente inoculazione</t>
  </si>
  <si>
    <t>Limite N predefinito</t>
  </si>
  <si>
    <t>Valori da riportare nella scheda BILANCIO</t>
  </si>
  <si>
    <t>Non Negativo</t>
  </si>
  <si>
    <t>Limite predefinito</t>
  </si>
  <si>
    <t>Limite azoto fissazione carente</t>
  </si>
  <si>
    <t>Limite da considerare</t>
  </si>
  <si>
    <t>Valore da riportare</t>
  </si>
  <si>
    <t>Fare attenzione che la  forma chimica  del fosforo e potassio selezionata sia quella corretta.</t>
  </si>
  <si>
    <t>Se i dati di CSC e Mg non sono disponibili lasciare le relative caselle vuote o con valore 0.</t>
  </si>
  <si>
    <t>E57</t>
  </si>
  <si>
    <t>modificati il 20/04/2017</t>
  </si>
  <si>
    <t>Pinco Pallino</t>
  </si>
  <si>
    <t>distribuz.</t>
  </si>
  <si>
    <t>fabbisogno</t>
  </si>
  <si>
    <t>utilità</t>
  </si>
  <si>
    <t>ammend.</t>
  </si>
  <si>
    <t>Basilico media produzione</t>
  </si>
  <si>
    <t>Basilico alta produzione più tagli</t>
  </si>
  <si>
    <t>Raccolta</t>
  </si>
  <si>
    <t>n° tagli</t>
  </si>
  <si>
    <t>Raccolta n° tagli</t>
  </si>
  <si>
    <t>incremento per taglio</t>
  </si>
  <si>
    <t>Ricalcolato col DPI</t>
  </si>
  <si>
    <t>nota</t>
  </si>
  <si>
    <t>Apporto ricalcolato</t>
  </si>
  <si>
    <t>dose per tagli successivi</t>
  </si>
  <si>
    <t>più tagli</t>
  </si>
  <si>
    <t>N_Standard  base</t>
  </si>
  <si>
    <t>nota 1</t>
  </si>
  <si>
    <t>nota 2</t>
  </si>
  <si>
    <t>K per più tagli</t>
  </si>
  <si>
    <t>N per  più tagli</t>
  </si>
  <si>
    <t>K2O_X_dot_Normale-base</t>
  </si>
  <si>
    <t>K2O_X_dot_Bassa-base</t>
  </si>
  <si>
    <t>K2O_X_dot_Elevata-base</t>
  </si>
  <si>
    <t>K2O_X_dot_Molto_Bassa- base</t>
  </si>
  <si>
    <t>K2O_X_dot_Normale-complessiva</t>
  </si>
  <si>
    <t>K2O_X_dot_Bassa-complessiva</t>
  </si>
  <si>
    <t>K2O_X_dot_Elevata-complessiva</t>
  </si>
  <si>
    <t>K2O_X_dot_Molto_Bassa-complessiva</t>
  </si>
  <si>
    <t>incremento per taglio dot_Molto_Bassa</t>
  </si>
  <si>
    <t>incremento per taglio dot_Elevata</t>
  </si>
  <si>
    <t>incremento per taglio dot_Bassa</t>
  </si>
  <si>
    <t>incremento per taglio dot_Normale</t>
  </si>
  <si>
    <t>Dose standard  base kg/ha di P2O5</t>
  </si>
  <si>
    <t>Bietola da costa e da foglia m. fresco  media produzione</t>
  </si>
  <si>
    <t>Bietola da costa e da foglia m. fresco  alta produzione più tagli</t>
  </si>
  <si>
    <t>comprensivo di tutti i tagli</t>
  </si>
  <si>
    <t>Bietola da foglie per l'industria media produzione più tagli</t>
  </si>
  <si>
    <t>Bietola da costa per l'industria alta produzione più tagli</t>
  </si>
  <si>
    <t>Cardo media produzione</t>
  </si>
  <si>
    <t>Cardo alta produzione</t>
  </si>
  <si>
    <t>calcolato col DPI</t>
  </si>
  <si>
    <t>Cavolfiore alta produzione</t>
  </si>
  <si>
    <t>Broccolo alta produzione</t>
  </si>
  <si>
    <t>Cappuccio alta produzione</t>
  </si>
  <si>
    <r>
      <t xml:space="preserve">Cavolfiore </t>
    </r>
    <r>
      <rPr>
        <sz val="10"/>
        <color rgb="FFFF0000"/>
        <rFont val="Arial"/>
        <family val="2"/>
      </rPr>
      <t>media produzione</t>
    </r>
  </si>
  <si>
    <r>
      <t xml:space="preserve">Cicoria </t>
    </r>
    <r>
      <rPr>
        <sz val="10"/>
        <color rgb="FFFF0000"/>
        <rFont val="Arial"/>
        <family val="2"/>
      </rPr>
      <t>da mercato media produzione</t>
    </r>
  </si>
  <si>
    <t>Cicoria da mercato alta produzione</t>
  </si>
  <si>
    <t>Cicoria da industria alta produzione più tagli</t>
  </si>
  <si>
    <t>Cetriolo da mensa alta produzione</t>
  </si>
  <si>
    <r>
      <t xml:space="preserve">Cetriolo </t>
    </r>
    <r>
      <rPr>
        <sz val="10"/>
        <color rgb="FFFF0000"/>
        <rFont val="Arial"/>
        <family val="2"/>
      </rPr>
      <t>da mensa media produzione</t>
    </r>
  </si>
  <si>
    <r>
      <t xml:space="preserve">Broccolo </t>
    </r>
    <r>
      <rPr>
        <sz val="10"/>
        <color rgb="FFFF0000"/>
        <rFont val="Arial"/>
        <family val="2"/>
      </rPr>
      <t>media produzione</t>
    </r>
  </si>
  <si>
    <r>
      <t xml:space="preserve">Cappuccio </t>
    </r>
    <r>
      <rPr>
        <sz val="10"/>
        <color rgb="FFFF0000"/>
        <rFont val="Arial"/>
        <family val="2"/>
      </rPr>
      <t>media produzione</t>
    </r>
  </si>
  <si>
    <r>
      <t xml:space="preserve">Cavolo </t>
    </r>
    <r>
      <rPr>
        <sz val="10"/>
        <color theme="1"/>
        <rFont val="Arial"/>
        <family val="2"/>
      </rPr>
      <t>verza</t>
    </r>
    <r>
      <rPr>
        <sz val="10"/>
        <color rgb="FFFF0000"/>
        <rFont val="Arial"/>
        <family val="2"/>
      </rPr>
      <t xml:space="preserve"> mercato media produzione</t>
    </r>
  </si>
  <si>
    <r>
      <t>Cavolo</t>
    </r>
    <r>
      <rPr>
        <sz val="10"/>
        <color theme="1"/>
        <rFont val="Arial"/>
        <family val="2"/>
      </rPr>
      <t xml:space="preserve"> verza</t>
    </r>
    <r>
      <rPr>
        <sz val="10"/>
        <color rgb="FFFF0000"/>
        <rFont val="Arial"/>
        <family val="2"/>
      </rPr>
      <t xml:space="preserve"> mercato alta produzione</t>
    </r>
  </si>
  <si>
    <t>Fagiolino</t>
  </si>
  <si>
    <r>
      <t xml:space="preserve">Endivie (indivie riccia e scarola) </t>
    </r>
    <r>
      <rPr>
        <sz val="10"/>
        <color rgb="FFFF0000"/>
        <rFont val="Arial"/>
        <family val="2"/>
      </rPr>
      <t>media produzione</t>
    </r>
  </si>
  <si>
    <t>Endivie (indivie riccia e scarola) alta produzione</t>
  </si>
  <si>
    <t>Melanzana in pieno campo media produzione</t>
  </si>
  <si>
    <r>
      <t xml:space="preserve">Melanzana coltura protetta </t>
    </r>
    <r>
      <rPr>
        <sz val="10"/>
        <color rgb="FFFF0000"/>
        <rFont val="Arial"/>
        <family val="2"/>
      </rPr>
      <t>alta produzione</t>
    </r>
  </si>
  <si>
    <r>
      <t xml:space="preserve">Peperone </t>
    </r>
    <r>
      <rPr>
        <sz val="10"/>
        <color rgb="FFFF0000"/>
        <rFont val="Arial"/>
        <family val="2"/>
      </rPr>
      <t>in serra media produzione</t>
    </r>
  </si>
  <si>
    <r>
      <t>Peperone</t>
    </r>
    <r>
      <rPr>
        <sz val="10"/>
        <color rgb="FFFF0000"/>
        <rFont val="Arial"/>
        <family val="2"/>
      </rPr>
      <t xml:space="preserve"> in serra alta produzione</t>
    </r>
  </si>
  <si>
    <r>
      <t>Prezzemolo</t>
    </r>
    <r>
      <rPr>
        <sz val="10"/>
        <color rgb="FFFF0000"/>
        <rFont val="Arial"/>
        <family val="2"/>
      </rPr>
      <t xml:space="preserve"> media produzione</t>
    </r>
  </si>
  <si>
    <t>Prezzemolo alta produzione più tagli</t>
  </si>
  <si>
    <t>Rucola media produzione</t>
  </si>
  <si>
    <t>Rucola alta produzione con più tagli</t>
  </si>
  <si>
    <r>
      <t xml:space="preserve">Sedano </t>
    </r>
    <r>
      <rPr>
        <sz val="10"/>
        <color rgb="FFFF0000"/>
        <rFont val="Arial"/>
        <family val="2"/>
      </rPr>
      <t>media produzione</t>
    </r>
  </si>
  <si>
    <r>
      <t xml:space="preserve">Sedano </t>
    </r>
    <r>
      <rPr>
        <sz val="10"/>
        <color rgb="FFFF0000"/>
        <rFont val="Arial"/>
        <family val="2"/>
      </rPr>
      <t>alta produzione</t>
    </r>
  </si>
  <si>
    <r>
      <t>Spinacio</t>
    </r>
    <r>
      <rPr>
        <sz val="10"/>
        <color rgb="FFFF0000"/>
        <rFont val="Arial"/>
        <family val="2"/>
      </rPr>
      <t xml:space="preserve"> media produzione</t>
    </r>
  </si>
  <si>
    <r>
      <t>Spinacio</t>
    </r>
    <r>
      <rPr>
        <sz val="10"/>
        <color rgb="FFFF0000"/>
        <rFont val="Arial"/>
        <family val="2"/>
      </rPr>
      <t xml:space="preserve"> alta produzione con più tagli</t>
    </r>
  </si>
  <si>
    <r>
      <t xml:space="preserve">Zucchino da industria </t>
    </r>
    <r>
      <rPr>
        <sz val="10"/>
        <color rgb="FFFF0000"/>
        <rFont val="Arial"/>
        <family val="2"/>
      </rPr>
      <t>media produzione</t>
    </r>
  </si>
  <si>
    <t>Zucchino da industria alta produzione</t>
  </si>
  <si>
    <t>Zucchino da mercato  fresco alta produzione</t>
  </si>
  <si>
    <t>Pero media produzione frutti, legno e foglie</t>
  </si>
  <si>
    <t>Pero alta produzione frutti, legno e foglie</t>
  </si>
  <si>
    <t>rif</t>
  </si>
  <si>
    <t>assorbito</t>
  </si>
  <si>
    <t>asportato</t>
  </si>
  <si>
    <r>
      <t>resa</t>
    </r>
    <r>
      <rPr>
        <sz val="8"/>
        <rFont val="Arial"/>
        <family val="2"/>
      </rPr>
      <t xml:space="preserve"> (t)</t>
    </r>
  </si>
  <si>
    <r>
      <t xml:space="preserve">Coeff. Stimati </t>
    </r>
    <r>
      <rPr>
        <sz val="8"/>
        <rFont val="Arial"/>
        <family val="2"/>
      </rPr>
      <t>(%)</t>
    </r>
  </si>
  <si>
    <t>granella</t>
  </si>
  <si>
    <t>granella + paglia</t>
  </si>
  <si>
    <t>semi + residui</t>
  </si>
  <si>
    <t>pianta trinciata</t>
  </si>
  <si>
    <t>foraggio verde</t>
  </si>
  <si>
    <t>granella + residui</t>
  </si>
  <si>
    <t>pascolo + fieno</t>
  </si>
  <si>
    <t>frutti</t>
  </si>
  <si>
    <t>parte aerea legnosa</t>
  </si>
  <si>
    <t>grappoli uva</t>
  </si>
  <si>
    <t>Altri cereali a paglia (pianta intera)</t>
  </si>
  <si>
    <t>radici + colletti + foglie</t>
  </si>
  <si>
    <t>pianta intera</t>
  </si>
  <si>
    <t>parte aerea</t>
  </si>
  <si>
    <t>grani</t>
  </si>
  <si>
    <t>semi</t>
  </si>
  <si>
    <t>Favino da granella</t>
  </si>
  <si>
    <t>Brassica</t>
  </si>
  <si>
    <t>acheni</t>
  </si>
  <si>
    <t>acheni + residui</t>
  </si>
  <si>
    <t>spighe + residui</t>
  </si>
  <si>
    <t>granellam + residui</t>
  </si>
  <si>
    <t>Pisello proteico + residui</t>
  </si>
  <si>
    <t>Genere</t>
  </si>
  <si>
    <t>specie</t>
  </si>
  <si>
    <t>juncea</t>
  </si>
  <si>
    <t>Glicine</t>
  </si>
  <si>
    <t>pianta intera trinciata o verde</t>
  </si>
  <si>
    <t>Sorghum</t>
  </si>
  <si>
    <t>bicolor,  ssp. sudanense</t>
  </si>
  <si>
    <t>bicolor,  ssp. bicolor</t>
  </si>
  <si>
    <t>raccolto e asportato dal campo</t>
  </si>
  <si>
    <t>parte</t>
  </si>
  <si>
    <t>N (kg)</t>
  </si>
  <si>
    <t>P2O5 (kg)</t>
  </si>
  <si>
    <t>K2O (kg)</t>
  </si>
  <si>
    <t>Fabbisogni standard</t>
  </si>
  <si>
    <t>turrioni + parte aerea asportata a fine estate</t>
  </si>
  <si>
    <t>infiorescenze + foglie</t>
  </si>
  <si>
    <t>infiorescenze</t>
  </si>
  <si>
    <t>teste</t>
  </si>
  <si>
    <t>capolini (cuore)</t>
  </si>
  <si>
    <t>costole</t>
  </si>
  <si>
    <t>radici</t>
  </si>
  <si>
    <t>infiorescenze (palle)</t>
  </si>
  <si>
    <t>frutti (peponidi)</t>
  </si>
  <si>
    <t>foglie/cespi</t>
  </si>
  <si>
    <t>Cichorium</t>
  </si>
  <si>
    <t>intybus</t>
  </si>
  <si>
    <t>Allium</t>
  </si>
  <si>
    <t>cepa</t>
  </si>
  <si>
    <t>Citrullus</t>
  </si>
  <si>
    <t>lanatus</t>
  </si>
  <si>
    <t>endivia</t>
  </si>
  <si>
    <t>cespi</t>
  </si>
  <si>
    <t>baccelli</t>
  </si>
  <si>
    <t>Phaseolus</t>
  </si>
  <si>
    <t>vulgaris</t>
  </si>
  <si>
    <t>baccelli da sgranare</t>
  </si>
  <si>
    <t>Fava da consumo fresco</t>
  </si>
  <si>
    <t>Vicia</t>
  </si>
  <si>
    <t>faba var. major</t>
  </si>
  <si>
    <t>Foeniculum</t>
  </si>
  <si>
    <t>vulgare</t>
  </si>
  <si>
    <t>grumoli</t>
  </si>
  <si>
    <t>Fragraria</t>
  </si>
  <si>
    <t>F. chiloensis x  F. virginiana</t>
  </si>
  <si>
    <t>Solanum</t>
  </si>
  <si>
    <t>melongena</t>
  </si>
  <si>
    <t>bacche</t>
  </si>
  <si>
    <t>frutti (bacche)</t>
  </si>
  <si>
    <t>sativa</t>
  </si>
  <si>
    <t>Lactuca</t>
  </si>
  <si>
    <t>Cucumis</t>
  </si>
  <si>
    <t>melo</t>
  </si>
  <si>
    <t>tuberosum</t>
  </si>
  <si>
    <t>tuberi</t>
  </si>
  <si>
    <t>Capsicum</t>
  </si>
  <si>
    <t>annuum</t>
  </si>
  <si>
    <t>Pisum</t>
  </si>
  <si>
    <t>sativum</t>
  </si>
  <si>
    <t>Pisello da mercato fresco (baccelli)</t>
  </si>
  <si>
    <t>semi freschi (grani)</t>
  </si>
  <si>
    <t>porrum</t>
  </si>
  <si>
    <t>rapa</t>
  </si>
  <si>
    <t>Actinidia</t>
  </si>
  <si>
    <t>chinensis</t>
  </si>
  <si>
    <t>Prunus</t>
  </si>
  <si>
    <t>armeniaca</t>
  </si>
  <si>
    <t>Citrus</t>
  </si>
  <si>
    <t>sinensis</t>
  </si>
  <si>
    <t>Castanea</t>
  </si>
  <si>
    <t>Albicocco  alta produzione frutti, legno e foglie</t>
  </si>
  <si>
    <r>
      <t>Albicocco</t>
    </r>
    <r>
      <rPr>
        <sz val="10"/>
        <color rgb="FFFF0000"/>
        <rFont val="Arial"/>
        <family val="2"/>
      </rPr>
      <t xml:space="preserve"> media produzione</t>
    </r>
    <r>
      <rPr>
        <sz val="10"/>
        <rFont val="Arial"/>
        <family val="2"/>
      </rPr>
      <t xml:space="preserve"> frutti, legno e foglie</t>
    </r>
  </si>
  <si>
    <t>A5</t>
  </si>
  <si>
    <t>Pomodoro da industria alta produzione</t>
  </si>
  <si>
    <r>
      <t xml:space="preserve">Pomodoro da industria </t>
    </r>
    <r>
      <rPr>
        <sz val="10"/>
        <color rgb="FFFF0000"/>
        <rFont val="Arial"/>
        <family val="2"/>
      </rPr>
      <t>media</t>
    </r>
    <r>
      <rPr>
        <sz val="10"/>
        <rFont val="Arial"/>
        <family val="2"/>
      </rPr>
      <t xml:space="preserve"> produzione</t>
    </r>
  </si>
  <si>
    <t xml:space="preserve">Solanum </t>
  </si>
  <si>
    <t>lycopersicum</t>
  </si>
  <si>
    <r>
      <t xml:space="preserve">Zucchino da mercato fresco </t>
    </r>
    <r>
      <rPr>
        <sz val="10"/>
        <color rgb="FFFF0000"/>
        <rFont val="Arial"/>
        <family val="2"/>
      </rPr>
      <t>media produzione</t>
    </r>
  </si>
  <si>
    <r>
      <t xml:space="preserve">Cavolo </t>
    </r>
    <r>
      <rPr>
        <sz val="10"/>
        <color rgb="FFFF0000"/>
        <rFont val="Arial"/>
        <family val="2"/>
      </rPr>
      <t>Riccio, Cavolo nero e Cavolo</t>
    </r>
    <r>
      <rPr>
        <sz val="10"/>
        <rFont val="Arial"/>
        <family val="2"/>
      </rPr>
      <t xml:space="preserve"> Rapa</t>
    </r>
  </si>
  <si>
    <t>Broccoletto  - Cime di rapa</t>
  </si>
  <si>
    <r>
      <t xml:space="preserve">Radicchio (cicoria a foglie colorate) </t>
    </r>
    <r>
      <rPr>
        <sz val="10"/>
        <color rgb="FFFF0000"/>
        <rFont val="Arial"/>
        <family val="2"/>
      </rPr>
      <t>media produzione</t>
    </r>
  </si>
  <si>
    <t>Radicchio (cicoria a foglie colorate) alta produzione</t>
  </si>
  <si>
    <r>
      <t xml:space="preserve">Verza - cavolo </t>
    </r>
    <r>
      <rPr>
        <sz val="10"/>
        <color rgb="FFFF0000"/>
        <rFont val="Arial"/>
        <family val="2"/>
      </rPr>
      <t>da mercato media produzione</t>
    </r>
  </si>
  <si>
    <t>Verza - cavolo da mercato alta produzione</t>
  </si>
  <si>
    <t>Frumento duro da seme (granella)</t>
  </si>
  <si>
    <t>Frumento tenero da seme (granella)</t>
  </si>
  <si>
    <t>Girasole da seme (granella)</t>
  </si>
  <si>
    <t>ass.</t>
  </si>
  <si>
    <t>asp.</t>
  </si>
  <si>
    <t>Orzo da seme (granella)</t>
  </si>
  <si>
    <t>Pisello proteico da seme (granella)</t>
  </si>
  <si>
    <t>Soia da seme (granella)</t>
  </si>
  <si>
    <t>Rucola 1° taglio</t>
  </si>
  <si>
    <t>BL10</t>
  </si>
  <si>
    <t>Spinacino 1° taglio</t>
  </si>
  <si>
    <t>Spinacino 2° taglio</t>
  </si>
  <si>
    <t>BL11</t>
  </si>
  <si>
    <t>BL12</t>
  </si>
  <si>
    <t>Lattughino 1° taglio</t>
  </si>
  <si>
    <t>Lattughino 2° taglio</t>
  </si>
  <si>
    <t>avium</t>
  </si>
  <si>
    <t>Diospyros</t>
  </si>
  <si>
    <t>kaki</t>
  </si>
  <si>
    <t>Malus</t>
  </si>
  <si>
    <t>domestica</t>
  </si>
  <si>
    <t>Corylus</t>
  </si>
  <si>
    <t>avellana</t>
  </si>
  <si>
    <t>Junglas</t>
  </si>
  <si>
    <t>regia</t>
  </si>
  <si>
    <t xml:space="preserve">Pirus </t>
  </si>
  <si>
    <t>communis</t>
  </si>
  <si>
    <t xml:space="preserve">Olea </t>
  </si>
  <si>
    <t>europaea</t>
  </si>
  <si>
    <t>persica</t>
  </si>
  <si>
    <t>Vitis</t>
  </si>
  <si>
    <t>vinifera</t>
  </si>
  <si>
    <t>Beta</t>
  </si>
  <si>
    <t>vulgaris var. saccarifera</t>
  </si>
  <si>
    <t>napus</t>
  </si>
  <si>
    <t>Triticum</t>
  </si>
  <si>
    <t>monococcum, dicoccum, spelta</t>
  </si>
  <si>
    <t>faba</t>
  </si>
  <si>
    <t>Heliantus</t>
  </si>
  <si>
    <t>annuus</t>
  </si>
  <si>
    <t>durum</t>
  </si>
  <si>
    <t>aestivum</t>
  </si>
  <si>
    <t>Zea</t>
  </si>
  <si>
    <t>mays</t>
  </si>
  <si>
    <t>Hordeum</t>
  </si>
  <si>
    <t>Oryza</t>
  </si>
  <si>
    <t>Secale</t>
  </si>
  <si>
    <t>cereale</t>
  </si>
  <si>
    <t>Triticosecale</t>
  </si>
  <si>
    <t>Asparagus</t>
  </si>
  <si>
    <t>officinalis</t>
  </si>
  <si>
    <t>Ocimum</t>
  </si>
  <si>
    <t>basilicum</t>
  </si>
  <si>
    <t>vulgaris var. cycla</t>
  </si>
  <si>
    <t>Cynara</t>
  </si>
  <si>
    <t>cardunculus</t>
  </si>
  <si>
    <t>Daucus</t>
  </si>
  <si>
    <t>carota</t>
  </si>
  <si>
    <t>oleracea</t>
  </si>
  <si>
    <t>Cicer</t>
  </si>
  <si>
    <t>arietinum</t>
  </si>
  <si>
    <t>oleracea var. gongylodes</t>
  </si>
  <si>
    <t>oleracea var. capitata</t>
  </si>
  <si>
    <t>oleracea var. botrytis</t>
  </si>
  <si>
    <t>oleracea var. sabauda</t>
  </si>
  <si>
    <t>sativus</t>
  </si>
  <si>
    <t>intybus var. foliosum</t>
  </si>
  <si>
    <t>Petroselinum</t>
  </si>
  <si>
    <t>crispum</t>
  </si>
  <si>
    <t>Raphanus</t>
  </si>
  <si>
    <t xml:space="preserve">Cichorium </t>
  </si>
  <si>
    <t>Eruca</t>
  </si>
  <si>
    <t>vesicaria - sativa</t>
  </si>
  <si>
    <t>ascalonicum</t>
  </si>
  <si>
    <t>Apium</t>
  </si>
  <si>
    <t>graveolens</t>
  </si>
  <si>
    <t>Spinacia</t>
  </si>
  <si>
    <t>Cucurbita</t>
  </si>
  <si>
    <t>maxima / moschata</t>
  </si>
  <si>
    <t>pepo</t>
  </si>
  <si>
    <t>locusta</t>
  </si>
  <si>
    <t>Coriandrum</t>
  </si>
  <si>
    <t>Medicago</t>
  </si>
  <si>
    <t>S21</t>
  </si>
  <si>
    <t>Segale da seme (granella)</t>
  </si>
  <si>
    <t>Segale (granella)</t>
  </si>
  <si>
    <t>S22</t>
  </si>
  <si>
    <t>Triticale da seme (granella)</t>
  </si>
  <si>
    <t>Rucola 2° taglio</t>
  </si>
  <si>
    <t>Actinidia polpa verde frutti, legno e foglie</t>
  </si>
  <si>
    <t>Ab2</t>
  </si>
  <si>
    <t>Actinidia polpa gialla frutti, legno e foglie</t>
  </si>
  <si>
    <t>ammendante compostato misto</t>
  </si>
  <si>
    <t>Apporto ammesso dal DPI col metodo  "Bilancio"</t>
  </si>
  <si>
    <t>fase rapido accrescimento</t>
  </si>
  <si>
    <t xml:space="preserve"> </t>
  </si>
  <si>
    <t>F27</t>
  </si>
  <si>
    <t>dati stimati da Coeff Trifoglio All 6 DPI</t>
  </si>
  <si>
    <t>Cipolla alta produzione</t>
  </si>
  <si>
    <t>Prati di leguminose in purezza - Trifoglio</t>
  </si>
  <si>
    <t>Prati di leguminose in purezza - Sulla</t>
  </si>
  <si>
    <t>Prati di leguminose in purezza - Lupinella</t>
  </si>
  <si>
    <t>F28</t>
  </si>
  <si>
    <t>F29</t>
  </si>
  <si>
    <t>F30</t>
  </si>
  <si>
    <t>Prati di leguminose in purezza - Ginestrino</t>
  </si>
  <si>
    <t>mo</t>
  </si>
  <si>
    <t>Cipolla media produzione</t>
  </si>
  <si>
    <t>Asparago verde alta produzione</t>
  </si>
  <si>
    <t>ordinato parte dopo (A)</t>
  </si>
  <si>
    <t>numero (n righhe)</t>
  </si>
  <si>
    <t>Trifoglio da seme (trifoglio)</t>
  </si>
  <si>
    <t>S23</t>
  </si>
  <si>
    <t>BL13</t>
  </si>
  <si>
    <t>BL14</t>
  </si>
  <si>
    <t>BL15</t>
  </si>
  <si>
    <t>Cotogno (frutti, legno e foglie)</t>
  </si>
  <si>
    <t>A15</t>
  </si>
  <si>
    <t>A17</t>
  </si>
  <si>
    <t>A19</t>
  </si>
  <si>
    <t>A21</t>
  </si>
  <si>
    <t>A23</t>
  </si>
  <si>
    <t>A25</t>
  </si>
  <si>
    <t>A27</t>
  </si>
  <si>
    <t>A29</t>
  </si>
  <si>
    <t>A31</t>
  </si>
  <si>
    <t>A33</t>
  </si>
  <si>
    <t>A35</t>
  </si>
  <si>
    <t>mais sorgo altre colture pe</t>
  </si>
  <si>
    <t>cereali av ERBAI</t>
  </si>
  <si>
    <t>frutteti</t>
  </si>
  <si>
    <t>beby leaf</t>
  </si>
  <si>
    <t>Prearatura estiva o presemina su terreno nudo o stoppie</t>
  </si>
  <si>
    <t>Prearatura estiva o presemina su paglie o stocchi</t>
  </si>
  <si>
    <t>Fine inverno primavera - copertura</t>
  </si>
  <si>
    <t>Fine inverno primavera - fase di levata</t>
  </si>
  <si>
    <t>Estiva - preparazione del terreno</t>
  </si>
  <si>
    <t>Estiva in copertura con interramento</t>
  </si>
  <si>
    <t>In copertura senza interramento</t>
  </si>
  <si>
    <t>In copertura in fertirrigazione in bassa pressione</t>
  </si>
  <si>
    <r>
      <t xml:space="preserve">Ripresa vegetativa e tagli primaverili </t>
    </r>
    <r>
      <rPr>
        <sz val="10"/>
        <color rgb="FFFF0000"/>
        <rFont val="Arial"/>
        <family val="2"/>
      </rPr>
      <t>e estivi con interramento</t>
    </r>
  </si>
  <si>
    <t>Tagli primaverili ed estivi senza interramento; Tagli autunnali precoci con interramento</t>
  </si>
  <si>
    <t>Tagli autunnali senza interramento; Tardo autunno (&gt;15/10)</t>
  </si>
  <si>
    <t>Prearatura estiva o autunnale su terreno nudo o stoppie</t>
  </si>
  <si>
    <t>pluriennali produzione</t>
  </si>
  <si>
    <t>pluriennali 1 anno</t>
  </si>
  <si>
    <t>pluriennali pre impianto</t>
  </si>
  <si>
    <t>Prearatura estiva o autunnale - su terreno nudo o stoppie</t>
  </si>
  <si>
    <t>Prearatura estiva o autunnale - su paglie o stocchi</t>
  </si>
  <si>
    <t xml:space="preserve">Prearatura primaverile o presemina su terreno nudo o stoppie </t>
  </si>
  <si>
    <t>50 t/ha di ammendante compostato misto Prearatura estiva o autunnale - su terreno nudo o stoppie-2023</t>
  </si>
  <si>
    <t>30 t/ha di liquame bovini da carne In copertura con interramento-2024</t>
  </si>
  <si>
    <t>In primavera o estate su frutteto inerbito o con interramento</t>
  </si>
  <si>
    <t>Fine inverno su frutteto inerbito o con interramento</t>
  </si>
  <si>
    <t>Prearatura primaverile su paglie o stocchi</t>
  </si>
  <si>
    <t>Prearatura estiva o autunnale su paglie o stocchi; Prearatura primaverile su terreno nudo o stoppie</t>
  </si>
  <si>
    <t>Prearatura estiva o presemina su terreno nudo o stoppie; In copertura in autunno</t>
  </si>
  <si>
    <r>
      <t xml:space="preserve">Ripresa vegetativa, tagli primaverili </t>
    </r>
    <r>
      <rPr>
        <sz val="10"/>
        <color rgb="FFFF0000"/>
        <rFont val="Arial"/>
        <family val="2"/>
      </rPr>
      <t>e estivi con interramento</t>
    </r>
  </si>
  <si>
    <t>arboree/piccoli frutti</t>
  </si>
  <si>
    <t>A37</t>
  </si>
  <si>
    <t>Mirtillo</t>
  </si>
  <si>
    <t>Per eventuali chiarimenti, segnalazione di errori o consigli di miglioramenti contattare la Dott.ssa Chiara Ferronato tel. 051 5274615; chiara.ferronato@regione.emilia-romagna.it</t>
  </si>
  <si>
    <r>
      <t>Una volta inseriti i dati, per sapere quali siano le quantità di N, P2O5 e K2O da apportare è possibile consultare i foglio  “</t>
    </r>
    <r>
      <rPr>
        <b/>
        <sz val="10"/>
        <rFont val="Arial"/>
        <family val="2"/>
      </rPr>
      <t>BILANCIO</t>
    </r>
    <r>
      <rPr>
        <sz val="10"/>
        <rFont val="Arial"/>
        <family val="2"/>
      </rPr>
      <t xml:space="preserve">” per il  piano analitico o i fogli  </t>
    </r>
    <r>
      <rPr>
        <b/>
        <sz val="10"/>
        <rFont val="Arial"/>
        <family val="2"/>
      </rPr>
      <t>"Scheda_N"</t>
    </r>
    <r>
      <rPr>
        <sz val="10"/>
        <rFont val="Arial"/>
        <family val="2"/>
      </rPr>
      <t>, "</t>
    </r>
    <r>
      <rPr>
        <b/>
        <sz val="10"/>
        <rFont val="Arial"/>
        <family val="2"/>
      </rPr>
      <t>Scheda_PK</t>
    </r>
    <r>
      <rPr>
        <sz val="10"/>
        <rFont val="Arial"/>
        <family val="2"/>
      </rPr>
      <t>" per il modello semplificato a dose Standard.</t>
    </r>
  </si>
  <si>
    <t>Attenzione: controllare sempre eventuali incrementi o decrementi da flaggare manualmente (celle gialle)</t>
  </si>
  <si>
    <t>Attenzione: il FertDPI dà un allert se si superano i MAS, ma non da indicazione su eventuali superamenti sui massimali da distribuire in ZVN (intesi come 170kg ha/anno di Azoto medio aziendale)</t>
  </si>
  <si>
    <r>
      <t>Il foglio "</t>
    </r>
    <r>
      <rPr>
        <b/>
        <sz val="10"/>
        <rFont val="Arial"/>
        <family val="2"/>
      </rPr>
      <t xml:space="preserve">Distribuz" </t>
    </r>
    <r>
      <rPr>
        <sz val="10"/>
        <rFont val="Arial"/>
        <family val="2"/>
      </rPr>
      <t>serve per programmare la distribuzione dei fertilizzanti scegliendo i  tipi, le quantità e  le epoche</t>
    </r>
  </si>
  <si>
    <t>Attenzione: il foglio dà un allert per eventuali eccessi rispetto alle dosi calcolate con il metodo bilancio/schede, ma NON da allert rispetto a superamento dei MAS né limiti ZVN)</t>
  </si>
  <si>
    <r>
      <t>Il piano di distribuzione dei fertilizzanti può essere copiato nel foglio "</t>
    </r>
    <r>
      <rPr>
        <b/>
        <sz val="10"/>
        <rFont val="Arial"/>
        <family val="2"/>
      </rPr>
      <t>Registra_Piano</t>
    </r>
    <r>
      <rPr>
        <sz val="10"/>
        <rFont val="Arial"/>
        <family val="2"/>
      </rPr>
      <t>" ed essere stampato ed utilizzato anche come scheda di registrazione delle distribuzioni.</t>
    </r>
  </si>
  <si>
    <t>Nel foglio "Registra Piano" è possibile verificare la dotazione di P2O5 e K2O teorica a fine ciclo (valori da utilizzare nel foglio "inserimento" l'anno successivo)</t>
  </si>
  <si>
    <t>L’elenco delle colture, raccolte in ordine alfabetico, è suddiviso in diversi gruppi (prima le arboree/piccoli frutti, seguite da: erbacee, foraggere, orticole, colture  da seme e baby life);Per alcune sono previste diverse dizioni in funzione del tipo di parte asportata dal campo [es. solo granella (grano tenero granella); o granella+paglia (grano tenero pianta intera)]. Per alcune colture esistono divese categorie es. nel  grano tenero ci sono  le categorie delle varietà "biscottiere", "panificabili :FP/FPS" e di "forza: FF").</t>
  </si>
  <si>
    <t>RR n. 2/2024</t>
  </si>
  <si>
    <t>D2:D34</t>
  </si>
  <si>
    <t>D35:D91</t>
  </si>
  <si>
    <t>D92:D121</t>
  </si>
  <si>
    <t>D122:D197</t>
  </si>
  <si>
    <t>D198:D220</t>
  </si>
  <si>
    <t>D221:D234</t>
  </si>
  <si>
    <t>Norme di riferimento DPI 2026</t>
  </si>
  <si>
    <t>Istruzione per l’uso dell’applicativo “Fert_Office_26”</t>
  </si>
  <si>
    <t>Febbraio_2026</t>
  </si>
  <si>
    <t>Il  “Fert_Office_26”   è un applicativo in Excel per predisporre il piano di fertilizzazione.</t>
  </si>
  <si>
    <t>Vengono seguiti i criteri e le norme fissate nei Disciplinari di Produzione dell'Emilia Romagna Versione 2026.</t>
  </si>
  <si>
    <t>A38</t>
  </si>
  <si>
    <t>Luppolo (verde)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</si>
</sst>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000"/>
  </numFmts>
  <fonts count="6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b/>
      <sz val="10"/>
      <name val="Arial"/>
      <family val="2"/>
    </font>
    <font>
      <sz val="8"/>
      <color indexed="18"/>
      <name val="Arial"/>
      <family val="2"/>
    </font>
    <font>
      <sz val="12"/>
      <name val="Times New Roman"/>
      <family val="1"/>
    </font>
    <font>
      <b/>
      <sz val="10"/>
      <name val="Courier"/>
      <family val="3"/>
    </font>
    <font>
      <b/>
      <sz val="9"/>
      <name val="Arial"/>
      <family val="2"/>
    </font>
    <font>
      <sz val="9"/>
      <name val="Times New Roman"/>
      <family val="1"/>
    </font>
    <font>
      <b/>
      <sz val="10"/>
      <color indexed="18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10"/>
      <name val="Arial"/>
      <family val="2"/>
    </font>
    <font>
      <sz val="10"/>
      <color indexed="57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24"/>
      <name val="Arial"/>
      <family val="2"/>
    </font>
    <font>
      <sz val="36"/>
      <name val="Arial"/>
      <family val="2"/>
    </font>
    <font>
      <sz val="10"/>
      <color indexed="57"/>
      <name val="Arial"/>
      <family val="2"/>
    </font>
    <font>
      <b/>
      <sz val="10"/>
      <color indexed="57"/>
      <name val="Arial"/>
      <family val="2"/>
    </font>
    <font>
      <sz val="12"/>
      <color indexed="57"/>
      <name val="Arial"/>
      <family val="2"/>
    </font>
    <font>
      <sz val="10"/>
      <color indexed="50"/>
      <name val="Arial"/>
      <family val="2"/>
    </font>
    <font>
      <b/>
      <sz val="12"/>
      <color indexed="57"/>
      <name val="Arial"/>
      <family val="2"/>
    </font>
    <font>
      <sz val="12"/>
      <color indexed="56"/>
      <name val="Arial"/>
      <family val="2"/>
    </font>
    <font>
      <b/>
      <sz val="12"/>
      <color indexed="56"/>
      <name val="Arial"/>
      <family val="2"/>
    </font>
    <font>
      <b/>
      <sz val="10"/>
      <color indexed="17"/>
      <name val="Arial"/>
      <family val="2"/>
    </font>
    <font>
      <b/>
      <sz val="10"/>
      <color indexed="2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sz val="8"/>
      <color indexed="9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9"/>
      <color rgb="FFFF0000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10"/>
      <color rgb="FF7030A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vertAlign val="subscript"/>
      <sz val="8"/>
      <name val="Arial"/>
      <family val="2"/>
    </font>
    <font>
      <b/>
      <vertAlign val="subscript"/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sz val="10"/>
      <color rgb="FF00B0F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theme="6" tint="-0.499984740745262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sz val="10"/>
      <color theme="9"/>
      <name val="Arial"/>
      <family val="2"/>
    </font>
    <font>
      <b/>
      <sz val="10"/>
      <color theme="6"/>
      <name val="Arial"/>
      <family val="2"/>
    </font>
    <font>
      <sz val="10"/>
      <color theme="6"/>
      <name val="Arial"/>
      <family val="2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15"/>
        <bgColor indexed="64"/>
      </patternFill>
    </fill>
    <fill>
      <patternFill patternType="solid">
        <fgColor indexed="43"/>
        <bgColor indexed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9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CCFF"/>
      </bottom>
      <diagonal/>
    </border>
    <border>
      <left/>
      <right/>
      <top/>
      <bottom style="medium">
        <color rgb="FF00CCF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131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3" fillId="0" borderId="0" xfId="0" applyFont="1" applyProtection="1">
      <protection hidden="1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0" borderId="0" xfId="0" applyAlignment="1">
      <alignment wrapText="1"/>
    </xf>
    <xf numFmtId="49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wrapText="1"/>
    </xf>
    <xf numFmtId="0" fontId="0" fillId="0" borderId="1" xfId="0" applyBorder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5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2" xfId="0" applyBorder="1"/>
    <xf numFmtId="0" fontId="0" fillId="3" borderId="3" xfId="0" applyFill="1" applyBorder="1" applyAlignment="1">
      <alignment horizontal="center"/>
    </xf>
    <xf numFmtId="0" fontId="1" fillId="0" borderId="0" xfId="0" applyFont="1" applyAlignment="1">
      <alignment wrapText="1"/>
    </xf>
    <xf numFmtId="164" fontId="0" fillId="3" borderId="0" xfId="0" applyNumberFormat="1" applyFill="1" applyAlignment="1">
      <alignment horizontal="center"/>
    </xf>
    <xf numFmtId="0" fontId="6" fillId="0" borderId="0" xfId="0" applyFont="1" applyProtection="1">
      <protection hidden="1"/>
    </xf>
    <xf numFmtId="0" fontId="3" fillId="0" borderId="0" xfId="0" applyFont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" fillId="0" borderId="0" xfId="0" applyFo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0" borderId="4" xfId="0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0" fontId="3" fillId="5" borderId="0" xfId="0" applyFont="1" applyFill="1" applyAlignment="1">
      <alignment horizontal="center" wrapText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center"/>
      <protection hidden="1"/>
    </xf>
    <xf numFmtId="164" fontId="0" fillId="3" borderId="0" xfId="0" applyNumberFormat="1" applyFill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3" fillId="0" borderId="9" xfId="0" applyFont="1" applyBorder="1" applyAlignment="1" applyProtection="1">
      <alignment horizontal="center" wrapText="1"/>
      <protection hidden="1"/>
    </xf>
    <xf numFmtId="0" fontId="3" fillId="0" borderId="4" xfId="0" applyFont="1" applyBorder="1" applyAlignment="1" applyProtection="1">
      <alignment horizontal="center" wrapText="1"/>
      <protection hidden="1"/>
    </xf>
    <xf numFmtId="0" fontId="0" fillId="5" borderId="7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11" xfId="0" applyBorder="1" applyProtection="1">
      <protection hidden="1"/>
    </xf>
    <xf numFmtId="0" fontId="3" fillId="0" borderId="12" xfId="0" applyFont="1" applyBorder="1" applyAlignment="1" applyProtection="1">
      <alignment horizontal="center" wrapText="1"/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Alignment="1">
      <alignment horizontal="center"/>
    </xf>
    <xf numFmtId="0" fontId="3" fillId="0" borderId="16" xfId="0" applyFont="1" applyBorder="1"/>
    <xf numFmtId="0" fontId="0" fillId="2" borderId="17" xfId="0" applyFill="1" applyBorder="1" applyAlignment="1" applyProtection="1">
      <alignment horizontal="center"/>
      <protection hidden="1"/>
    </xf>
    <xf numFmtId="0" fontId="0" fillId="2" borderId="18" xfId="0" applyFill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164" fontId="0" fillId="0" borderId="9" xfId="0" applyNumberFormat="1" applyBorder="1" applyAlignment="1" applyProtection="1">
      <alignment horizontal="center"/>
      <protection hidden="1"/>
    </xf>
    <xf numFmtId="1" fontId="0" fillId="3" borderId="19" xfId="0" applyNumberFormat="1" applyFill="1" applyBorder="1" applyAlignment="1" applyProtection="1">
      <alignment horizontal="center"/>
      <protection hidden="1"/>
    </xf>
    <xf numFmtId="0" fontId="8" fillId="5" borderId="0" xfId="0" applyFont="1" applyFill="1" applyAlignment="1">
      <alignment horizontal="center" wrapText="1"/>
    </xf>
    <xf numFmtId="0" fontId="0" fillId="0" borderId="12" xfId="0" applyBorder="1"/>
    <xf numFmtId="0" fontId="0" fillId="0" borderId="4" xfId="0" applyBorder="1"/>
    <xf numFmtId="0" fontId="0" fillId="0" borderId="7" xfId="0" applyBorder="1"/>
    <xf numFmtId="0" fontId="0" fillId="0" borderId="20" xfId="0" applyBorder="1"/>
    <xf numFmtId="0" fontId="0" fillId="0" borderId="7" xfId="0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6" fillId="0" borderId="12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3" fillId="5" borderId="7" xfId="0" applyFont="1" applyFill="1" applyBorder="1" applyAlignment="1" applyProtection="1">
      <alignment horizontal="center"/>
      <protection hidden="1"/>
    </xf>
    <xf numFmtId="1" fontId="3" fillId="5" borderId="0" xfId="0" applyNumberFormat="1" applyFont="1" applyFill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21" xfId="0" applyBorder="1" applyProtection="1">
      <protection hidden="1"/>
    </xf>
    <xf numFmtId="0" fontId="0" fillId="3" borderId="5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0" fillId="5" borderId="20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1" fontId="0" fillId="3" borderId="7" xfId="0" applyNumberFormat="1" applyFill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0" fontId="0" fillId="5" borderId="18" xfId="0" applyFill="1" applyBorder="1" applyProtection="1"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1" fontId="0" fillId="3" borderId="23" xfId="0" applyNumberFormat="1" applyFill="1" applyBorder="1" applyAlignment="1" applyProtection="1">
      <alignment horizontal="center"/>
      <protection hidden="1"/>
    </xf>
    <xf numFmtId="0" fontId="0" fillId="0" borderId="22" xfId="0" applyBorder="1" applyAlignment="1" applyProtection="1">
      <alignment wrapText="1"/>
      <protection hidden="1"/>
    </xf>
    <xf numFmtId="1" fontId="6" fillId="3" borderId="18" xfId="0" applyNumberFormat="1" applyFont="1" applyFill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center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0" fontId="2" fillId="0" borderId="24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1" fontId="3" fillId="3" borderId="0" xfId="0" applyNumberFormat="1" applyFont="1" applyFill="1" applyAlignment="1" applyProtection="1">
      <alignment horizontal="center"/>
      <protection hidden="1"/>
    </xf>
    <xf numFmtId="1" fontId="0" fillId="3" borderId="11" xfId="0" applyNumberFormat="1" applyFill="1" applyBorder="1" applyAlignment="1" applyProtection="1">
      <alignment horizontal="center"/>
      <protection hidden="1"/>
    </xf>
    <xf numFmtId="0" fontId="0" fillId="0" borderId="8" xfId="0" applyBorder="1" applyAlignment="1">
      <alignment horizontal="center"/>
    </xf>
    <xf numFmtId="0" fontId="6" fillId="0" borderId="0" xfId="0" applyFont="1" applyAlignment="1" applyProtection="1">
      <alignment horizontal="center"/>
      <protection hidden="1"/>
    </xf>
    <xf numFmtId="0" fontId="0" fillId="0" borderId="13" xfId="0" applyBorder="1"/>
    <xf numFmtId="0" fontId="2" fillId="0" borderId="26" xfId="0" applyFont="1" applyBorder="1"/>
    <xf numFmtId="0" fontId="0" fillId="0" borderId="26" xfId="0" applyBorder="1"/>
    <xf numFmtId="0" fontId="0" fillId="0" borderId="14" xfId="0" applyBorder="1"/>
    <xf numFmtId="0" fontId="3" fillId="0" borderId="15" xfId="0" applyFont="1" applyBorder="1" applyAlignment="1" applyProtection="1">
      <alignment horizontal="center"/>
      <protection hidden="1"/>
    </xf>
    <xf numFmtId="0" fontId="0" fillId="0" borderId="16" xfId="0" applyBorder="1" applyProtection="1">
      <protection hidden="1"/>
    </xf>
    <xf numFmtId="0" fontId="2" fillId="0" borderId="0" xfId="0" applyFont="1" applyProtection="1">
      <protection hidden="1"/>
    </xf>
    <xf numFmtId="0" fontId="3" fillId="0" borderId="9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13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0" xfId="0" applyFont="1"/>
    <xf numFmtId="0" fontId="0" fillId="0" borderId="22" xfId="0" applyBorder="1" applyAlignment="1" applyProtection="1">
      <alignment horizontal="center"/>
      <protection hidden="1"/>
    </xf>
    <xf numFmtId="0" fontId="0" fillId="0" borderId="21" xfId="0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4" fontId="0" fillId="3" borderId="5" xfId="0" applyNumberFormat="1" applyFill="1" applyBorder="1" applyAlignment="1">
      <alignment horizontal="center"/>
    </xf>
    <xf numFmtId="0" fontId="0" fillId="0" borderId="2" xfId="0" applyBorder="1" applyProtection="1">
      <protection hidden="1"/>
    </xf>
    <xf numFmtId="0" fontId="0" fillId="5" borderId="3" xfId="0" applyFill="1" applyBorder="1" applyProtection="1">
      <protection hidden="1"/>
    </xf>
    <xf numFmtId="0" fontId="0" fillId="0" borderId="8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8" xfId="0" applyFill="1" applyBorder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0" fillId="2" borderId="27" xfId="0" applyFill="1" applyBorder="1" applyAlignment="1" applyProtection="1">
      <alignment horizontal="center"/>
      <protection locked="0" hidden="1"/>
    </xf>
    <xf numFmtId="0" fontId="0" fillId="0" borderId="12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0" fillId="0" borderId="12" xfId="0" applyFont="1" applyBorder="1" applyAlignment="1" applyProtection="1">
      <alignment horizontal="center" wrapText="1"/>
      <protection hidden="1"/>
    </xf>
    <xf numFmtId="0" fontId="11" fillId="0" borderId="0" xfId="0" applyFont="1" applyAlignment="1">
      <alignment horizontal="center" wrapText="1"/>
    </xf>
    <xf numFmtId="0" fontId="2" fillId="0" borderId="1" xfId="0" applyFont="1" applyBorder="1"/>
    <xf numFmtId="0" fontId="8" fillId="0" borderId="1" xfId="0" applyFont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2" xfId="0" applyBorder="1" applyProtection="1">
      <protection hidden="1"/>
    </xf>
    <xf numFmtId="0" fontId="1" fillId="2" borderId="0" xfId="0" applyFont="1" applyFill="1" applyAlignment="1">
      <alignment horizontal="center"/>
    </xf>
    <xf numFmtId="0" fontId="0" fillId="2" borderId="28" xfId="0" applyFill="1" applyBorder="1" applyAlignment="1" applyProtection="1">
      <alignment horizontal="center"/>
      <protection hidden="1"/>
    </xf>
    <xf numFmtId="0" fontId="0" fillId="2" borderId="1" xfId="0" applyFill="1" applyBorder="1" applyAlignment="1">
      <alignment horizontal="center"/>
    </xf>
    <xf numFmtId="0" fontId="0" fillId="0" borderId="9" xfId="0" applyBorder="1"/>
    <xf numFmtId="0" fontId="0" fillId="0" borderId="13" xfId="0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3" fillId="0" borderId="0" xfId="0" applyFont="1"/>
    <xf numFmtId="0" fontId="0" fillId="0" borderId="20" xfId="0" applyBorder="1" applyAlignment="1" applyProtection="1">
      <alignment horizontal="center"/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4" fontId="0" fillId="3" borderId="23" xfId="0" applyNumberFormat="1" applyFill="1" applyBorder="1" applyAlignment="1" applyProtection="1">
      <alignment horizontal="center"/>
      <protection hidden="1"/>
    </xf>
    <xf numFmtId="0" fontId="2" fillId="0" borderId="31" xfId="0" applyFont="1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164" fontId="0" fillId="3" borderId="20" xfId="0" applyNumberFormat="1" applyFill="1" applyBorder="1" applyAlignment="1" applyProtection="1">
      <alignment horizontal="center"/>
      <protection hidden="1"/>
    </xf>
    <xf numFmtId="164" fontId="0" fillId="3" borderId="11" xfId="0" applyNumberFormat="1" applyFill="1" applyBorder="1" applyAlignment="1" applyProtection="1">
      <alignment horizontal="center"/>
      <protection hidden="1"/>
    </xf>
    <xf numFmtId="0" fontId="0" fillId="0" borderId="24" xfId="0" applyBorder="1"/>
    <xf numFmtId="0" fontId="0" fillId="0" borderId="25" xfId="0" applyBorder="1"/>
    <xf numFmtId="0" fontId="6" fillId="0" borderId="0" xfId="0" applyFont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23" xfId="0" applyBorder="1"/>
    <xf numFmtId="0" fontId="0" fillId="0" borderId="23" xfId="0" applyBorder="1" applyProtection="1">
      <protection hidden="1"/>
    </xf>
    <xf numFmtId="0" fontId="3" fillId="0" borderId="2" xfId="0" applyFont="1" applyBorder="1"/>
    <xf numFmtId="0" fontId="0" fillId="2" borderId="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/>
    <xf numFmtId="0" fontId="0" fillId="0" borderId="0" xfId="0" applyAlignment="1" applyProtection="1">
      <alignment horizontal="center" wrapText="1"/>
      <protection hidden="1"/>
    </xf>
    <xf numFmtId="1" fontId="0" fillId="3" borderId="0" xfId="0" applyNumberFormat="1" applyFill="1" applyAlignment="1">
      <alignment horizontal="center"/>
    </xf>
    <xf numFmtId="0" fontId="12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8" xfId="0" applyBorder="1"/>
    <xf numFmtId="0" fontId="3" fillId="0" borderId="2" xfId="0" applyFont="1" applyBorder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0" fillId="3" borderId="8" xfId="0" applyFill="1" applyBorder="1" applyAlignment="1">
      <alignment horizontal="center"/>
    </xf>
    <xf numFmtId="164" fontId="0" fillId="3" borderId="7" xfId="0" applyNumberFormat="1" applyFill="1" applyBorder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0" borderId="22" xfId="0" applyBorder="1"/>
    <xf numFmtId="0" fontId="3" fillId="0" borderId="22" xfId="0" applyFont="1" applyBorder="1" applyAlignment="1" applyProtection="1">
      <alignment horizontal="center"/>
      <protection hidden="1"/>
    </xf>
    <xf numFmtId="0" fontId="6" fillId="0" borderId="34" xfId="0" applyFont="1" applyBorder="1" applyAlignment="1" applyProtection="1">
      <alignment horizontal="center"/>
      <protection hidden="1"/>
    </xf>
    <xf numFmtId="0" fontId="6" fillId="0" borderId="34" xfId="0" applyFont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1" fontId="0" fillId="3" borderId="25" xfId="0" applyNumberFormat="1" applyFill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13" borderId="9" xfId="0" applyFill="1" applyBorder="1"/>
    <xf numFmtId="0" fontId="0" fillId="13" borderId="22" xfId="0" applyFill="1" applyBorder="1"/>
    <xf numFmtId="0" fontId="0" fillId="13" borderId="0" xfId="0" applyFill="1"/>
    <xf numFmtId="0" fontId="0" fillId="0" borderId="0" xfId="0" applyAlignment="1" applyProtection="1">
      <alignment horizontal="center" textRotation="90"/>
      <protection hidden="1"/>
    </xf>
    <xf numFmtId="0" fontId="3" fillId="0" borderId="0" xfId="0" applyFont="1" applyAlignment="1" applyProtection="1">
      <alignment textRotation="90"/>
      <protection hidden="1"/>
    </xf>
    <xf numFmtId="0" fontId="0" fillId="2" borderId="23" xfId="0" applyFill="1" applyBorder="1"/>
    <xf numFmtId="0" fontId="0" fillId="13" borderId="0" xfId="0" applyFill="1" applyAlignment="1">
      <alignment horizontal="center"/>
    </xf>
    <xf numFmtId="0" fontId="0" fillId="13" borderId="12" xfId="0" applyFill="1" applyBorder="1"/>
    <xf numFmtId="0" fontId="0" fillId="13" borderId="7" xfId="0" applyFill="1" applyBorder="1"/>
    <xf numFmtId="0" fontId="0" fillId="13" borderId="20" xfId="0" applyFill="1" applyBorder="1"/>
    <xf numFmtId="0" fontId="3" fillId="0" borderId="2" xfId="0" applyFont="1" applyBorder="1" applyProtection="1">
      <protection hidden="1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3" xfId="0" applyFont="1" applyBorder="1" applyProtection="1">
      <protection hidden="1"/>
    </xf>
    <xf numFmtId="0" fontId="0" fillId="13" borderId="0" xfId="0" applyFill="1" applyAlignment="1">
      <alignment wrapText="1"/>
    </xf>
    <xf numFmtId="0" fontId="0" fillId="13" borderId="0" xfId="0" applyFill="1" applyProtection="1">
      <protection hidden="1"/>
    </xf>
    <xf numFmtId="0" fontId="0" fillId="0" borderId="23" xfId="0" applyBorder="1" applyAlignment="1">
      <alignment horizontal="center"/>
    </xf>
    <xf numFmtId="0" fontId="0" fillId="0" borderId="19" xfId="0" applyBorder="1"/>
    <xf numFmtId="0" fontId="0" fillId="0" borderId="21" xfId="0" applyBorder="1"/>
    <xf numFmtId="1" fontId="0" fillId="3" borderId="36" xfId="0" applyNumberFormat="1" applyFill="1" applyBorder="1" applyAlignment="1">
      <alignment horizontal="center"/>
    </xf>
    <xf numFmtId="1" fontId="0" fillId="3" borderId="37" xfId="0" applyNumberFormat="1" applyFill="1" applyBorder="1" applyAlignment="1">
      <alignment horizontal="center"/>
    </xf>
    <xf numFmtId="1" fontId="0" fillId="5" borderId="36" xfId="0" applyNumberFormat="1" applyFill="1" applyBorder="1" applyAlignment="1">
      <alignment horizontal="center"/>
    </xf>
    <xf numFmtId="1" fontId="0" fillId="5" borderId="37" xfId="0" applyNumberFormat="1" applyFill="1" applyBorder="1" applyAlignment="1">
      <alignment horizontal="center"/>
    </xf>
    <xf numFmtId="0" fontId="0" fillId="5" borderId="0" xfId="0" applyFill="1" applyAlignment="1" applyProtection="1">
      <alignment wrapText="1"/>
      <protection hidden="1"/>
    </xf>
    <xf numFmtId="0" fontId="6" fillId="0" borderId="12" xfId="0" applyFont="1" applyBorder="1"/>
    <xf numFmtId="0" fontId="0" fillId="0" borderId="5" xfId="0" applyBorder="1"/>
    <xf numFmtId="0" fontId="0" fillId="5" borderId="1" xfId="0" applyFill="1" applyBorder="1" applyProtection="1">
      <protection hidden="1"/>
    </xf>
    <xf numFmtId="0" fontId="0" fillId="5" borderId="1" xfId="0" applyFill="1" applyBorder="1" applyAlignment="1" applyProtection="1">
      <alignment wrapText="1"/>
      <protection hidden="1"/>
    </xf>
    <xf numFmtId="0" fontId="6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right"/>
    </xf>
    <xf numFmtId="0" fontId="0" fillId="0" borderId="20" xfId="0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6" fillId="0" borderId="7" xfId="0" applyFont="1" applyBorder="1"/>
    <xf numFmtId="0" fontId="0" fillId="0" borderId="0" xfId="0" applyAlignment="1">
      <alignment horizontal="center" textRotation="90"/>
    </xf>
    <xf numFmtId="0" fontId="3" fillId="0" borderId="0" xfId="0" applyFont="1" applyAlignment="1">
      <alignment horizontal="center" textRotation="90"/>
    </xf>
    <xf numFmtId="1" fontId="0" fillId="3" borderId="38" xfId="0" applyNumberFormat="1" applyFill="1" applyBorder="1" applyAlignment="1">
      <alignment horizontal="center"/>
    </xf>
    <xf numFmtId="1" fontId="0" fillId="3" borderId="39" xfId="0" applyNumberFormat="1" applyFill="1" applyBorder="1" applyAlignment="1">
      <alignment horizontal="center"/>
    </xf>
    <xf numFmtId="1" fontId="0" fillId="3" borderId="40" xfId="0" applyNumberFormat="1" applyFill="1" applyBorder="1" applyAlignment="1">
      <alignment horizontal="center"/>
    </xf>
    <xf numFmtId="1" fontId="0" fillId="3" borderId="41" xfId="0" applyNumberFormat="1" applyFill="1" applyBorder="1" applyAlignment="1">
      <alignment horizontal="center"/>
    </xf>
    <xf numFmtId="1" fontId="0" fillId="5" borderId="38" xfId="0" applyNumberFormat="1" applyFill="1" applyBorder="1" applyAlignment="1">
      <alignment horizontal="center"/>
    </xf>
    <xf numFmtId="1" fontId="0" fillId="5" borderId="39" xfId="0" applyNumberFormat="1" applyFill="1" applyBorder="1" applyAlignment="1">
      <alignment horizontal="center"/>
    </xf>
    <xf numFmtId="1" fontId="0" fillId="5" borderId="40" xfId="0" applyNumberFormat="1" applyFill="1" applyBorder="1" applyAlignment="1">
      <alignment horizontal="center"/>
    </xf>
    <xf numFmtId="1" fontId="0" fillId="5" borderId="41" xfId="0" applyNumberFormat="1" applyFill="1" applyBorder="1" applyAlignment="1">
      <alignment horizontal="center"/>
    </xf>
    <xf numFmtId="1" fontId="0" fillId="5" borderId="42" xfId="0" applyNumberFormat="1" applyFill="1" applyBorder="1" applyAlignment="1">
      <alignment horizontal="center"/>
    </xf>
    <xf numFmtId="1" fontId="0" fillId="5" borderId="43" xfId="0" applyNumberFormat="1" applyFill="1" applyBorder="1" applyAlignment="1">
      <alignment horizontal="center"/>
    </xf>
    <xf numFmtId="1" fontId="0" fillId="5" borderId="44" xfId="0" applyNumberForma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3" fillId="0" borderId="10" xfId="0" applyFont="1" applyBorder="1"/>
    <xf numFmtId="0" fontId="0" fillId="2" borderId="11" xfId="0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31" xfId="0" applyBorder="1" applyAlignment="1">
      <alignment horizontal="center"/>
    </xf>
    <xf numFmtId="1" fontId="0" fillId="2" borderId="23" xfId="0" applyNumberForma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5" xfId="0" applyFont="1" applyBorder="1" applyAlignment="1">
      <alignment horizontal="right"/>
    </xf>
    <xf numFmtId="0" fontId="0" fillId="2" borderId="8" xfId="0" applyFill="1" applyBorder="1" applyAlignment="1">
      <alignment horizontal="center"/>
    </xf>
    <xf numFmtId="0" fontId="6" fillId="0" borderId="12" xfId="0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 applyProtection="1">
      <alignment horizontal="center"/>
      <protection hidden="1"/>
    </xf>
    <xf numFmtId="0" fontId="3" fillId="0" borderId="7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0" fillId="2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3" borderId="1" xfId="0" applyFill="1" applyBorder="1"/>
    <xf numFmtId="0" fontId="0" fillId="2" borderId="21" xfId="0" applyFill="1" applyBorder="1" applyAlignment="1">
      <alignment horizontal="center"/>
    </xf>
    <xf numFmtId="0" fontId="0" fillId="2" borderId="21" xfId="0" applyFill="1" applyBorder="1"/>
    <xf numFmtId="0" fontId="0" fillId="0" borderId="19" xfId="0" applyBorder="1" applyAlignment="1">
      <alignment horizontal="center"/>
    </xf>
    <xf numFmtId="164" fontId="0" fillId="3" borderId="21" xfId="0" applyNumberFormat="1" applyFill="1" applyBorder="1" applyAlignment="1">
      <alignment horizontal="center"/>
    </xf>
    <xf numFmtId="1" fontId="0" fillId="3" borderId="21" xfId="0" applyNumberFormat="1" applyFill="1" applyBorder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3" fillId="0" borderId="47" xfId="0" applyFont="1" applyBorder="1"/>
    <xf numFmtId="0" fontId="3" fillId="0" borderId="8" xfId="0" applyFont="1" applyBorder="1"/>
    <xf numFmtId="0" fontId="0" fillId="2" borderId="27" xfId="0" applyFill="1" applyBorder="1" applyAlignment="1">
      <alignment horizontal="center"/>
    </xf>
    <xf numFmtId="0" fontId="0" fillId="3" borderId="5" xfId="0" applyFill="1" applyBorder="1"/>
    <xf numFmtId="0" fontId="0" fillId="3" borderId="2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6" fillId="0" borderId="22" xfId="0" applyFont="1" applyBorder="1"/>
    <xf numFmtId="0" fontId="6" fillId="0" borderId="22" xfId="0" applyFont="1" applyBorder="1" applyAlignment="1">
      <alignment horizontal="center"/>
    </xf>
    <xf numFmtId="0" fontId="12" fillId="0" borderId="23" xfId="0" quotePrefix="1" applyFont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5" borderId="0" xfId="0" applyFont="1" applyFill="1"/>
    <xf numFmtId="0" fontId="0" fillId="17" borderId="0" xfId="0" applyFill="1" applyProtection="1">
      <protection hidden="1"/>
    </xf>
    <xf numFmtId="0" fontId="6" fillId="17" borderId="0" xfId="0" applyFont="1" applyFill="1" applyProtection="1">
      <protection hidden="1"/>
    </xf>
    <xf numFmtId="0" fontId="3" fillId="17" borderId="0" xfId="0" applyFont="1" applyFill="1" applyProtection="1">
      <protection hidden="1"/>
    </xf>
    <xf numFmtId="0" fontId="0" fillId="13" borderId="19" xfId="0" applyFill="1" applyBorder="1" applyProtection="1">
      <protection hidden="1"/>
    </xf>
    <xf numFmtId="0" fontId="0" fillId="13" borderId="9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18" borderId="1" xfId="0" applyFill="1" applyBorder="1" applyProtection="1">
      <protection hidden="1"/>
    </xf>
    <xf numFmtId="0" fontId="0" fillId="18" borderId="5" xfId="0" applyFill="1" applyBorder="1" applyProtection="1">
      <protection hidden="1"/>
    </xf>
    <xf numFmtId="0" fontId="0" fillId="18" borderId="0" xfId="0" applyFill="1" applyProtection="1">
      <protection hidden="1"/>
    </xf>
    <xf numFmtId="0" fontId="0" fillId="18" borderId="8" xfId="0" applyFill="1" applyBorder="1" applyProtection="1">
      <protection hidden="1"/>
    </xf>
    <xf numFmtId="0" fontId="0" fillId="18" borderId="7" xfId="0" applyFill="1" applyBorder="1" applyAlignment="1" applyProtection="1">
      <alignment horizontal="center"/>
      <protection hidden="1"/>
    </xf>
    <xf numFmtId="0" fontId="0" fillId="18" borderId="0" xfId="0" applyFill="1" applyAlignment="1" applyProtection="1">
      <alignment horizontal="center"/>
      <protection hidden="1"/>
    </xf>
    <xf numFmtId="164" fontId="0" fillId="3" borderId="19" xfId="0" applyNumberFormat="1" applyFill="1" applyBorder="1" applyAlignment="1" applyProtection="1">
      <alignment horizontal="center"/>
      <protection hidden="1"/>
    </xf>
    <xf numFmtId="0" fontId="0" fillId="13" borderId="1" xfId="0" applyFill="1" applyBorder="1" applyProtection="1">
      <protection hidden="1"/>
    </xf>
    <xf numFmtId="0" fontId="0" fillId="17" borderId="22" xfId="0" applyFill="1" applyBorder="1" applyAlignment="1" applyProtection="1">
      <alignment horizontal="right"/>
      <protection hidden="1"/>
    </xf>
    <xf numFmtId="0" fontId="0" fillId="2" borderId="21" xfId="0" applyFill="1" applyBorder="1" applyAlignment="1" applyProtection="1">
      <alignment horizontal="center"/>
      <protection hidden="1"/>
    </xf>
    <xf numFmtId="0" fontId="0" fillId="13" borderId="7" xfId="0" applyFill="1" applyBorder="1" applyProtection="1">
      <protection hidden="1"/>
    </xf>
    <xf numFmtId="1" fontId="0" fillId="13" borderId="0" xfId="0" applyNumberFormat="1" applyFill="1" applyAlignment="1" applyProtection="1">
      <alignment horizontal="center"/>
      <protection hidden="1"/>
    </xf>
    <xf numFmtId="1" fontId="0" fillId="13" borderId="1" xfId="0" applyNumberFormat="1" applyFill="1" applyBorder="1" applyAlignment="1" applyProtection="1">
      <alignment horizontal="center"/>
      <protection hidden="1"/>
    </xf>
    <xf numFmtId="0" fontId="0" fillId="13" borderId="48" xfId="0" applyFill="1" applyBorder="1" applyProtection="1">
      <protection hidden="1"/>
    </xf>
    <xf numFmtId="0" fontId="0" fillId="0" borderId="0" xfId="0" quotePrefix="1"/>
    <xf numFmtId="0" fontId="0" fillId="17" borderId="0" xfId="0" applyFill="1"/>
    <xf numFmtId="0" fontId="1" fillId="5" borderId="0" xfId="0" applyFont="1" applyFill="1"/>
    <xf numFmtId="0" fontId="0" fillId="13" borderId="22" xfId="0" applyFill="1" applyBorder="1" applyAlignment="1">
      <alignment horizontal="center"/>
    </xf>
    <xf numFmtId="0" fontId="0" fillId="19" borderId="0" xfId="0" applyFill="1" applyAlignment="1" applyProtection="1">
      <alignment horizontal="center"/>
      <protection locked="0"/>
    </xf>
    <xf numFmtId="0" fontId="1" fillId="19" borderId="0" xfId="0" applyFont="1" applyFill="1" applyAlignment="1" applyProtection="1">
      <alignment horizontal="center"/>
      <protection locked="0"/>
    </xf>
    <xf numFmtId="0" fontId="1" fillId="19" borderId="11" xfId="0" applyFont="1" applyFill="1" applyBorder="1" applyAlignment="1" applyProtection="1">
      <alignment horizontal="center"/>
      <protection locked="0"/>
    </xf>
    <xf numFmtId="0" fontId="0" fillId="19" borderId="11" xfId="0" applyFill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20" fillId="0" borderId="0" xfId="0" applyFont="1"/>
    <xf numFmtId="0" fontId="21" fillId="0" borderId="0" xfId="0" applyFont="1"/>
    <xf numFmtId="0" fontId="0" fillId="0" borderId="16" xfId="0" applyBorder="1"/>
    <xf numFmtId="0" fontId="0" fillId="0" borderId="0" xfId="0" quotePrefix="1" applyAlignment="1">
      <alignment horizontal="center"/>
    </xf>
    <xf numFmtId="0" fontId="2" fillId="0" borderId="7" xfId="0" applyFont="1" applyBorder="1" applyAlignment="1">
      <alignment horizontal="center"/>
    </xf>
    <xf numFmtId="0" fontId="1" fillId="3" borderId="0" xfId="0" applyFont="1" applyFill="1"/>
    <xf numFmtId="0" fontId="5" fillId="0" borderId="23" xfId="0" applyFont="1" applyBorder="1"/>
    <xf numFmtId="0" fontId="0" fillId="3" borderId="23" xfId="0" applyFill="1" applyBorder="1"/>
    <xf numFmtId="1" fontId="5" fillId="0" borderId="0" xfId="0" applyNumberFormat="1" applyFont="1"/>
    <xf numFmtId="0" fontId="5" fillId="0" borderId="0" xfId="0" applyFont="1" applyAlignment="1">
      <alignment textRotation="90"/>
    </xf>
    <xf numFmtId="0" fontId="2" fillId="0" borderId="0" xfId="0" applyFont="1" applyAlignment="1">
      <alignment textRotation="90"/>
    </xf>
    <xf numFmtId="2" fontId="0" fillId="2" borderId="0" xfId="0" applyNumberFormat="1" applyFill="1" applyAlignment="1" applyProtection="1">
      <alignment horizontal="center"/>
      <protection hidden="1"/>
    </xf>
    <xf numFmtId="2" fontId="0" fillId="2" borderId="0" xfId="0" applyNumberFormat="1" applyFill="1" applyAlignment="1">
      <alignment horizontal="center"/>
    </xf>
    <xf numFmtId="0" fontId="0" fillId="0" borderId="0" xfId="0" quotePrefix="1" applyAlignment="1">
      <alignment horizontal="left"/>
    </xf>
    <xf numFmtId="0" fontId="2" fillId="0" borderId="2" xfId="0" applyFont="1" applyBorder="1" applyAlignment="1">
      <alignment horizontal="center"/>
    </xf>
    <xf numFmtId="0" fontId="0" fillId="19" borderId="0" xfId="0" applyFill="1"/>
    <xf numFmtId="0" fontId="0" fillId="0" borderId="54" xfId="0" applyBorder="1"/>
    <xf numFmtId="0" fontId="0" fillId="0" borderId="54" xfId="0" applyBorder="1" applyAlignment="1">
      <alignment horizontal="center"/>
    </xf>
    <xf numFmtId="0" fontId="0" fillId="0" borderId="17" xfId="0" applyBorder="1"/>
    <xf numFmtId="0" fontId="0" fillId="2" borderId="21" xfId="0" applyFill="1" applyBorder="1" applyProtection="1">
      <protection hidden="1"/>
    </xf>
    <xf numFmtId="0" fontId="0" fillId="0" borderId="18" xfId="0" applyBorder="1"/>
    <xf numFmtId="0" fontId="6" fillId="0" borderId="15" xfId="0" applyFont="1" applyBorder="1"/>
    <xf numFmtId="0" fontId="6" fillId="0" borderId="54" xfId="0" applyFont="1" applyBorder="1"/>
    <xf numFmtId="0" fontId="0" fillId="3" borderId="16" xfId="0" applyFill="1" applyBorder="1"/>
    <xf numFmtId="0" fontId="0" fillId="17" borderId="6" xfId="0" applyFill="1" applyBorder="1" applyProtection="1">
      <protection hidden="1"/>
    </xf>
    <xf numFmtId="0" fontId="0" fillId="17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0" fillId="13" borderId="15" xfId="0" applyFill="1" applyBorder="1"/>
    <xf numFmtId="0" fontId="0" fillId="13" borderId="26" xfId="0" applyFill="1" applyBorder="1"/>
    <xf numFmtId="1" fontId="0" fillId="13" borderId="9" xfId="0" applyNumberFormat="1" applyFill="1" applyBorder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/>
      <protection hidden="1"/>
    </xf>
    <xf numFmtId="0" fontId="0" fillId="13" borderId="13" xfId="0" applyFill="1" applyBorder="1"/>
    <xf numFmtId="0" fontId="0" fillId="13" borderId="23" xfId="0" applyFill="1" applyBorder="1" applyProtection="1">
      <protection hidden="1"/>
    </xf>
    <xf numFmtId="0" fontId="0" fillId="13" borderId="13" xfId="0" applyFill="1" applyBorder="1" applyProtection="1">
      <protection hidden="1"/>
    </xf>
    <xf numFmtId="0" fontId="0" fillId="13" borderId="26" xfId="0" applyFill="1" applyBorder="1" applyProtection="1">
      <protection hidden="1"/>
    </xf>
    <xf numFmtId="0" fontId="0" fillId="13" borderId="55" xfId="0" applyFill="1" applyBorder="1" applyProtection="1">
      <protection hidden="1"/>
    </xf>
    <xf numFmtId="0" fontId="0" fillId="13" borderId="55" xfId="0" applyFill="1" applyBorder="1" applyAlignment="1" applyProtection="1">
      <alignment horizontal="center"/>
      <protection hidden="1"/>
    </xf>
    <xf numFmtId="0" fontId="0" fillId="13" borderId="15" xfId="0" applyFill="1" applyBorder="1" applyProtection="1">
      <protection hidden="1"/>
    </xf>
    <xf numFmtId="0" fontId="0" fillId="13" borderId="16" xfId="0" applyFill="1" applyBorder="1" applyAlignment="1" applyProtection="1">
      <alignment horizontal="center"/>
      <protection hidden="1"/>
    </xf>
    <xf numFmtId="0" fontId="0" fillId="13" borderId="30" xfId="0" applyFill="1" applyBorder="1" applyProtection="1"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56" xfId="0" applyNumberFormat="1" applyFill="1" applyBorder="1" applyAlignment="1" applyProtection="1">
      <alignment horizontal="center"/>
      <protection hidden="1"/>
    </xf>
    <xf numFmtId="0" fontId="0" fillId="13" borderId="57" xfId="0" applyFill="1" applyBorder="1" applyProtection="1">
      <protection hidden="1"/>
    </xf>
    <xf numFmtId="0" fontId="0" fillId="13" borderId="29" xfId="0" applyFill="1" applyBorder="1" applyProtection="1"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0" fontId="0" fillId="13" borderId="16" xfId="0" applyFill="1" applyBorder="1" applyProtection="1">
      <protection hidden="1"/>
    </xf>
    <xf numFmtId="0" fontId="0" fillId="13" borderId="56" xfId="0" applyFill="1" applyBorder="1" applyProtection="1">
      <protection hidden="1"/>
    </xf>
    <xf numFmtId="0" fontId="0" fillId="13" borderId="58" xfId="0" applyFill="1" applyBorder="1" applyProtection="1">
      <protection hidden="1"/>
    </xf>
    <xf numFmtId="1" fontId="3" fillId="13" borderId="0" xfId="0" applyNumberFormat="1" applyFont="1" applyFill="1" applyAlignment="1" applyProtection="1">
      <alignment horizontal="center"/>
      <protection hidden="1"/>
    </xf>
    <xf numFmtId="1" fontId="3" fillId="13" borderId="16" xfId="0" applyNumberFormat="1" applyFont="1" applyFill="1" applyBorder="1" applyAlignment="1" applyProtection="1">
      <alignment horizontal="center"/>
      <protection hidden="1"/>
    </xf>
    <xf numFmtId="0" fontId="6" fillId="13" borderId="17" xfId="0" applyFont="1" applyFill="1" applyBorder="1" applyProtection="1">
      <protection hidden="1"/>
    </xf>
    <xf numFmtId="1" fontId="6" fillId="3" borderId="23" xfId="0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Protection="1">
      <protection hidden="1"/>
    </xf>
    <xf numFmtId="0" fontId="0" fillId="17" borderId="26" xfId="0" applyFill="1" applyBorder="1" applyProtection="1">
      <protection hidden="1"/>
    </xf>
    <xf numFmtId="1" fontId="6" fillId="17" borderId="26" xfId="0" applyNumberFormat="1" applyFont="1" applyFill="1" applyBorder="1" applyAlignment="1" applyProtection="1">
      <alignment horizontal="center"/>
      <protection hidden="1"/>
    </xf>
    <xf numFmtId="1" fontId="6" fillId="17" borderId="59" xfId="0" applyNumberFormat="1" applyFont="1" applyFill="1" applyBorder="1" applyAlignment="1" applyProtection="1">
      <alignment horizontal="center"/>
      <protection hidden="1"/>
    </xf>
    <xf numFmtId="0" fontId="4" fillId="17" borderId="8" xfId="0" applyFont="1" applyFill="1" applyBorder="1"/>
    <xf numFmtId="0" fontId="0" fillId="17" borderId="1" xfId="0" applyFill="1" applyBorder="1"/>
    <xf numFmtId="0" fontId="4" fillId="17" borderId="1" xfId="0" applyFont="1" applyFill="1" applyBorder="1"/>
    <xf numFmtId="0" fontId="4" fillId="17" borderId="5" xfId="0" applyFont="1" applyFill="1" applyBorder="1"/>
    <xf numFmtId="0" fontId="4" fillId="17" borderId="0" xfId="0" applyFont="1" applyFill="1"/>
    <xf numFmtId="0" fontId="0" fillId="18" borderId="8" xfId="0" applyFill="1" applyBorder="1" applyAlignment="1" applyProtection="1">
      <alignment horizontal="center"/>
      <protection hidden="1"/>
    </xf>
    <xf numFmtId="0" fontId="0" fillId="4" borderId="1" xfId="0" applyFill="1" applyBorder="1" applyProtection="1">
      <protection hidden="1"/>
    </xf>
    <xf numFmtId="0" fontId="6" fillId="13" borderId="26" xfId="0" applyFont="1" applyFill="1" applyBorder="1" applyAlignment="1">
      <alignment horizontal="center"/>
    </xf>
    <xf numFmtId="0" fontId="0" fillId="13" borderId="60" xfId="0" applyFill="1" applyBorder="1"/>
    <xf numFmtId="0" fontId="23" fillId="13" borderId="9" xfId="0" applyFont="1" applyFill="1" applyBorder="1" applyProtection="1">
      <protection hidden="1"/>
    </xf>
    <xf numFmtId="0" fontId="23" fillId="13" borderId="62" xfId="0" applyFont="1" applyFill="1" applyBorder="1" applyProtection="1">
      <protection hidden="1"/>
    </xf>
    <xf numFmtId="1" fontId="23" fillId="17" borderId="26" xfId="0" applyNumberFormat="1" applyFont="1" applyFill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textRotation="90"/>
      <protection hidden="1"/>
    </xf>
    <xf numFmtId="0" fontId="6" fillId="13" borderId="0" xfId="0" applyFont="1" applyFill="1"/>
    <xf numFmtId="0" fontId="0" fillId="2" borderId="46" xfId="0" applyFill="1" applyBorder="1" applyProtection="1">
      <protection hidden="1"/>
    </xf>
    <xf numFmtId="0" fontId="0" fillId="17" borderId="1" xfId="0" applyFill="1" applyBorder="1" applyAlignment="1">
      <alignment horizontal="left"/>
    </xf>
    <xf numFmtId="0" fontId="0" fillId="13" borderId="12" xfId="0" applyFill="1" applyBorder="1" applyProtection="1">
      <protection hidden="1"/>
    </xf>
    <xf numFmtId="0" fontId="0" fillId="13" borderId="4" xfId="0" applyFill="1" applyBorder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locked="0"/>
    </xf>
    <xf numFmtId="0" fontId="0" fillId="19" borderId="0" xfId="0" applyFill="1" applyAlignment="1">
      <alignment horizontal="center"/>
    </xf>
    <xf numFmtId="0" fontId="0" fillId="2" borderId="20" xfId="0" applyFill="1" applyBorder="1" applyAlignment="1" applyProtection="1">
      <alignment horizontal="center"/>
      <protection locked="0"/>
    </xf>
    <xf numFmtId="0" fontId="0" fillId="13" borderId="5" xfId="0" applyFill="1" applyBorder="1"/>
    <xf numFmtId="0" fontId="0" fillId="13" borderId="9" xfId="0" applyFill="1" applyBorder="1" applyAlignment="1" applyProtection="1">
      <alignment horizontal="center"/>
      <protection hidden="1"/>
    </xf>
    <xf numFmtId="0" fontId="0" fillId="4" borderId="20" xfId="0" applyFill="1" applyBorder="1" applyProtection="1">
      <protection hidden="1"/>
    </xf>
    <xf numFmtId="0" fontId="0" fillId="13" borderId="20" xfId="0" applyFill="1" applyBorder="1" applyProtection="1">
      <protection hidden="1"/>
    </xf>
    <xf numFmtId="0" fontId="0" fillId="13" borderId="71" xfId="0" applyFill="1" applyBorder="1"/>
    <xf numFmtId="0" fontId="0" fillId="13" borderId="29" xfId="0" applyFill="1" applyBorder="1"/>
    <xf numFmtId="0" fontId="3" fillId="13" borderId="0" xfId="0" applyFont="1" applyFill="1" applyAlignment="1">
      <alignment wrapText="1"/>
    </xf>
    <xf numFmtId="0" fontId="4" fillId="13" borderId="7" xfId="0" applyFont="1" applyFill="1" applyBorder="1"/>
    <xf numFmtId="0" fontId="4" fillId="13" borderId="20" xfId="0" applyFont="1" applyFill="1" applyBorder="1"/>
    <xf numFmtId="0" fontId="0" fillId="2" borderId="22" xfId="0" applyFill="1" applyBorder="1" applyAlignment="1" applyProtection="1">
      <alignment horizontal="center"/>
      <protection hidden="1"/>
    </xf>
    <xf numFmtId="0" fontId="15" fillId="17" borderId="46" xfId="0" applyFont="1" applyFill="1" applyBorder="1" applyAlignment="1" applyProtection="1">
      <alignment horizontal="center"/>
      <protection hidden="1"/>
    </xf>
    <xf numFmtId="1" fontId="15" fillId="13" borderId="9" xfId="0" applyNumberFormat="1" applyFont="1" applyFill="1" applyBorder="1" applyAlignment="1" applyProtection="1">
      <alignment horizontal="center"/>
      <protection hidden="1"/>
    </xf>
    <xf numFmtId="1" fontId="6" fillId="13" borderId="9" xfId="0" applyNumberFormat="1" applyFont="1" applyFill="1" applyBorder="1" applyAlignment="1" applyProtection="1">
      <alignment horizontal="center"/>
      <protection hidden="1"/>
    </xf>
    <xf numFmtId="0" fontId="0" fillId="13" borderId="8" xfId="0" applyFill="1" applyBorder="1"/>
    <xf numFmtId="0" fontId="2" fillId="13" borderId="0" xfId="0" applyFont="1" applyFill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 wrapText="1"/>
      <protection hidden="1"/>
    </xf>
    <xf numFmtId="0" fontId="4" fillId="13" borderId="0" xfId="0" applyFont="1" applyFill="1" applyProtection="1">
      <protection hidden="1"/>
    </xf>
    <xf numFmtId="0" fontId="1" fillId="13" borderId="0" xfId="0" applyFont="1" applyFill="1" applyAlignment="1" applyProtection="1">
      <alignment horizontal="center"/>
      <protection hidden="1"/>
    </xf>
    <xf numFmtId="0" fontId="1" fillId="13" borderId="0" xfId="0" applyFont="1" applyFill="1" applyProtection="1">
      <protection hidden="1"/>
    </xf>
    <xf numFmtId="0" fontId="0" fillId="13" borderId="16" xfId="0" applyFill="1" applyBorder="1" applyAlignment="1" applyProtection="1">
      <alignment horizontal="center" wrapText="1"/>
      <protection hidden="1"/>
    </xf>
    <xf numFmtId="0" fontId="19" fillId="13" borderId="0" xfId="0" applyFont="1" applyFill="1" applyAlignment="1" applyProtection="1">
      <alignment horizontal="center"/>
      <protection hidden="1"/>
    </xf>
    <xf numFmtId="0" fontId="4" fillId="13" borderId="0" xfId="0" applyFont="1" applyFill="1" applyAlignment="1" applyProtection="1">
      <alignment horizontal="left"/>
      <protection hidden="1"/>
    </xf>
    <xf numFmtId="0" fontId="18" fillId="13" borderId="12" xfId="0" applyFont="1" applyFill="1" applyBorder="1" applyProtection="1">
      <protection hidden="1"/>
    </xf>
    <xf numFmtId="0" fontId="0" fillId="13" borderId="0" xfId="0" quotePrefix="1" applyFill="1" applyAlignment="1" applyProtection="1">
      <alignment horizontal="center"/>
      <protection hidden="1"/>
    </xf>
    <xf numFmtId="0" fontId="18" fillId="13" borderId="0" xfId="0" applyFont="1" applyFill="1" applyProtection="1">
      <protection hidden="1"/>
    </xf>
    <xf numFmtId="0" fontId="0" fillId="13" borderId="1" xfId="0" quotePrefix="1" applyFill="1" applyBorder="1" applyAlignment="1" applyProtection="1">
      <alignment horizontal="center"/>
      <protection hidden="1"/>
    </xf>
    <xf numFmtId="0" fontId="4" fillId="13" borderId="29" xfId="0" applyFont="1" applyFill="1" applyBorder="1" applyProtection="1">
      <protection hidden="1"/>
    </xf>
    <xf numFmtId="0" fontId="4" fillId="13" borderId="9" xfId="0" applyFont="1" applyFill="1" applyBorder="1" applyProtection="1">
      <protection hidden="1"/>
    </xf>
    <xf numFmtId="0" fontId="0" fillId="13" borderId="30" xfId="0" applyFill="1" applyBorder="1" applyAlignment="1" applyProtection="1">
      <alignment horizontal="center"/>
      <protection hidden="1"/>
    </xf>
    <xf numFmtId="0" fontId="4" fillId="13" borderId="17" xfId="0" applyFont="1" applyFill="1" applyBorder="1" applyProtection="1">
      <protection hidden="1"/>
    </xf>
    <xf numFmtId="0" fontId="29" fillId="13" borderId="23" xfId="0" applyFont="1" applyFill="1" applyBorder="1" applyAlignment="1" applyProtection="1">
      <alignment horizontal="left"/>
      <protection hidden="1"/>
    </xf>
    <xf numFmtId="0" fontId="0" fillId="13" borderId="23" xfId="0" applyFill="1" applyBorder="1" applyAlignment="1" applyProtection="1">
      <alignment horizontal="center"/>
      <protection hidden="1"/>
    </xf>
    <xf numFmtId="0" fontId="0" fillId="13" borderId="18" xfId="0" applyFill="1" applyBorder="1" applyAlignment="1" applyProtection="1">
      <alignment horizontal="center"/>
      <protection hidden="1"/>
    </xf>
    <xf numFmtId="0" fontId="35" fillId="13" borderId="9" xfId="0" quotePrefix="1" applyFont="1" applyFill="1" applyBorder="1" applyAlignment="1" applyProtection="1">
      <alignment horizontal="center"/>
      <protection hidden="1"/>
    </xf>
    <xf numFmtId="0" fontId="35" fillId="13" borderId="4" xfId="0" applyFont="1" applyFill="1" applyBorder="1" applyAlignment="1" applyProtection="1">
      <alignment horizontal="center"/>
      <protection hidden="1"/>
    </xf>
    <xf numFmtId="0" fontId="35" fillId="13" borderId="0" xfId="0" applyFont="1" applyFill="1" applyAlignment="1" applyProtection="1">
      <alignment horizontal="center"/>
      <protection hidden="1"/>
    </xf>
    <xf numFmtId="0" fontId="35" fillId="13" borderId="8" xfId="0" applyFont="1" applyFill="1" applyBorder="1" applyAlignment="1" applyProtection="1">
      <alignment horizontal="center"/>
      <protection hidden="1"/>
    </xf>
    <xf numFmtId="0" fontId="35" fillId="13" borderId="1" xfId="0" applyFont="1" applyFill="1" applyBorder="1" applyAlignment="1" applyProtection="1">
      <alignment horizontal="center"/>
      <protection hidden="1"/>
    </xf>
    <xf numFmtId="0" fontId="35" fillId="13" borderId="5" xfId="0" applyFont="1" applyFill="1" applyBorder="1" applyAlignment="1" applyProtection="1">
      <alignment horizontal="center"/>
      <protection hidden="1"/>
    </xf>
    <xf numFmtId="0" fontId="0" fillId="13" borderId="64" xfId="0" applyFill="1" applyBorder="1" applyAlignment="1" applyProtection="1">
      <alignment horizontal="center"/>
      <protection hidden="1"/>
    </xf>
    <xf numFmtId="0" fontId="0" fillId="13" borderId="64" xfId="0" applyFill="1" applyBorder="1" applyProtection="1">
      <protection hidden="1"/>
    </xf>
    <xf numFmtId="0" fontId="0" fillId="13" borderId="64" xfId="0" applyFill="1" applyBorder="1" applyAlignment="1" applyProtection="1">
      <alignment horizontal="right"/>
      <protection hidden="1"/>
    </xf>
    <xf numFmtId="0" fontId="0" fillId="13" borderId="28" xfId="0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 applyProtection="1">
      <alignment horizontal="center"/>
      <protection hidden="1"/>
    </xf>
    <xf numFmtId="0" fontId="1" fillId="13" borderId="19" xfId="0" applyFont="1" applyFill="1" applyBorder="1" applyProtection="1">
      <protection hidden="1"/>
    </xf>
    <xf numFmtId="0" fontId="1" fillId="13" borderId="21" xfId="0" applyFont="1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>
      <alignment horizontal="center"/>
    </xf>
    <xf numFmtId="0" fontId="0" fillId="13" borderId="61" xfId="0" applyFill="1" applyBorder="1" applyAlignment="1" applyProtection="1">
      <alignment horizontal="center"/>
      <protection hidden="1"/>
    </xf>
    <xf numFmtId="0" fontId="0" fillId="13" borderId="60" xfId="0" applyFill="1" applyBorder="1" applyProtection="1">
      <protection locked="0"/>
    </xf>
    <xf numFmtId="0" fontId="0" fillId="2" borderId="0" xfId="0" applyFill="1" applyAlignment="1">
      <alignment wrapText="1"/>
    </xf>
    <xf numFmtId="1" fontId="30" fillId="17" borderId="1" xfId="0" applyNumberFormat="1" applyFont="1" applyFill="1" applyBorder="1" applyAlignment="1">
      <alignment horizontal="center"/>
    </xf>
    <xf numFmtId="0" fontId="0" fillId="17" borderId="0" xfId="0" applyFill="1" applyAlignment="1" applyProtection="1">
      <alignment horizontal="left"/>
      <protection hidden="1"/>
    </xf>
    <xf numFmtId="2" fontId="35" fillId="13" borderId="0" xfId="0" applyNumberFormat="1" applyFont="1" applyFill="1"/>
    <xf numFmtId="1" fontId="27" fillId="13" borderId="0" xfId="0" applyNumberFormat="1" applyFont="1" applyFill="1" applyAlignment="1" applyProtection="1">
      <alignment horizontal="center"/>
      <protection hidden="1"/>
    </xf>
    <xf numFmtId="0" fontId="0" fillId="3" borderId="11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8" xfId="0" applyFont="1" applyBorder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0" fillId="5" borderId="1" xfId="0" applyFill="1" applyBorder="1"/>
    <xf numFmtId="0" fontId="0" fillId="21" borderId="0" xfId="0" applyFill="1"/>
    <xf numFmtId="0" fontId="0" fillId="21" borderId="0" xfId="0" applyFill="1" applyAlignment="1">
      <alignment horizontal="center"/>
    </xf>
    <xf numFmtId="1" fontId="0" fillId="21" borderId="0" xfId="0" applyNumberFormat="1" applyFill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1" fillId="23" borderId="0" xfId="0" applyFont="1" applyFill="1" applyAlignment="1" applyProtection="1">
      <alignment horizontal="center"/>
      <protection locked="0"/>
    </xf>
    <xf numFmtId="0" fontId="0" fillId="23" borderId="0" xfId="0" applyFill="1" applyAlignment="1">
      <alignment horizontal="center"/>
    </xf>
    <xf numFmtId="0" fontId="0" fillId="0" borderId="55" xfId="0" applyBorder="1"/>
    <xf numFmtId="0" fontId="3" fillId="5" borderId="0" xfId="0" applyFont="1" applyFill="1"/>
    <xf numFmtId="0" fontId="38" fillId="5" borderId="0" xfId="0" applyFont="1" applyFill="1"/>
    <xf numFmtId="0" fontId="39" fillId="0" borderId="12" xfId="0" applyFont="1" applyBorder="1"/>
    <xf numFmtId="0" fontId="0" fillId="25" borderId="8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25" borderId="5" xfId="0" applyFill="1" applyBorder="1" applyAlignment="1">
      <alignment horizontal="center"/>
    </xf>
    <xf numFmtId="0" fontId="3" fillId="0" borderId="7" xfId="0" applyFont="1" applyBorder="1"/>
    <xf numFmtId="0" fontId="0" fillId="26" borderId="0" xfId="0" applyFill="1"/>
    <xf numFmtId="0" fontId="0" fillId="17" borderId="0" xfId="0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locked="0"/>
    </xf>
    <xf numFmtId="0" fontId="0" fillId="18" borderId="1" xfId="0" applyFill="1" applyBorder="1" applyAlignment="1" applyProtection="1">
      <alignment horizontal="center"/>
      <protection hidden="1"/>
    </xf>
    <xf numFmtId="0" fontId="0" fillId="28" borderId="0" xfId="0" applyFill="1" applyProtection="1">
      <protection hidden="1"/>
    </xf>
    <xf numFmtId="0" fontId="0" fillId="28" borderId="0" xfId="0" applyFill="1"/>
    <xf numFmtId="0" fontId="0" fillId="29" borderId="0" xfId="0" applyFill="1"/>
    <xf numFmtId="0" fontId="2" fillId="17" borderId="0" xfId="0" applyFont="1" applyFill="1" applyAlignment="1" applyProtection="1">
      <alignment horizontal="center"/>
      <protection hidden="1"/>
    </xf>
    <xf numFmtId="0" fontId="2" fillId="18" borderId="0" xfId="0" applyFont="1" applyFill="1" applyAlignment="1" applyProtection="1">
      <alignment horizontal="center"/>
      <protection hidden="1"/>
    </xf>
    <xf numFmtId="0" fontId="0" fillId="29" borderId="0" xfId="0" applyFill="1" applyProtection="1">
      <protection hidden="1"/>
    </xf>
    <xf numFmtId="0" fontId="0" fillId="17" borderId="7" xfId="0" applyFill="1" applyBorder="1" applyProtection="1">
      <protection hidden="1"/>
    </xf>
    <xf numFmtId="0" fontId="0" fillId="29" borderId="1" xfId="0" applyFill="1" applyBorder="1" applyProtection="1">
      <protection hidden="1"/>
    </xf>
    <xf numFmtId="0" fontId="2" fillId="17" borderId="8" xfId="0" applyFont="1" applyFill="1" applyBorder="1" applyAlignment="1" applyProtection="1">
      <alignment horizontal="center"/>
      <protection hidden="1"/>
    </xf>
    <xf numFmtId="0" fontId="3" fillId="17" borderId="0" xfId="0" applyFont="1" applyFill="1" applyAlignment="1" applyProtection="1">
      <alignment horizontal="center"/>
      <protection hidden="1"/>
    </xf>
    <xf numFmtId="0" fontId="6" fillId="4" borderId="0" xfId="0" applyFont="1" applyFill="1" applyAlignment="1" applyProtection="1">
      <alignment horizontal="center"/>
      <protection locked="0"/>
    </xf>
    <xf numFmtId="164" fontId="2" fillId="2" borderId="0" xfId="0" applyNumberFormat="1" applyFont="1" applyFill="1" applyAlignment="1" applyProtection="1">
      <alignment horizontal="center"/>
      <protection hidden="1"/>
    </xf>
    <xf numFmtId="0" fontId="31" fillId="28" borderId="0" xfId="0" applyFont="1" applyFill="1" applyAlignment="1">
      <alignment horizontal="left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/>
    <xf numFmtId="0" fontId="0" fillId="18" borderId="7" xfId="0" applyFill="1" applyBorder="1" applyProtection="1">
      <protection hidden="1"/>
    </xf>
    <xf numFmtId="0" fontId="3" fillId="28" borderId="0" xfId="0" applyFont="1" applyFill="1"/>
    <xf numFmtId="0" fontId="0" fillId="28" borderId="1" xfId="0" applyFill="1" applyBorder="1"/>
    <xf numFmtId="0" fontId="0" fillId="2" borderId="1" xfId="0" applyFill="1" applyBorder="1" applyAlignment="1" applyProtection="1">
      <alignment horizontal="center"/>
      <protection hidden="1"/>
    </xf>
    <xf numFmtId="0" fontId="16" fillId="29" borderId="1" xfId="0" applyFont="1" applyFill="1" applyBorder="1" applyAlignment="1" applyProtection="1">
      <alignment horizontal="center" vertical="center"/>
      <protection hidden="1"/>
    </xf>
    <xf numFmtId="0" fontId="6" fillId="30" borderId="12" xfId="0" applyFont="1" applyFill="1" applyBorder="1" applyProtection="1">
      <protection hidden="1"/>
    </xf>
    <xf numFmtId="0" fontId="0" fillId="30" borderId="9" xfId="0" applyFill="1" applyBorder="1" applyProtection="1">
      <protection hidden="1"/>
    </xf>
    <xf numFmtId="0" fontId="0" fillId="30" borderId="9" xfId="0" applyFill="1" applyBorder="1"/>
    <xf numFmtId="0" fontId="6" fillId="30" borderId="9" xfId="0" applyFont="1" applyFill="1" applyBorder="1" applyProtection="1">
      <protection hidden="1"/>
    </xf>
    <xf numFmtId="0" fontId="0" fillId="30" borderId="4" xfId="0" applyFill="1" applyBorder="1"/>
    <xf numFmtId="0" fontId="0" fillId="30" borderId="4" xfId="0" applyFill="1" applyBorder="1" applyProtection="1">
      <protection hidden="1"/>
    </xf>
    <xf numFmtId="0" fontId="6" fillId="30" borderId="12" xfId="0" applyFont="1" applyFill="1" applyBorder="1"/>
    <xf numFmtId="0" fontId="31" fillId="13" borderId="20" xfId="0" applyFont="1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29" borderId="5" xfId="0" applyFill="1" applyBorder="1" applyAlignment="1" applyProtection="1">
      <alignment horizontal="center"/>
      <protection locked="0"/>
    </xf>
    <xf numFmtId="0" fontId="38" fillId="0" borderId="0" xfId="0" applyFont="1"/>
    <xf numFmtId="0" fontId="38" fillId="0" borderId="0" xfId="0" applyFont="1" applyAlignment="1">
      <alignment horizontal="center" wrapText="1"/>
    </xf>
    <xf numFmtId="0" fontId="3" fillId="2" borderId="5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3" fillId="0" borderId="12" xfId="0" applyFont="1" applyBorder="1" applyProtection="1">
      <protection hidden="1"/>
    </xf>
    <xf numFmtId="0" fontId="0" fillId="31" borderId="0" xfId="0" applyFill="1" applyAlignment="1">
      <alignment horizontal="center"/>
    </xf>
    <xf numFmtId="0" fontId="31" fillId="23" borderId="0" xfId="0" applyFont="1" applyFill="1" applyProtection="1">
      <protection hidden="1"/>
    </xf>
    <xf numFmtId="0" fontId="0" fillId="13" borderId="4" xfId="0" applyFill="1" applyBorder="1" applyProtection="1">
      <protection hidden="1"/>
    </xf>
    <xf numFmtId="0" fontId="31" fillId="13" borderId="20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13" borderId="1" xfId="0" applyFont="1" applyFill="1" applyBorder="1" applyAlignment="1" applyProtection="1">
      <alignment vertical="center"/>
      <protection hidden="1"/>
    </xf>
    <xf numFmtId="0" fontId="3" fillId="0" borderId="10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/>
    <xf numFmtId="0" fontId="31" fillId="0" borderId="20" xfId="0" applyFont="1" applyBorder="1" applyAlignment="1">
      <alignment horizontal="center"/>
    </xf>
    <xf numFmtId="0" fontId="31" fillId="0" borderId="5" xfId="0" applyFont="1" applyBorder="1"/>
    <xf numFmtId="0" fontId="3" fillId="0" borderId="0" xfId="0" applyFont="1" applyAlignment="1" applyProtection="1">
      <alignment wrapText="1"/>
      <protection hidden="1"/>
    </xf>
    <xf numFmtId="0" fontId="0" fillId="5" borderId="19" xfId="0" applyFill="1" applyBorder="1" applyAlignment="1" applyProtection="1">
      <alignment wrapText="1"/>
      <protection hidden="1"/>
    </xf>
    <xf numFmtId="0" fontId="0" fillId="5" borderId="19" xfId="0" applyFill="1" applyBorder="1" applyProtection="1">
      <protection hidden="1"/>
    </xf>
    <xf numFmtId="0" fontId="0" fillId="5" borderId="19" xfId="0" applyFill="1" applyBorder="1"/>
    <xf numFmtId="0" fontId="0" fillId="5" borderId="19" xfId="0" applyFill="1" applyBorder="1" applyAlignment="1">
      <alignment wrapText="1"/>
    </xf>
    <xf numFmtId="0" fontId="3" fillId="5" borderId="19" xfId="0" applyFont="1" applyFill="1" applyBorder="1" applyAlignment="1" applyProtection="1">
      <alignment wrapText="1"/>
      <protection hidden="1"/>
    </xf>
    <xf numFmtId="0" fontId="3" fillId="5" borderId="19" xfId="0" applyFont="1" applyFill="1" applyBorder="1" applyProtection="1">
      <protection hidden="1"/>
    </xf>
    <xf numFmtId="0" fontId="3" fillId="5" borderId="19" xfId="0" applyFont="1" applyFill="1" applyBorder="1" applyAlignment="1">
      <alignment wrapText="1"/>
    </xf>
    <xf numFmtId="0" fontId="38" fillId="0" borderId="19" xfId="0" applyFont="1" applyBorder="1" applyAlignment="1" applyProtection="1">
      <alignment wrapText="1"/>
      <protection hidden="1"/>
    </xf>
    <xf numFmtId="0" fontId="0" fillId="0" borderId="19" xfId="0" applyBorder="1" applyAlignment="1">
      <alignment wrapText="1"/>
    </xf>
    <xf numFmtId="0" fontId="0" fillId="5" borderId="22" xfId="0" applyFill="1" applyBorder="1" applyAlignment="1" applyProtection="1">
      <alignment vertical="center"/>
      <protection hidden="1"/>
    </xf>
    <xf numFmtId="0" fontId="3" fillId="0" borderId="11" xfId="0" applyFont="1" applyBorder="1" applyAlignment="1">
      <alignment horizontal="center"/>
    </xf>
    <xf numFmtId="0" fontId="31" fillId="29" borderId="0" xfId="0" applyFont="1" applyFill="1" applyAlignment="1" applyProtection="1">
      <alignment horizontal="center"/>
      <protection locked="0" hidden="1"/>
    </xf>
    <xf numFmtId="0" fontId="42" fillId="29" borderId="1" xfId="0" applyFont="1" applyFill="1" applyBorder="1" applyProtection="1">
      <protection hidden="1"/>
    </xf>
    <xf numFmtId="0" fontId="0" fillId="29" borderId="0" xfId="0" applyFill="1" applyAlignment="1" applyProtection="1">
      <alignment horizontal="center"/>
      <protection hidden="1"/>
    </xf>
    <xf numFmtId="0" fontId="0" fillId="29" borderId="1" xfId="0" applyFill="1" applyBorder="1" applyAlignment="1" applyProtection="1">
      <alignment horizontal="center"/>
      <protection hidden="1"/>
    </xf>
    <xf numFmtId="0" fontId="0" fillId="30" borderId="9" xfId="0" applyFill="1" applyBorder="1" applyAlignment="1" applyProtection="1">
      <alignment horizontal="center"/>
      <protection hidden="1"/>
    </xf>
    <xf numFmtId="0" fontId="1" fillId="28" borderId="6" xfId="0" applyFont="1" applyFill="1" applyBorder="1" applyAlignment="1">
      <alignment horizontal="center"/>
    </xf>
    <xf numFmtId="0" fontId="1" fillId="0" borderId="8" xfId="0" applyFont="1" applyBorder="1"/>
    <xf numFmtId="0" fontId="1" fillId="0" borderId="5" xfId="0" applyFont="1" applyBorder="1"/>
    <xf numFmtId="0" fontId="1" fillId="0" borderId="10" xfId="0" applyFont="1" applyBorder="1" applyAlignment="1">
      <alignment horizontal="center"/>
    </xf>
    <xf numFmtId="164" fontId="44" fillId="5" borderId="8" xfId="0" applyNumberFormat="1" applyFont="1" applyFill="1" applyBorder="1" applyAlignment="1">
      <alignment horizontal="center"/>
    </xf>
    <xf numFmtId="164" fontId="44" fillId="0" borderId="7" xfId="0" applyNumberFormat="1" applyFont="1" applyBorder="1" applyAlignment="1">
      <alignment horizontal="center"/>
    </xf>
    <xf numFmtId="164" fontId="44" fillId="0" borderId="0" xfId="0" applyNumberFormat="1" applyFont="1" applyAlignment="1">
      <alignment horizontal="center"/>
    </xf>
    <xf numFmtId="164" fontId="44" fillId="3" borderId="8" xfId="0" applyNumberFormat="1" applyFont="1" applyFill="1" applyBorder="1" applyAlignment="1">
      <alignment horizontal="center"/>
    </xf>
    <xf numFmtId="164" fontId="44" fillId="5" borderId="7" xfId="0" quotePrefix="1" applyNumberFormat="1" applyFont="1" applyFill="1" applyBorder="1" applyAlignment="1">
      <alignment horizontal="center"/>
    </xf>
    <xf numFmtId="164" fontId="44" fillId="5" borderId="7" xfId="0" applyNumberFormat="1" applyFont="1" applyFill="1" applyBorder="1" applyAlignment="1">
      <alignment horizontal="center"/>
    </xf>
    <xf numFmtId="164" fontId="44" fillId="5" borderId="0" xfId="0" applyNumberFormat="1" applyFont="1" applyFill="1" applyAlignment="1">
      <alignment horizontal="center"/>
    </xf>
    <xf numFmtId="164" fontId="44" fillId="22" borderId="8" xfId="0" applyNumberFormat="1" applyFont="1" applyFill="1" applyBorder="1" applyAlignment="1">
      <alignment horizontal="center"/>
    </xf>
    <xf numFmtId="164" fontId="44" fillId="25" borderId="8" xfId="0" applyNumberFormat="1" applyFont="1" applyFill="1" applyBorder="1" applyAlignment="1">
      <alignment horizontal="center"/>
    </xf>
    <xf numFmtId="164" fontId="44" fillId="5" borderId="23" xfId="0" applyNumberFormat="1" applyFont="1" applyFill="1" applyBorder="1" applyAlignment="1">
      <alignment horizontal="center" wrapText="1"/>
    </xf>
    <xf numFmtId="164" fontId="44" fillId="5" borderId="33" xfId="0" applyNumberFormat="1" applyFont="1" applyFill="1" applyBorder="1" applyAlignment="1">
      <alignment horizontal="center"/>
    </xf>
    <xf numFmtId="0" fontId="44" fillId="5" borderId="0" xfId="0" applyFont="1" applyFill="1" applyAlignment="1">
      <alignment wrapText="1"/>
    </xf>
    <xf numFmtId="0" fontId="44" fillId="5" borderId="0" xfId="0" applyFont="1" applyFill="1"/>
    <xf numFmtId="0" fontId="44" fillId="0" borderId="0" xfId="0" applyFont="1" applyAlignment="1">
      <alignment wrapText="1"/>
    </xf>
    <xf numFmtId="0" fontId="44" fillId="0" borderId="0" xfId="0" applyFont="1"/>
    <xf numFmtId="0" fontId="45" fillId="0" borderId="0" xfId="0" applyFont="1"/>
    <xf numFmtId="0" fontId="44" fillId="0" borderId="0" xfId="0" applyFont="1" applyAlignment="1">
      <alignment horizontal="left" wrapText="1"/>
    </xf>
    <xf numFmtId="0" fontId="44" fillId="5" borderId="46" xfId="0" applyFont="1" applyFill="1" applyBorder="1" applyAlignment="1">
      <alignment wrapText="1"/>
    </xf>
    <xf numFmtId="0" fontId="45" fillId="5" borderId="0" xfId="0" applyFont="1" applyFill="1"/>
    <xf numFmtId="0" fontId="44" fillId="5" borderId="23" xfId="0" applyFont="1" applyFill="1" applyBorder="1" applyAlignment="1">
      <alignment horizontal="left" wrapText="1"/>
    </xf>
    <xf numFmtId="0" fontId="44" fillId="5" borderId="23" xfId="0" applyFont="1" applyFill="1" applyBorder="1" applyAlignment="1">
      <alignment wrapText="1"/>
    </xf>
    <xf numFmtId="0" fontId="44" fillId="5" borderId="33" xfId="0" applyFont="1" applyFill="1" applyBorder="1" applyAlignment="1">
      <alignment wrapText="1"/>
    </xf>
    <xf numFmtId="0" fontId="1" fillId="0" borderId="9" xfId="0" applyFont="1" applyBorder="1"/>
    <xf numFmtId="0" fontId="1" fillId="0" borderId="9" xfId="0" applyFont="1" applyBorder="1" applyAlignment="1">
      <alignment wrapText="1"/>
    </xf>
    <xf numFmtId="0" fontId="1" fillId="0" borderId="12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5" borderId="7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164" fontId="44" fillId="5" borderId="0" xfId="0" quotePrefix="1" applyNumberFormat="1" applyFont="1" applyFill="1" applyAlignment="1">
      <alignment horizontal="center"/>
    </xf>
    <xf numFmtId="0" fontId="1" fillId="0" borderId="7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 applyAlignment="1">
      <alignment horizontal="center"/>
    </xf>
    <xf numFmtId="0" fontId="43" fillId="0" borderId="19" xfId="0" applyFont="1" applyBorder="1"/>
    <xf numFmtId="0" fontId="43" fillId="0" borderId="0" xfId="0" applyFont="1"/>
    <xf numFmtId="0" fontId="39" fillId="0" borderId="7" xfId="0" applyFont="1" applyBorder="1"/>
    <xf numFmtId="0" fontId="1" fillId="0" borderId="7" xfId="0" applyFont="1" applyBorder="1"/>
    <xf numFmtId="0" fontId="0" fillId="23" borderId="8" xfId="0" applyFill="1" applyBorder="1" applyAlignment="1">
      <alignment horizontal="center"/>
    </xf>
    <xf numFmtId="0" fontId="1" fillId="0" borderId="13" xfId="0" applyFont="1" applyBorder="1"/>
    <xf numFmtId="165" fontId="0" fillId="22" borderId="18" xfId="0" applyNumberFormat="1" applyFill="1" applyBorder="1" applyAlignment="1">
      <alignment horizontal="center"/>
    </xf>
    <xf numFmtId="1" fontId="1" fillId="0" borderId="57" xfId="0" applyNumberFormat="1" applyFont="1" applyBorder="1"/>
    <xf numFmtId="0" fontId="0" fillId="5" borderId="15" xfId="0" applyFill="1" applyBorder="1" applyAlignment="1" applyProtection="1">
      <alignment horizontal="center"/>
      <protection hidden="1"/>
    </xf>
    <xf numFmtId="0" fontId="0" fillId="5" borderId="17" xfId="0" applyFill="1" applyBorder="1" applyAlignment="1" applyProtection="1">
      <alignment horizontal="center"/>
      <protection hidden="1"/>
    </xf>
    <xf numFmtId="0" fontId="0" fillId="25" borderId="18" xfId="0" applyFill="1" applyBorder="1" applyAlignment="1">
      <alignment horizontal="center"/>
    </xf>
    <xf numFmtId="166" fontId="0" fillId="22" borderId="23" xfId="0" applyNumberFormat="1" applyFill="1" applyBorder="1" applyAlignment="1">
      <alignment horizontal="center"/>
    </xf>
    <xf numFmtId="0" fontId="1" fillId="0" borderId="17" xfId="0" applyFont="1" applyBorder="1"/>
    <xf numFmtId="0" fontId="0" fillId="0" borderId="60" xfId="0" applyBorder="1" applyProtection="1">
      <protection hidden="1"/>
    </xf>
    <xf numFmtId="0" fontId="6" fillId="0" borderId="18" xfId="0" applyFont="1" applyBorder="1" applyAlignment="1">
      <alignment horizontal="center"/>
    </xf>
    <xf numFmtId="0" fontId="9" fillId="0" borderId="29" xfId="0" applyFont="1" applyBorder="1" applyProtection="1">
      <protection hidden="1"/>
    </xf>
    <xf numFmtId="0" fontId="0" fillId="3" borderId="30" xfId="0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5" borderId="23" xfId="0" applyFill="1" applyBorder="1" applyAlignment="1" applyProtection="1">
      <alignment horizontal="center"/>
      <protection hidden="1"/>
    </xf>
    <xf numFmtId="0" fontId="0" fillId="0" borderId="18" xfId="0" applyBorder="1" applyProtection="1">
      <protection hidden="1"/>
    </xf>
    <xf numFmtId="0" fontId="1" fillId="5" borderId="0" xfId="0" applyFont="1" applyFill="1" applyAlignment="1" applyProtection="1">
      <alignment horizontal="center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0" fillId="2" borderId="82" xfId="0" applyFill="1" applyBorder="1" applyAlignment="1" applyProtection="1">
      <alignment horizontal="center"/>
      <protection locked="0" hidden="1"/>
    </xf>
    <xf numFmtId="0" fontId="0" fillId="3" borderId="34" xfId="0" applyFill="1" applyBorder="1" applyAlignment="1" applyProtection="1">
      <alignment horizontal="center"/>
      <protection hidden="1"/>
    </xf>
    <xf numFmtId="0" fontId="42" fillId="18" borderId="0" xfId="0" applyFont="1" applyFill="1" applyProtection="1">
      <protection hidden="1"/>
    </xf>
    <xf numFmtId="1" fontId="0" fillId="23" borderId="1" xfId="0" applyNumberFormat="1" applyFill="1" applyBorder="1" applyAlignment="1" applyProtection="1">
      <alignment horizontal="center"/>
      <protection hidden="1"/>
    </xf>
    <xf numFmtId="0" fontId="0" fillId="33" borderId="23" xfId="0" applyFill="1" applyBorder="1" applyAlignment="1">
      <alignment horizontal="center"/>
    </xf>
    <xf numFmtId="164" fontId="0" fillId="23" borderId="1" xfId="0" applyNumberFormat="1" applyFill="1" applyBorder="1" applyAlignment="1" applyProtection="1">
      <alignment horizontal="center"/>
      <protection hidden="1"/>
    </xf>
    <xf numFmtId="0" fontId="1" fillId="0" borderId="1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6" fillId="0" borderId="75" xfId="0" applyFont="1" applyBorder="1"/>
    <xf numFmtId="2" fontId="0" fillId="22" borderId="71" xfId="0" applyNumberFormat="1" applyFill="1" applyBorder="1" applyAlignment="1">
      <alignment horizontal="center"/>
    </xf>
    <xf numFmtId="0" fontId="1" fillId="0" borderId="60" xfId="0" applyFont="1" applyBorder="1"/>
    <xf numFmtId="0" fontId="0" fillId="33" borderId="19" xfId="0" applyFill="1" applyBorder="1" applyAlignment="1">
      <alignment horizontal="center"/>
    </xf>
    <xf numFmtId="0" fontId="1" fillId="0" borderId="60" xfId="0" applyFont="1" applyBorder="1" applyProtection="1">
      <protection hidden="1"/>
    </xf>
    <xf numFmtId="0" fontId="0" fillId="33" borderId="19" xfId="0" applyFill="1" applyBorder="1" applyAlignment="1" applyProtection="1">
      <alignment horizontal="center"/>
      <protection hidden="1"/>
    </xf>
    <xf numFmtId="0" fontId="0" fillId="25" borderId="23" xfId="0" applyFill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" fillId="0" borderId="16" xfId="0" applyFont="1" applyBorder="1"/>
    <xf numFmtId="0" fontId="0" fillId="0" borderId="17" xfId="0" applyBorder="1" applyAlignment="1">
      <alignment horizontal="center"/>
    </xf>
    <xf numFmtId="0" fontId="1" fillId="0" borderId="18" xfId="0" applyFont="1" applyBorder="1"/>
    <xf numFmtId="2" fontId="0" fillId="23" borderId="23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16" xfId="0" applyFont="1" applyBorder="1" applyAlignment="1">
      <alignment horizontal="center"/>
    </xf>
    <xf numFmtId="0" fontId="1" fillId="0" borderId="15" xfId="0" quotePrefix="1" applyFont="1" applyBorder="1"/>
    <xf numFmtId="0" fontId="0" fillId="33" borderId="0" xfId="0" applyFill="1" applyAlignment="1">
      <alignment horizontal="center"/>
    </xf>
    <xf numFmtId="0" fontId="1" fillId="33" borderId="16" xfId="0" applyFont="1" applyFill="1" applyBorder="1" applyAlignment="1">
      <alignment horizontal="center"/>
    </xf>
    <xf numFmtId="0" fontId="0" fillId="22" borderId="18" xfId="0" applyFill="1" applyBorder="1"/>
    <xf numFmtId="0" fontId="6" fillId="0" borderId="13" xfId="0" applyFont="1" applyBorder="1"/>
    <xf numFmtId="0" fontId="1" fillId="0" borderId="15" xfId="0" quotePrefix="1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0" fillId="21" borderId="55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0" fontId="1" fillId="5" borderId="18" xfId="0" applyFont="1" applyFill="1" applyBorder="1" applyProtection="1">
      <protection hidden="1"/>
    </xf>
    <xf numFmtId="1" fontId="6" fillId="23" borderId="23" xfId="0" applyNumberFormat="1" applyFont="1" applyFill="1" applyBorder="1" applyAlignment="1" applyProtection="1">
      <alignment horizontal="center"/>
      <protection hidden="1"/>
    </xf>
    <xf numFmtId="1" fontId="0" fillId="3" borderId="18" xfId="0" applyNumberForma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 applyProtection="1">
      <alignment wrapText="1"/>
      <protection hidden="1"/>
    </xf>
    <xf numFmtId="0" fontId="0" fillId="28" borderId="7" xfId="0" applyFill="1" applyBorder="1" applyAlignment="1" applyProtection="1">
      <alignment horizontal="center"/>
      <protection hidden="1"/>
    </xf>
    <xf numFmtId="0" fontId="1" fillId="28" borderId="7" xfId="0" applyFont="1" applyFill="1" applyBorder="1" applyAlignment="1" applyProtection="1">
      <alignment horizontal="center"/>
      <protection hidden="1"/>
    </xf>
    <xf numFmtId="0" fontId="0" fillId="18" borderId="20" xfId="0" applyFill="1" applyBorder="1" applyProtection="1">
      <protection hidden="1"/>
    </xf>
    <xf numFmtId="0" fontId="7" fillId="2" borderId="1" xfId="0" applyFont="1" applyFill="1" applyBorder="1" applyProtection="1">
      <protection hidden="1"/>
    </xf>
    <xf numFmtId="0" fontId="31" fillId="28" borderId="0" xfId="0" applyFont="1" applyFill="1" applyProtection="1">
      <protection hidden="1"/>
    </xf>
    <xf numFmtId="0" fontId="1" fillId="0" borderId="56" xfId="0" applyFont="1" applyBorder="1"/>
    <xf numFmtId="0" fontId="6" fillId="0" borderId="5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5" xfId="0" applyFont="1" applyBorder="1"/>
    <xf numFmtId="0" fontId="0" fillId="0" borderId="55" xfId="0" applyBorder="1" applyProtection="1">
      <protection hidden="1"/>
    </xf>
    <xf numFmtId="0" fontId="0" fillId="28" borderId="8" xfId="0" applyFill="1" applyBorder="1" applyProtection="1">
      <protection hidden="1"/>
    </xf>
    <xf numFmtId="1" fontId="6" fillId="22" borderId="71" xfId="0" applyNumberFormat="1" applyFont="1" applyFill="1" applyBorder="1" applyAlignment="1" applyProtection="1">
      <alignment horizontal="center"/>
      <protection hidden="1"/>
    </xf>
    <xf numFmtId="1" fontId="0" fillId="23" borderId="8" xfId="0" applyNumberFormat="1" applyFill="1" applyBorder="1" applyAlignment="1" applyProtection="1">
      <alignment horizontal="center"/>
      <protection hidden="1"/>
    </xf>
    <xf numFmtId="0" fontId="0" fillId="22" borderId="71" xfId="0" applyFill="1" applyBorder="1" applyAlignment="1" applyProtection="1">
      <alignment horizontal="center"/>
      <protection hidden="1"/>
    </xf>
    <xf numFmtId="0" fontId="0" fillId="0" borderId="71" xfId="0" applyBorder="1" applyAlignment="1">
      <alignment horizontal="center"/>
    </xf>
    <xf numFmtId="165" fontId="0" fillId="22" borderId="56" xfId="0" applyNumberFormat="1" applyFill="1" applyBorder="1" applyAlignment="1">
      <alignment horizontal="center"/>
    </xf>
    <xf numFmtId="165" fontId="0" fillId="22" borderId="61" xfId="0" applyNumberFormat="1" applyFill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hidden="1"/>
    </xf>
    <xf numFmtId="0" fontId="6" fillId="28" borderId="0" xfId="0" applyFont="1" applyFill="1" applyAlignment="1" applyProtection="1">
      <alignment horizontal="center"/>
      <protection hidden="1"/>
    </xf>
    <xf numFmtId="0" fontId="1" fillId="13" borderId="0" xfId="0" applyFont="1" applyFill="1"/>
    <xf numFmtId="0" fontId="1" fillId="13" borderId="16" xfId="0" applyFont="1" applyFill="1" applyBorder="1" applyAlignment="1" applyProtection="1">
      <alignment horizontal="center"/>
      <protection hidden="1"/>
    </xf>
    <xf numFmtId="0" fontId="1" fillId="13" borderId="0" xfId="0" applyFont="1" applyFill="1" applyAlignment="1">
      <alignment horizontal="right"/>
    </xf>
    <xf numFmtId="0" fontId="6" fillId="25" borderId="23" xfId="0" applyFont="1" applyFill="1" applyBorder="1" applyAlignment="1">
      <alignment horizontal="center"/>
    </xf>
    <xf numFmtId="0" fontId="48" fillId="0" borderId="17" xfId="0" applyFont="1" applyBorder="1" applyAlignment="1">
      <alignment horizontal="center"/>
    </xf>
    <xf numFmtId="1" fontId="1" fillId="23" borderId="23" xfId="0" applyNumberFormat="1" applyFont="1" applyFill="1" applyBorder="1" applyAlignment="1">
      <alignment horizontal="center"/>
    </xf>
    <xf numFmtId="0" fontId="1" fillId="23" borderId="23" xfId="0" applyFont="1" applyFill="1" applyBorder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24" borderId="0" xfId="0" applyFont="1" applyFill="1" applyAlignment="1">
      <alignment horizontal="center" vertical="center" wrapText="1"/>
    </xf>
    <xf numFmtId="0" fontId="1" fillId="31" borderId="0" xfId="0" applyFont="1" applyFill="1" applyAlignment="1">
      <alignment horizontal="center" vertical="center" wrapText="1"/>
    </xf>
    <xf numFmtId="164" fontId="6" fillId="3" borderId="5" xfId="0" applyNumberFormat="1" applyFont="1" applyFill="1" applyBorder="1" applyAlignment="1">
      <alignment horizontal="center"/>
    </xf>
    <xf numFmtId="164" fontId="0" fillId="25" borderId="0" xfId="0" applyNumberFormat="1" applyFill="1" applyAlignment="1">
      <alignment horizontal="center"/>
    </xf>
    <xf numFmtId="1" fontId="0" fillId="13" borderId="0" xfId="0" applyNumberFormat="1" applyFill="1" applyAlignment="1" applyProtection="1">
      <alignment horizontal="left"/>
      <protection hidden="1"/>
    </xf>
    <xf numFmtId="0" fontId="1" fillId="13" borderId="0" xfId="0" quotePrefix="1" applyFont="1" applyFill="1" applyAlignment="1" applyProtection="1">
      <alignment horizontal="right"/>
      <protection hidden="1"/>
    </xf>
    <xf numFmtId="1" fontId="0" fillId="26" borderId="0" xfId="0" applyNumberFormat="1" applyFill="1" applyAlignment="1">
      <alignment horizontal="center"/>
    </xf>
    <xf numFmtId="164" fontId="6" fillId="24" borderId="81" xfId="0" applyNumberFormat="1" applyFont="1" applyFill="1" applyBorder="1" applyAlignment="1">
      <alignment horizontal="center" vertical="center" wrapText="1"/>
    </xf>
    <xf numFmtId="164" fontId="6" fillId="25" borderId="1" xfId="0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5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1" fontId="17" fillId="3" borderId="26" xfId="0" applyNumberFormat="1" applyFont="1" applyFill="1" applyBorder="1" applyAlignment="1" applyProtection="1">
      <alignment horizontal="center"/>
      <protection hidden="1"/>
    </xf>
    <xf numFmtId="1" fontId="17" fillId="3" borderId="14" xfId="0" applyNumberFormat="1" applyFont="1" applyFill="1" applyBorder="1" applyAlignment="1" applyProtection="1">
      <alignment horizontal="center"/>
      <protection hidden="1"/>
    </xf>
    <xf numFmtId="0" fontId="1" fillId="0" borderId="15" xfId="0" applyFont="1" applyBorder="1" applyAlignment="1">
      <alignment horizontal="center" vertical="center" wrapText="1"/>
    </xf>
    <xf numFmtId="1" fontId="1" fillId="24" borderId="0" xfId="0" applyNumberFormat="1" applyFont="1" applyFill="1" applyAlignment="1">
      <alignment horizontal="center" vertical="center" wrapText="1"/>
    </xf>
    <xf numFmtId="1" fontId="1" fillId="24" borderId="16" xfId="0" applyNumberFormat="1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left" vertical="center" wrapText="1"/>
    </xf>
    <xf numFmtId="0" fontId="6" fillId="24" borderId="23" xfId="0" applyFont="1" applyFill="1" applyBorder="1" applyAlignment="1">
      <alignment horizontal="center" vertical="center" wrapText="1"/>
    </xf>
    <xf numFmtId="1" fontId="6" fillId="24" borderId="23" xfId="0" applyNumberFormat="1" applyFont="1" applyFill="1" applyBorder="1" applyAlignment="1">
      <alignment horizontal="center" vertical="center" wrapText="1"/>
    </xf>
    <xf numFmtId="1" fontId="6" fillId="24" borderId="18" xfId="0" applyNumberFormat="1" applyFont="1" applyFill="1" applyBorder="1" applyAlignment="1">
      <alignment horizontal="center" vertical="center" wrapText="1"/>
    </xf>
    <xf numFmtId="1" fontId="6" fillId="23" borderId="18" xfId="0" applyNumberFormat="1" applyFont="1" applyFill="1" applyBorder="1" applyAlignment="1" applyProtection="1">
      <alignment horizontal="center"/>
      <protection hidden="1"/>
    </xf>
    <xf numFmtId="0" fontId="40" fillId="13" borderId="8" xfId="0" applyFont="1" applyFill="1" applyBorder="1" applyAlignment="1" applyProtection="1">
      <alignment horizontal="center"/>
      <protection hidden="1"/>
    </xf>
    <xf numFmtId="0" fontId="41" fillId="0" borderId="1" xfId="0" applyFont="1" applyBorder="1" applyProtection="1">
      <protection hidden="1"/>
    </xf>
    <xf numFmtId="0" fontId="41" fillId="0" borderId="1" xfId="0" applyFont="1" applyBorder="1" applyAlignment="1" applyProtection="1">
      <alignment wrapText="1"/>
      <protection hidden="1"/>
    </xf>
    <xf numFmtId="0" fontId="41" fillId="0" borderId="5" xfId="0" applyFont="1" applyBorder="1" applyAlignment="1" applyProtection="1">
      <alignment horizontal="center"/>
      <protection hidden="1"/>
    </xf>
    <xf numFmtId="2" fontId="0" fillId="3" borderId="0" xfId="0" applyNumberFormat="1" applyFill="1" applyAlignment="1" applyProtection="1">
      <alignment horizontal="center"/>
      <protection hidden="1"/>
    </xf>
    <xf numFmtId="49" fontId="1" fillId="5" borderId="0" xfId="0" applyNumberFormat="1" applyFont="1" applyFill="1" applyAlignment="1">
      <alignment horizontal="center"/>
    </xf>
    <xf numFmtId="0" fontId="0" fillId="28" borderId="0" xfId="0" applyFill="1" applyAlignment="1" applyProtection="1">
      <alignment horizontal="center"/>
      <protection hidden="1"/>
    </xf>
    <xf numFmtId="0" fontId="1" fillId="28" borderId="8" xfId="0" applyFont="1" applyFill="1" applyBorder="1" applyAlignment="1" applyProtection="1">
      <alignment horizontal="center"/>
      <protection hidden="1"/>
    </xf>
    <xf numFmtId="0" fontId="6" fillId="4" borderId="8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center" textRotation="90"/>
      <protection hidden="1"/>
    </xf>
    <xf numFmtId="0" fontId="0" fillId="13" borderId="7" xfId="0" applyFill="1" applyBorder="1" applyAlignment="1" applyProtection="1">
      <alignment horizontal="center"/>
      <protection hidden="1"/>
    </xf>
    <xf numFmtId="0" fontId="31" fillId="13" borderId="23" xfId="0" applyFont="1" applyFill="1" applyBorder="1" applyProtection="1">
      <protection hidden="1"/>
    </xf>
    <xf numFmtId="0" fontId="3" fillId="13" borderId="0" xfId="0" applyFont="1" applyFill="1" applyAlignment="1" applyProtection="1">
      <alignment horizontal="right"/>
      <protection hidden="1"/>
    </xf>
    <xf numFmtId="0" fontId="0" fillId="13" borderId="1" xfId="0" applyFill="1" applyBorder="1" applyAlignment="1" applyProtection="1">
      <alignment horizontal="right"/>
      <protection hidden="1"/>
    </xf>
    <xf numFmtId="1" fontId="23" fillId="13" borderId="0" xfId="0" applyNumberFormat="1" applyFont="1" applyFill="1" applyAlignment="1" applyProtection="1">
      <alignment horizontal="center"/>
      <protection hidden="1"/>
    </xf>
    <xf numFmtId="1" fontId="22" fillId="13" borderId="1" xfId="0" applyNumberFormat="1" applyFont="1" applyFill="1" applyBorder="1" applyAlignment="1" applyProtection="1">
      <alignment horizontal="center"/>
      <protection hidden="1"/>
    </xf>
    <xf numFmtId="0" fontId="1" fillId="13" borderId="1" xfId="0" applyFont="1" applyFill="1" applyBorder="1" applyAlignment="1" applyProtection="1">
      <alignment horizontal="center"/>
      <protection hidden="1"/>
    </xf>
    <xf numFmtId="0" fontId="1" fillId="13" borderId="12" xfId="0" applyFont="1" applyFill="1" applyBorder="1" applyAlignment="1" applyProtection="1">
      <alignment horizontal="center"/>
      <protection hidden="1"/>
    </xf>
    <xf numFmtId="0" fontId="1" fillId="13" borderId="4" xfId="0" applyFont="1" applyFill="1" applyBorder="1" applyAlignment="1" applyProtection="1">
      <alignment horizontal="center"/>
      <protection hidden="1"/>
    </xf>
    <xf numFmtId="0" fontId="1" fillId="13" borderId="7" xfId="0" applyFont="1" applyFill="1" applyBorder="1" applyAlignment="1" applyProtection="1">
      <alignment horizontal="center"/>
      <protection hidden="1"/>
    </xf>
    <xf numFmtId="0" fontId="1" fillId="13" borderId="8" xfId="0" applyFont="1" applyFill="1" applyBorder="1" applyAlignment="1" applyProtection="1">
      <alignment horizontal="center"/>
      <protection hidden="1"/>
    </xf>
    <xf numFmtId="0" fontId="0" fillId="28" borderId="8" xfId="0" applyFill="1" applyBorder="1" applyAlignment="1" applyProtection="1">
      <alignment horizontal="center"/>
      <protection hidden="1"/>
    </xf>
    <xf numFmtId="0" fontId="1" fillId="13" borderId="20" xfId="0" applyFont="1" applyFill="1" applyBorder="1" applyAlignment="1" applyProtection="1">
      <alignment horizontal="center"/>
      <protection hidden="1"/>
    </xf>
    <xf numFmtId="0" fontId="1" fillId="13" borderId="5" xfId="0" applyFont="1" applyFill="1" applyBorder="1" applyAlignment="1" applyProtection="1">
      <alignment horizontal="center"/>
      <protection hidden="1"/>
    </xf>
    <xf numFmtId="0" fontId="33" fillId="17" borderId="0" xfId="0" applyFont="1" applyFill="1"/>
    <xf numFmtId="0" fontId="1" fillId="0" borderId="10" xfId="0" applyFont="1" applyBorder="1" applyAlignment="1" applyProtection="1">
      <alignment horizontal="center" textRotation="90"/>
      <protection hidden="1"/>
    </xf>
    <xf numFmtId="0" fontId="1" fillId="0" borderId="8" xfId="0" applyFont="1" applyBorder="1" applyAlignment="1" applyProtection="1">
      <alignment horizontal="center" textRotation="90"/>
      <protection hidden="1"/>
    </xf>
    <xf numFmtId="0" fontId="13" fillId="13" borderId="0" xfId="0" applyFont="1" applyFill="1" applyAlignment="1" applyProtection="1">
      <alignment horizontal="center"/>
      <protection hidden="1"/>
    </xf>
    <xf numFmtId="0" fontId="1" fillId="13" borderId="75" xfId="0" applyFont="1" applyFill="1" applyBorder="1" applyAlignment="1" applyProtection="1">
      <alignment horizontal="center"/>
      <protection hidden="1"/>
    </xf>
    <xf numFmtId="0" fontId="28" fillId="13" borderId="7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 textRotation="90"/>
      <protection hidden="1"/>
    </xf>
    <xf numFmtId="0" fontId="0" fillId="0" borderId="91" xfId="0" applyBorder="1" applyAlignment="1" applyProtection="1">
      <alignment horizontal="center" textRotation="90"/>
      <protection hidden="1"/>
    </xf>
    <xf numFmtId="0" fontId="0" fillId="13" borderId="22" xfId="0" applyFill="1" applyBorder="1" applyProtection="1">
      <protection hidden="1"/>
    </xf>
    <xf numFmtId="0" fontId="52" fillId="13" borderId="71" xfId="0" applyFont="1" applyFill="1" applyBorder="1" applyAlignment="1" applyProtection="1">
      <alignment horizontal="center" wrapText="1"/>
      <protection hidden="1"/>
    </xf>
    <xf numFmtId="0" fontId="2" fillId="13" borderId="71" xfId="0" applyFont="1" applyFill="1" applyBorder="1" applyAlignment="1" applyProtection="1">
      <alignment horizontal="center" wrapText="1"/>
      <protection hidden="1"/>
    </xf>
    <xf numFmtId="0" fontId="0" fillId="39" borderId="0" xfId="0" applyFill="1"/>
    <xf numFmtId="0" fontId="1" fillId="39" borderId="0" xfId="0" applyFont="1" applyFill="1"/>
    <xf numFmtId="0" fontId="0" fillId="39" borderId="0" xfId="0" applyFill="1" applyAlignment="1">
      <alignment horizontal="center"/>
    </xf>
    <xf numFmtId="0" fontId="1" fillId="39" borderId="0" xfId="0" applyFont="1" applyFill="1" applyAlignment="1">
      <alignment horizontal="center"/>
    </xf>
    <xf numFmtId="0" fontId="51" fillId="39" borderId="0" xfId="0" applyFont="1" applyFill="1" applyAlignment="1">
      <alignment horizontal="center" vertical="center" wrapText="1"/>
    </xf>
    <xf numFmtId="0" fontId="55" fillId="0" borderId="0" xfId="0" applyFont="1" applyAlignment="1" applyProtection="1">
      <alignment horizontal="center" textRotation="90"/>
      <protection hidden="1"/>
    </xf>
    <xf numFmtId="0" fontId="55" fillId="0" borderId="90" xfId="0" applyFont="1" applyBorder="1" applyAlignment="1" applyProtection="1">
      <alignment horizontal="center" textRotation="90"/>
      <protection hidden="1"/>
    </xf>
    <xf numFmtId="0" fontId="56" fillId="0" borderId="0" xfId="0" applyFont="1" applyAlignment="1" applyProtection="1">
      <alignment horizontal="center" textRotation="90"/>
      <protection hidden="1"/>
    </xf>
    <xf numFmtId="0" fontId="56" fillId="0" borderId="90" xfId="0" applyFont="1" applyBorder="1" applyAlignment="1" applyProtection="1">
      <alignment horizontal="center" textRotation="90"/>
      <protection hidden="1"/>
    </xf>
    <xf numFmtId="0" fontId="57" fillId="0" borderId="0" xfId="0" applyFont="1" applyAlignment="1" applyProtection="1">
      <alignment horizontal="center" textRotation="90"/>
      <protection hidden="1"/>
    </xf>
    <xf numFmtId="0" fontId="57" fillId="0" borderId="8" xfId="0" applyFont="1" applyBorder="1" applyAlignment="1" applyProtection="1">
      <alignment horizontal="center" textRotation="90"/>
      <protection hidden="1"/>
    </xf>
    <xf numFmtId="0" fontId="59" fillId="0" borderId="0" xfId="0" applyFont="1" applyAlignment="1" applyProtection="1">
      <alignment horizontal="center" textRotation="90"/>
      <protection hidden="1"/>
    </xf>
    <xf numFmtId="0" fontId="61" fillId="0" borderId="0" xfId="0" applyFont="1" applyAlignment="1" applyProtection="1">
      <alignment horizontal="center" textRotation="90"/>
      <protection hidden="1"/>
    </xf>
    <xf numFmtId="0" fontId="59" fillId="0" borderId="8" xfId="0" applyFont="1" applyBorder="1" applyAlignment="1" applyProtection="1">
      <alignment horizontal="center" textRotation="90"/>
      <protection hidden="1"/>
    </xf>
    <xf numFmtId="0" fontId="63" fillId="0" borderId="0" xfId="0" applyFont="1" applyAlignment="1" applyProtection="1">
      <alignment horizontal="center" textRotation="90"/>
      <protection hidden="1"/>
    </xf>
    <xf numFmtId="0" fontId="38" fillId="0" borderId="1" xfId="0" applyFont="1" applyBorder="1" applyAlignment="1">
      <alignment horizontal="center"/>
    </xf>
    <xf numFmtId="0" fontId="38" fillId="0" borderId="1" xfId="0" applyFont="1" applyBorder="1"/>
    <xf numFmtId="0" fontId="38" fillId="45" borderId="0" xfId="0" applyFont="1" applyFill="1"/>
    <xf numFmtId="0" fontId="0" fillId="45" borderId="0" xfId="0" applyFill="1"/>
    <xf numFmtId="0" fontId="1" fillId="45" borderId="0" xfId="0" applyFont="1" applyFill="1"/>
    <xf numFmtId="0" fontId="1" fillId="45" borderId="1" xfId="0" applyFont="1" applyFill="1" applyBorder="1"/>
    <xf numFmtId="0" fontId="0" fillId="45" borderId="1" xfId="0" applyFill="1" applyBorder="1"/>
    <xf numFmtId="0" fontId="0" fillId="33" borderId="1" xfId="0" applyFill="1" applyBorder="1"/>
    <xf numFmtId="0" fontId="38" fillId="45" borderId="1" xfId="0" applyFont="1" applyFill="1" applyBorder="1"/>
    <xf numFmtId="0" fontId="64" fillId="39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9" borderId="0" xfId="0" applyFill="1" applyAlignment="1">
      <alignment horizontal="left" vertical="top" wrapText="1"/>
    </xf>
    <xf numFmtId="0" fontId="65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6" fillId="13" borderId="0" xfId="0" applyFont="1" applyFill="1" applyProtection="1">
      <protection hidden="1"/>
    </xf>
    <xf numFmtId="0" fontId="0" fillId="16" borderId="0" xfId="0" applyFill="1" applyProtection="1">
      <protection hidden="1"/>
    </xf>
    <xf numFmtId="0" fontId="6" fillId="2" borderId="19" xfId="0" applyFont="1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35" fillId="13" borderId="22" xfId="0" applyFont="1" applyFill="1" applyBorder="1" applyAlignment="1" applyProtection="1">
      <alignment horizontal="right"/>
      <protection hidden="1"/>
    </xf>
    <xf numFmtId="0" fontId="35" fillId="13" borderId="21" xfId="0" applyFont="1" applyFill="1" applyBorder="1" applyAlignment="1" applyProtection="1">
      <alignment horizontal="left"/>
      <protection hidden="1"/>
    </xf>
    <xf numFmtId="0" fontId="36" fillId="13" borderId="22" xfId="0" quotePrefix="1" applyFont="1" applyFill="1" applyBorder="1" applyAlignment="1" applyProtection="1">
      <alignment horizontal="right"/>
      <protection hidden="1"/>
    </xf>
    <xf numFmtId="0" fontId="35" fillId="0" borderId="0" xfId="0" applyFont="1" applyAlignment="1" applyProtection="1">
      <alignment horizontal="right"/>
      <protection hidden="1"/>
    </xf>
    <xf numFmtId="0" fontId="35" fillId="0" borderId="0" xfId="0" applyFont="1" applyAlignment="1" applyProtection="1">
      <alignment horizontal="left"/>
      <protection hidden="1"/>
    </xf>
    <xf numFmtId="0" fontId="6" fillId="13" borderId="9" xfId="0" applyFont="1" applyFill="1" applyBorder="1" applyAlignment="1" applyProtection="1">
      <alignment horizontal="center"/>
      <protection hidden="1"/>
    </xf>
    <xf numFmtId="0" fontId="0" fillId="13" borderId="9" xfId="0" applyFill="1" applyBorder="1" applyAlignment="1" applyProtection="1">
      <alignment horizontal="right"/>
      <protection hidden="1"/>
    </xf>
    <xf numFmtId="0" fontId="35" fillId="0" borderId="0" xfId="0" applyFont="1" applyProtection="1">
      <protection hidden="1"/>
    </xf>
    <xf numFmtId="0" fontId="0" fillId="13" borderId="31" xfId="0" applyFill="1" applyBorder="1" applyProtection="1">
      <protection hidden="1"/>
    </xf>
    <xf numFmtId="0" fontId="0" fillId="13" borderId="33" xfId="0" applyFill="1" applyBorder="1" applyProtection="1">
      <protection hidden="1"/>
    </xf>
    <xf numFmtId="0" fontId="0" fillId="13" borderId="63" xfId="0" applyFill="1" applyBorder="1" applyProtection="1">
      <protection hidden="1"/>
    </xf>
    <xf numFmtId="0" fontId="2" fillId="13" borderId="64" xfId="0" applyFont="1" applyFill="1" applyBorder="1" applyAlignment="1" applyProtection="1">
      <alignment horizontal="center"/>
      <protection hidden="1"/>
    </xf>
    <xf numFmtId="0" fontId="0" fillId="13" borderId="65" xfId="0" applyFill="1" applyBorder="1" applyAlignment="1" applyProtection="1">
      <alignment horizontal="center"/>
      <protection hidden="1"/>
    </xf>
    <xf numFmtId="0" fontId="0" fillId="13" borderId="26" xfId="0" applyFill="1" applyBorder="1" applyAlignment="1" applyProtection="1">
      <alignment horizontal="center"/>
      <protection hidden="1"/>
    </xf>
    <xf numFmtId="0" fontId="6" fillId="13" borderId="26" xfId="0" applyFont="1" applyFill="1" applyBorder="1" applyAlignment="1" applyProtection="1">
      <alignment horizontal="center" vertical="center"/>
      <protection hidden="1"/>
    </xf>
    <xf numFmtId="0" fontId="0" fillId="13" borderId="66" xfId="0" applyFill="1" applyBorder="1" applyProtection="1">
      <protection hidden="1"/>
    </xf>
    <xf numFmtId="0" fontId="0" fillId="28" borderId="0" xfId="0" applyFill="1" applyAlignment="1" applyProtection="1">
      <alignment horizontal="center" wrapText="1"/>
      <protection hidden="1"/>
    </xf>
    <xf numFmtId="0" fontId="0" fillId="13" borderId="0" xfId="0" applyFill="1" applyAlignment="1" applyProtection="1">
      <alignment wrapText="1"/>
      <protection hidden="1"/>
    </xf>
    <xf numFmtId="0" fontId="0" fillId="13" borderId="60" xfId="0" applyFill="1" applyBorder="1" applyProtection="1">
      <protection hidden="1"/>
    </xf>
    <xf numFmtId="0" fontId="0" fillId="13" borderId="19" xfId="0" applyFill="1" applyBorder="1" applyAlignment="1" applyProtection="1">
      <alignment wrapText="1"/>
      <protection hidden="1"/>
    </xf>
    <xf numFmtId="0" fontId="2" fillId="13" borderId="19" xfId="0" applyFont="1" applyFill="1" applyBorder="1" applyProtection="1">
      <protection hidden="1"/>
    </xf>
    <xf numFmtId="0" fontId="1" fillId="28" borderId="75" xfId="0" applyFont="1" applyFill="1" applyBorder="1" applyAlignment="1" applyProtection="1">
      <alignment horizontal="center"/>
      <protection hidden="1"/>
    </xf>
    <xf numFmtId="0" fontId="1" fillId="13" borderId="61" xfId="0" applyFont="1" applyFill="1" applyBorder="1" applyAlignment="1" applyProtection="1">
      <alignment horizontal="center"/>
      <protection hidden="1"/>
    </xf>
    <xf numFmtId="0" fontId="2" fillId="13" borderId="0" xfId="0" applyFont="1" applyFill="1" applyProtection="1">
      <protection hidden="1"/>
    </xf>
    <xf numFmtId="0" fontId="23" fillId="13" borderId="12" xfId="0" applyFont="1" applyFill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13" borderId="75" xfId="0" applyFill="1" applyBorder="1" applyAlignment="1" applyProtection="1">
      <alignment horizontal="center"/>
      <protection hidden="1"/>
    </xf>
    <xf numFmtId="0" fontId="25" fillId="13" borderId="7" xfId="0" applyFont="1" applyFill="1" applyBorder="1" applyAlignment="1" applyProtection="1">
      <alignment horizontal="center"/>
      <protection hidden="1"/>
    </xf>
    <xf numFmtId="1" fontId="26" fillId="13" borderId="8" xfId="0" applyNumberFormat="1" applyFont="1" applyFill="1" applyBorder="1" applyAlignment="1" applyProtection="1">
      <alignment horizontal="center"/>
      <protection hidden="1"/>
    </xf>
    <xf numFmtId="0" fontId="25" fillId="13" borderId="20" xfId="0" applyFont="1" applyFill="1" applyBorder="1" applyAlignment="1" applyProtection="1">
      <alignment horizontal="center"/>
      <protection hidden="1"/>
    </xf>
    <xf numFmtId="1" fontId="24" fillId="13" borderId="5" xfId="0" applyNumberFormat="1" applyFont="1" applyFill="1" applyBorder="1" applyAlignment="1" applyProtection="1">
      <alignment horizontal="center"/>
      <protection hidden="1"/>
    </xf>
    <xf numFmtId="0" fontId="0" fillId="0" borderId="17" xfId="0" applyBorder="1" applyProtection="1">
      <protection hidden="1"/>
    </xf>
    <xf numFmtId="0" fontId="0" fillId="13" borderId="23" xfId="0" quotePrefix="1" applyFill="1" applyBorder="1" applyAlignment="1" applyProtection="1">
      <alignment horizontal="center"/>
      <protection hidden="1"/>
    </xf>
    <xf numFmtId="0" fontId="18" fillId="13" borderId="23" xfId="0" applyFont="1" applyFill="1" applyBorder="1" applyAlignment="1" applyProtection="1">
      <alignment horizontal="center"/>
      <protection hidden="1"/>
    </xf>
    <xf numFmtId="0" fontId="0" fillId="13" borderId="18" xfId="0" applyFill="1" applyBorder="1" applyProtection="1">
      <protection hidden="1"/>
    </xf>
    <xf numFmtId="0" fontId="36" fillId="0" borderId="22" xfId="0" applyFont="1" applyBorder="1" applyAlignment="1" applyProtection="1">
      <alignment horizontal="right"/>
      <protection hidden="1"/>
    </xf>
    <xf numFmtId="0" fontId="36" fillId="0" borderId="21" xfId="0" applyFont="1" applyBorder="1" applyAlignment="1" applyProtection="1">
      <alignment horizontal="left"/>
      <protection hidden="1"/>
    </xf>
    <xf numFmtId="0" fontId="0" fillId="13" borderId="8" xfId="0" applyFill="1" applyBorder="1" applyAlignment="1" applyProtection="1">
      <alignment horizontal="center"/>
      <protection hidden="1"/>
    </xf>
    <xf numFmtId="0" fontId="0" fillId="28" borderId="7" xfId="0" applyFill="1" applyBorder="1" applyProtection="1">
      <protection hidden="1"/>
    </xf>
    <xf numFmtId="0" fontId="0" fillId="13" borderId="20" xfId="0" applyFill="1" applyBorder="1" applyAlignment="1" applyProtection="1">
      <alignment horizontal="center"/>
      <protection hidden="1"/>
    </xf>
    <xf numFmtId="0" fontId="0" fillId="13" borderId="5" xfId="0" applyFill="1" applyBorder="1" applyAlignment="1" applyProtection="1">
      <alignment horizontal="center"/>
      <protection hidden="1"/>
    </xf>
    <xf numFmtId="0" fontId="1" fillId="28" borderId="75" xfId="0" applyFont="1" applyFill="1" applyBorder="1" applyProtection="1">
      <protection hidden="1"/>
    </xf>
    <xf numFmtId="0" fontId="22" fillId="0" borderId="7" xfId="0" applyFont="1" applyBorder="1" applyAlignment="1" applyProtection="1">
      <alignment horizontal="right"/>
      <protection hidden="1"/>
    </xf>
    <xf numFmtId="1" fontId="23" fillId="0" borderId="8" xfId="0" applyNumberFormat="1" applyFont="1" applyBorder="1" applyAlignment="1" applyProtection="1">
      <alignment horizontal="center"/>
      <protection hidden="1"/>
    </xf>
    <xf numFmtId="0" fontId="22" fillId="0" borderId="20" xfId="0" applyFont="1" applyBorder="1" applyAlignment="1" applyProtection="1">
      <alignment horizontal="right"/>
      <protection hidden="1"/>
    </xf>
    <xf numFmtId="1" fontId="22" fillId="0" borderId="5" xfId="0" applyNumberFormat="1" applyFont="1" applyBorder="1" applyAlignment="1" applyProtection="1">
      <alignment horizontal="center"/>
      <protection hidden="1"/>
    </xf>
    <xf numFmtId="0" fontId="42" fillId="0" borderId="0" xfId="0" applyFont="1" applyAlignment="1" applyProtection="1">
      <alignment wrapText="1"/>
      <protection hidden="1"/>
    </xf>
    <xf numFmtId="0" fontId="1" fillId="39" borderId="0" xfId="0" applyFont="1" applyFill="1" applyAlignment="1">
      <alignment horizontal="left" vertical="top" wrapText="1"/>
    </xf>
    <xf numFmtId="0" fontId="0" fillId="0" borderId="1" xfId="0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31" fillId="0" borderId="22" xfId="0" applyFont="1" applyBorder="1" applyProtection="1">
      <protection hidden="1"/>
    </xf>
    <xf numFmtId="0" fontId="32" fillId="0" borderId="19" xfId="0" applyFont="1" applyBorder="1" applyProtection="1">
      <protection hidden="1"/>
    </xf>
    <xf numFmtId="0" fontId="32" fillId="2" borderId="19" xfId="0" applyFont="1" applyFill="1" applyBorder="1" applyProtection="1">
      <protection hidden="1"/>
    </xf>
    <xf numFmtId="0" fontId="31" fillId="2" borderId="19" xfId="0" applyFont="1" applyFill="1" applyBorder="1" applyProtection="1">
      <protection hidden="1"/>
    </xf>
    <xf numFmtId="0" fontId="32" fillId="2" borderId="21" xfId="0" applyFont="1" applyFill="1" applyBorder="1" applyProtection="1">
      <protection hidden="1"/>
    </xf>
    <xf numFmtId="0" fontId="32" fillId="0" borderId="0" xfId="0" applyFont="1" applyProtection="1">
      <protection hidden="1"/>
    </xf>
    <xf numFmtId="0" fontId="37" fillId="0" borderId="0" xfId="0" applyFont="1" applyProtection="1">
      <protection hidden="1"/>
    </xf>
    <xf numFmtId="0" fontId="37" fillId="2" borderId="0" xfId="0" applyFont="1" applyFill="1" applyProtection="1">
      <protection hidden="1"/>
    </xf>
    <xf numFmtId="0" fontId="31" fillId="0" borderId="0" xfId="0" applyFont="1" applyProtection="1">
      <protection hidden="1"/>
    </xf>
    <xf numFmtId="0" fontId="0" fillId="0" borderId="19" xfId="0" applyBorder="1" applyProtection="1">
      <protection hidden="1"/>
    </xf>
    <xf numFmtId="0" fontId="31" fillId="0" borderId="67" xfId="0" applyFont="1" applyBorder="1" applyAlignment="1" applyProtection="1">
      <alignment horizontal="center"/>
      <protection hidden="1"/>
    </xf>
    <xf numFmtId="0" fontId="31" fillId="0" borderId="68" xfId="0" applyFont="1" applyBorder="1" applyAlignment="1" applyProtection="1">
      <alignment horizontal="center"/>
      <protection hidden="1"/>
    </xf>
    <xf numFmtId="0" fontId="31" fillId="0" borderId="67" xfId="0" applyFont="1" applyBorder="1" applyProtection="1">
      <protection hidden="1"/>
    </xf>
    <xf numFmtId="0" fontId="31" fillId="0" borderId="68" xfId="0" applyFont="1" applyBorder="1" applyProtection="1">
      <protection hidden="1"/>
    </xf>
    <xf numFmtId="0" fontId="31" fillId="0" borderId="69" xfId="0" applyFont="1" applyBorder="1" applyProtection="1">
      <protection hidden="1"/>
    </xf>
    <xf numFmtId="0" fontId="31" fillId="0" borderId="70" xfId="0" applyFont="1" applyBorder="1" applyProtection="1">
      <protection hidden="1"/>
    </xf>
    <xf numFmtId="0" fontId="31" fillId="0" borderId="70" xfId="0" applyFont="1" applyBorder="1" applyAlignment="1" applyProtection="1">
      <alignment horizontal="center"/>
      <protection hidden="1"/>
    </xf>
    <xf numFmtId="1" fontId="31" fillId="3" borderId="0" xfId="0" applyNumberFormat="1" applyFont="1" applyFill="1" applyAlignment="1" applyProtection="1">
      <alignment horizontal="center"/>
      <protection hidden="1"/>
    </xf>
    <xf numFmtId="0" fontId="0" fillId="23" borderId="0" xfId="0" applyFill="1" applyAlignment="1" applyProtection="1">
      <alignment horizontal="center"/>
      <protection hidden="1"/>
    </xf>
    <xf numFmtId="0" fontId="4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center"/>
      <protection hidden="1"/>
    </xf>
    <xf numFmtId="0" fontId="31" fillId="4" borderId="0" xfId="0" applyFont="1" applyFill="1" applyProtection="1">
      <protection hidden="1"/>
    </xf>
    <xf numFmtId="0" fontId="31" fillId="4" borderId="0" xfId="0" applyFont="1" applyFill="1" applyAlignment="1" applyProtection="1">
      <alignment horizontal="center"/>
      <protection locked="0" hidden="1"/>
    </xf>
    <xf numFmtId="0" fontId="31" fillId="3" borderId="0" xfId="0" applyFont="1" applyFill="1" applyAlignment="1" applyProtection="1">
      <alignment horizontal="center"/>
      <protection hidden="1"/>
    </xf>
    <xf numFmtId="0" fontId="31" fillId="2" borderId="0" xfId="0" applyFont="1" applyFill="1" applyAlignment="1" applyProtection="1">
      <alignment horizontal="center"/>
      <protection hidden="1"/>
    </xf>
    <xf numFmtId="1" fontId="31" fillId="2" borderId="0" xfId="0" applyNumberFormat="1" applyFont="1" applyFill="1" applyAlignment="1" applyProtection="1">
      <alignment horizontal="center"/>
      <protection hidden="1"/>
    </xf>
    <xf numFmtId="0" fontId="0" fillId="26" borderId="0" xfId="0" applyFill="1" applyAlignment="1" applyProtection="1">
      <alignment horizontal="center"/>
      <protection hidden="1"/>
    </xf>
    <xf numFmtId="0" fontId="33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locked="0" hidden="1"/>
    </xf>
    <xf numFmtId="0" fontId="34" fillId="0" borderId="0" xfId="0" applyFont="1" applyAlignment="1" applyProtection="1">
      <alignment horizontal="center"/>
      <protection hidden="1"/>
    </xf>
    <xf numFmtId="0" fontId="31" fillId="0" borderId="0" xfId="0" applyFont="1" applyAlignment="1" applyProtection="1">
      <alignment horizontal="left"/>
      <protection hidden="1"/>
    </xf>
    <xf numFmtId="0" fontId="31" fillId="4" borderId="0" xfId="0" applyFont="1" applyFill="1" applyAlignment="1" applyProtection="1">
      <alignment horizontal="left"/>
      <protection hidden="1"/>
    </xf>
    <xf numFmtId="0" fontId="31" fillId="0" borderId="19" xfId="0" applyFont="1" applyBorder="1" applyProtection="1">
      <protection hidden="1"/>
    </xf>
    <xf numFmtId="0" fontId="31" fillId="0" borderId="1" xfId="0" applyFont="1" applyBorder="1" applyProtection="1">
      <protection hidden="1"/>
    </xf>
    <xf numFmtId="1" fontId="31" fillId="3" borderId="1" xfId="0" applyNumberFormat="1" applyFont="1" applyFill="1" applyBorder="1" applyAlignment="1" applyProtection="1">
      <alignment horizontal="center"/>
      <protection hidden="1"/>
    </xf>
    <xf numFmtId="1" fontId="31" fillId="3" borderId="19" xfId="0" applyNumberFormat="1" applyFont="1" applyFill="1" applyBorder="1" applyAlignment="1" applyProtection="1">
      <alignment horizontal="center"/>
      <protection hidden="1"/>
    </xf>
    <xf numFmtId="1" fontId="31" fillId="3" borderId="21" xfId="0" applyNumberFormat="1" applyFont="1" applyFill="1" applyBorder="1" applyAlignment="1" applyProtection="1">
      <alignment horizontal="center"/>
      <protection hidden="1"/>
    </xf>
    <xf numFmtId="0" fontId="0" fillId="25" borderId="46" xfId="0" applyFill="1" applyBorder="1" applyAlignment="1" applyProtection="1">
      <alignment horizontal="center"/>
      <protection hidden="1"/>
    </xf>
    <xf numFmtId="1" fontId="31" fillId="0" borderId="0" xfId="0" applyNumberFormat="1" applyFont="1" applyAlignment="1" applyProtection="1">
      <alignment horizontal="center"/>
      <protection hidden="1"/>
    </xf>
    <xf numFmtId="0" fontId="31" fillId="4" borderId="0" xfId="0" applyFont="1" applyFill="1" applyProtection="1">
      <protection locked="0" hidden="1"/>
    </xf>
    <xf numFmtId="0" fontId="0" fillId="26" borderId="46" xfId="0" applyFill="1" applyBorder="1" applyAlignment="1" applyProtection="1">
      <alignment horizontal="center"/>
      <protection hidden="1"/>
    </xf>
    <xf numFmtId="0" fontId="31" fillId="0" borderId="8" xfId="0" applyFont="1" applyBorder="1" applyAlignment="1" applyProtection="1">
      <alignment horizontal="center"/>
      <protection hidden="1"/>
    </xf>
    <xf numFmtId="0" fontId="31" fillId="0" borderId="5" xfId="0" applyFont="1" applyBorder="1" applyAlignment="1" applyProtection="1">
      <alignment horizontal="center"/>
      <protection hidden="1"/>
    </xf>
    <xf numFmtId="0" fontId="37" fillId="0" borderId="22" xfId="0" applyFont="1" applyBorder="1" applyProtection="1">
      <protection hidden="1"/>
    </xf>
    <xf numFmtId="1" fontId="0" fillId="25" borderId="19" xfId="0" applyNumberFormat="1" applyFill="1" applyBorder="1" applyAlignment="1" applyProtection="1">
      <alignment horizontal="center"/>
      <protection hidden="1"/>
    </xf>
    <xf numFmtId="1" fontId="0" fillId="25" borderId="21" xfId="0" applyNumberFormat="1" applyFill="1" applyBorder="1" applyAlignment="1" applyProtection="1">
      <alignment horizontal="center"/>
      <protection hidden="1"/>
    </xf>
    <xf numFmtId="0" fontId="6" fillId="16" borderId="0" xfId="0" applyFont="1" applyFill="1" applyProtection="1">
      <protection hidden="1"/>
    </xf>
    <xf numFmtId="0" fontId="0" fillId="14" borderId="46" xfId="0" applyFill="1" applyBorder="1" applyAlignment="1" applyProtection="1">
      <alignment horizontal="center"/>
      <protection hidden="1"/>
    </xf>
    <xf numFmtId="0" fontId="0" fillId="14" borderId="22" xfId="0" applyFill="1" applyBorder="1" applyProtection="1">
      <protection hidden="1"/>
    </xf>
    <xf numFmtId="0" fontId="0" fillId="14" borderId="19" xfId="0" applyFill="1" applyBorder="1" applyProtection="1">
      <protection hidden="1"/>
    </xf>
    <xf numFmtId="0" fontId="0" fillId="14" borderId="21" xfId="0" applyFill="1" applyBorder="1" applyProtection="1">
      <protection hidden="1"/>
    </xf>
    <xf numFmtId="0" fontId="6" fillId="14" borderId="22" xfId="0" applyFont="1" applyFill="1" applyBorder="1" applyProtection="1">
      <protection hidden="1"/>
    </xf>
    <xf numFmtId="0" fontId="6" fillId="14" borderId="19" xfId="0" applyFont="1" applyFill="1" applyBorder="1" applyProtection="1">
      <protection hidden="1"/>
    </xf>
    <xf numFmtId="0" fontId="6" fillId="14" borderId="21" xfId="0" applyFont="1" applyFill="1" applyBorder="1" applyProtection="1">
      <protection hidden="1"/>
    </xf>
    <xf numFmtId="0" fontId="0" fillId="16" borderId="0" xfId="0" applyFill="1" applyAlignment="1" applyProtection="1">
      <alignment horizontal="center"/>
      <protection hidden="1"/>
    </xf>
    <xf numFmtId="0" fontId="3" fillId="16" borderId="0" xfId="0" applyFont="1" applyFill="1" applyAlignment="1" applyProtection="1">
      <alignment horizontal="center"/>
      <protection hidden="1"/>
    </xf>
    <xf numFmtId="0" fontId="6" fillId="16" borderId="0" xfId="0" applyFont="1" applyFill="1" applyAlignment="1" applyProtection="1">
      <alignment horizontal="center"/>
      <protection hidden="1"/>
    </xf>
    <xf numFmtId="0" fontId="2" fillId="16" borderId="0" xfId="0" applyFont="1" applyFill="1" applyAlignment="1" applyProtection="1">
      <alignment horizontal="center"/>
      <protection hidden="1"/>
    </xf>
    <xf numFmtId="0" fontId="6" fillId="16" borderId="22" xfId="0" applyFont="1" applyFill="1" applyBorder="1" applyProtection="1">
      <protection hidden="1"/>
    </xf>
    <xf numFmtId="0" fontId="0" fillId="16" borderId="19" xfId="0" applyFill="1" applyBorder="1" applyProtection="1">
      <protection hidden="1"/>
    </xf>
    <xf numFmtId="1" fontId="6" fillId="14" borderId="19" xfId="0" applyNumberFormat="1" applyFont="1" applyFill="1" applyBorder="1" applyAlignment="1" applyProtection="1">
      <alignment horizontal="center"/>
      <protection hidden="1"/>
    </xf>
    <xf numFmtId="0" fontId="6" fillId="27" borderId="21" xfId="0" applyFont="1" applyFill="1" applyBorder="1" applyAlignment="1" applyProtection="1">
      <alignment horizontal="center"/>
      <protection hidden="1"/>
    </xf>
    <xf numFmtId="0" fontId="1" fillId="16" borderId="1" xfId="0" applyFont="1" applyFill="1" applyBorder="1" applyAlignment="1" applyProtection="1">
      <alignment horizontal="center"/>
      <protection hidden="1"/>
    </xf>
    <xf numFmtId="0" fontId="0" fillId="16" borderId="1" xfId="0" applyFill="1" applyBorder="1" applyProtection="1">
      <protection hidden="1"/>
    </xf>
    <xf numFmtId="0" fontId="0" fillId="20" borderId="12" xfId="0" applyFill="1" applyBorder="1" applyProtection="1">
      <protection locked="0" hidden="1"/>
    </xf>
    <xf numFmtId="0" fontId="0" fillId="20" borderId="9" xfId="0" applyFill="1" applyBorder="1" applyProtection="1">
      <protection locked="0" hidden="1"/>
    </xf>
    <xf numFmtId="0" fontId="0" fillId="13" borderId="0" xfId="0" applyFill="1" applyProtection="1">
      <protection locked="0" hidden="1"/>
    </xf>
    <xf numFmtId="1" fontId="0" fillId="20" borderId="9" xfId="0" applyNumberFormat="1" applyFill="1" applyBorder="1" applyAlignment="1" applyProtection="1">
      <alignment horizontal="center"/>
      <protection locked="0" hidden="1"/>
    </xf>
    <xf numFmtId="1" fontId="0" fillId="16" borderId="0" xfId="0" applyNumberFormat="1" applyFill="1" applyAlignment="1" applyProtection="1">
      <alignment horizontal="center"/>
      <protection locked="0" hidden="1"/>
    </xf>
    <xf numFmtId="0" fontId="0" fillId="16" borderId="0" xfId="0" applyFill="1" applyProtection="1">
      <protection locked="0" hidden="1"/>
    </xf>
    <xf numFmtId="0" fontId="0" fillId="32" borderId="4" xfId="0" applyFill="1" applyBorder="1" applyAlignment="1" applyProtection="1">
      <alignment horizontal="center"/>
      <protection locked="0" hidden="1"/>
    </xf>
    <xf numFmtId="0" fontId="0" fillId="20" borderId="7" xfId="0" applyFill="1" applyBorder="1" applyProtection="1">
      <protection locked="0" hidden="1"/>
    </xf>
    <xf numFmtId="0" fontId="0" fillId="20" borderId="0" xfId="0" applyFill="1" applyProtection="1">
      <protection locked="0" hidden="1"/>
    </xf>
    <xf numFmtId="1" fontId="0" fillId="20" borderId="0" xfId="0" applyNumberFormat="1" applyFill="1" applyAlignment="1" applyProtection="1">
      <alignment horizontal="center"/>
      <protection locked="0" hidden="1"/>
    </xf>
    <xf numFmtId="0" fontId="0" fillId="32" borderId="8" xfId="0" applyFill="1" applyBorder="1" applyAlignment="1" applyProtection="1">
      <alignment horizontal="center"/>
      <protection locked="0" hidden="1"/>
    </xf>
    <xf numFmtId="0" fontId="0" fillId="20" borderId="85" xfId="0" applyFill="1" applyBorder="1" applyProtection="1">
      <protection locked="0" hidden="1"/>
    </xf>
    <xf numFmtId="0" fontId="0" fillId="20" borderId="86" xfId="0" applyFill="1" applyBorder="1" applyProtection="1">
      <protection locked="0" hidden="1"/>
    </xf>
    <xf numFmtId="1" fontId="0" fillId="20" borderId="86" xfId="0" applyNumberFormat="1" applyFill="1" applyBorder="1" applyAlignment="1" applyProtection="1">
      <alignment horizontal="center"/>
      <protection locked="0" hidden="1"/>
    </xf>
    <xf numFmtId="1" fontId="0" fillId="20" borderId="87" xfId="0" applyNumberFormat="1" applyFill="1" applyBorder="1" applyAlignment="1" applyProtection="1">
      <alignment horizontal="center"/>
      <protection locked="0" hidden="1"/>
    </xf>
    <xf numFmtId="1" fontId="3" fillId="20" borderId="0" xfId="0" applyNumberFormat="1" applyFont="1" applyFill="1" applyAlignment="1" applyProtection="1">
      <alignment horizontal="center"/>
      <protection locked="0" hidden="1"/>
    </xf>
    <xf numFmtId="1" fontId="3" fillId="16" borderId="0" xfId="0" applyNumberFormat="1" applyFont="1" applyFill="1" applyAlignment="1" applyProtection="1">
      <alignment horizontal="center"/>
      <protection locked="0" hidden="1"/>
    </xf>
    <xf numFmtId="0" fontId="0" fillId="16" borderId="0" xfId="0" applyFill="1" applyAlignment="1" applyProtection="1">
      <alignment horizontal="center"/>
      <protection locked="0" hidden="1"/>
    </xf>
    <xf numFmtId="0" fontId="0" fillId="20" borderId="20" xfId="0" applyFill="1" applyBorder="1" applyProtection="1">
      <protection locked="0" hidden="1"/>
    </xf>
    <xf numFmtId="0" fontId="0" fillId="20" borderId="1" xfId="0" applyFill="1" applyBorder="1" applyProtection="1">
      <protection locked="0" hidden="1"/>
    </xf>
    <xf numFmtId="1" fontId="0" fillId="20" borderId="1" xfId="0" applyNumberFormat="1" applyFill="1" applyBorder="1" applyAlignment="1" applyProtection="1">
      <alignment horizontal="center"/>
      <protection locked="0" hidden="1"/>
    </xf>
    <xf numFmtId="0" fontId="0" fillId="35" borderId="0" xfId="0" applyFill="1" applyProtection="1">
      <protection hidden="1"/>
    </xf>
    <xf numFmtId="0" fontId="6" fillId="16" borderId="75" xfId="0" applyFont="1" applyFill="1" applyBorder="1" applyProtection="1">
      <protection hidden="1"/>
    </xf>
    <xf numFmtId="0" fontId="0" fillId="16" borderId="55" xfId="0" applyFill="1" applyBorder="1" applyProtection="1">
      <protection hidden="1"/>
    </xf>
    <xf numFmtId="1" fontId="6" fillId="15" borderId="55" xfId="0" applyNumberFormat="1" applyFont="1" applyFill="1" applyBorder="1" applyAlignment="1" applyProtection="1">
      <alignment horizontal="center"/>
      <protection hidden="1"/>
    </xf>
    <xf numFmtId="164" fontId="6" fillId="15" borderId="71" xfId="0" applyNumberFormat="1" applyFont="1" applyFill="1" applyBorder="1" applyAlignment="1" applyProtection="1">
      <alignment horizontal="center"/>
      <protection hidden="1"/>
    </xf>
    <xf numFmtId="0" fontId="0" fillId="28" borderId="23" xfId="0" applyFill="1" applyBorder="1" applyProtection="1">
      <protection hidden="1"/>
    </xf>
    <xf numFmtId="0" fontId="0" fillId="35" borderId="23" xfId="0" applyFill="1" applyBorder="1" applyProtection="1">
      <protection hidden="1"/>
    </xf>
    <xf numFmtId="1" fontId="6" fillId="35" borderId="23" xfId="0" applyNumberFormat="1" applyFont="1" applyFill="1" applyBorder="1" applyAlignment="1" applyProtection="1">
      <alignment horizontal="center"/>
      <protection hidden="1"/>
    </xf>
    <xf numFmtId="0" fontId="0" fillId="35" borderId="23" xfId="0" applyFill="1" applyBorder="1" applyAlignment="1" applyProtection="1">
      <alignment horizontal="center"/>
      <protection hidden="1"/>
    </xf>
    <xf numFmtId="164" fontId="6" fillId="35" borderId="23" xfId="0" applyNumberFormat="1" applyFont="1" applyFill="1" applyBorder="1" applyAlignment="1" applyProtection="1">
      <alignment horizontal="center"/>
      <protection hidden="1"/>
    </xf>
    <xf numFmtId="0" fontId="1" fillId="28" borderId="0" xfId="0" applyFont="1" applyFill="1" applyAlignment="1" applyProtection="1">
      <alignment horizontal="left" vertical="center" wrapText="1"/>
      <protection hidden="1"/>
    </xf>
    <xf numFmtId="0" fontId="2" fillId="36" borderId="0" xfId="0" applyFont="1" applyFill="1" applyAlignment="1" applyProtection="1">
      <alignment horizontal="center" vertical="center" wrapText="1"/>
      <protection hidden="1"/>
    </xf>
    <xf numFmtId="0" fontId="1" fillId="36" borderId="0" xfId="0" applyFont="1" applyFill="1" applyAlignment="1" applyProtection="1">
      <alignment horizontal="left" vertical="center" wrapText="1"/>
      <protection hidden="1"/>
    </xf>
    <xf numFmtId="0" fontId="2" fillId="36" borderId="8" xfId="0" applyFont="1" applyFill="1" applyBorder="1" applyAlignment="1" applyProtection="1">
      <alignment horizontal="center" vertical="center" wrapText="1"/>
      <protection hidden="1"/>
    </xf>
    <xf numFmtId="164" fontId="6" fillId="35" borderId="0" xfId="0" applyNumberFormat="1" applyFont="1" applyFill="1" applyAlignment="1" applyProtection="1">
      <alignment horizontal="center"/>
      <protection hidden="1"/>
    </xf>
    <xf numFmtId="1" fontId="2" fillId="20" borderId="1" xfId="0" applyNumberFormat="1" applyFont="1" applyFill="1" applyBorder="1" applyAlignment="1" applyProtection="1">
      <alignment horizontal="center"/>
      <protection locked="0" hidden="1"/>
    </xf>
    <xf numFmtId="0" fontId="1" fillId="28" borderId="0" xfId="0" applyFont="1" applyFill="1" applyAlignment="1" applyProtection="1">
      <alignment horizontal="left" vertical="center" wrapText="1"/>
      <protection locked="0" hidden="1"/>
    </xf>
    <xf numFmtId="1" fontId="2" fillId="20" borderId="5" xfId="0" applyNumberFormat="1" applyFont="1" applyFill="1" applyBorder="1" applyAlignment="1" applyProtection="1">
      <alignment horizontal="center"/>
      <protection locked="0" hidden="1"/>
    </xf>
    <xf numFmtId="1" fontId="0" fillId="25" borderId="20" xfId="0" applyNumberFormat="1" applyFill="1" applyBorder="1" applyAlignment="1" applyProtection="1">
      <alignment horizontal="center" wrapText="1"/>
      <protection locked="0" hidden="1"/>
    </xf>
    <xf numFmtId="0" fontId="0" fillId="28" borderId="0" xfId="0" applyFill="1" applyAlignment="1" applyProtection="1">
      <alignment wrapText="1"/>
      <protection locked="0" hidden="1"/>
    </xf>
    <xf numFmtId="0" fontId="0" fillId="2" borderId="0" xfId="0" applyFill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2" borderId="12" xfId="0" applyFill="1" applyBorder="1" applyProtection="1"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0" fillId="2" borderId="9" xfId="0" applyFill="1" applyBorder="1" applyProtection="1">
      <protection hidden="1"/>
    </xf>
    <xf numFmtId="0" fontId="0" fillId="3" borderId="9" xfId="0" applyFill="1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2" borderId="38" xfId="0" applyFill="1" applyBorder="1" applyAlignment="1" applyProtection="1">
      <alignment horizontal="center"/>
      <protection hidden="1"/>
    </xf>
    <xf numFmtId="0" fontId="0" fillId="2" borderId="39" xfId="0" applyFill="1" applyBorder="1" applyAlignment="1" applyProtection="1">
      <alignment horizontal="center"/>
      <protection hidden="1"/>
    </xf>
    <xf numFmtId="0" fontId="0" fillId="3" borderId="50" xfId="0" applyFill="1" applyBorder="1" applyAlignment="1" applyProtection="1">
      <alignment horizontal="center"/>
      <protection hidden="1"/>
    </xf>
    <xf numFmtId="0" fontId="0" fillId="3" borderId="40" xfId="0" applyFill="1" applyBorder="1" applyAlignment="1" applyProtection="1">
      <alignment horizontal="center"/>
      <protection hidden="1"/>
    </xf>
    <xf numFmtId="0" fontId="0" fillId="26" borderId="0" xfId="0" applyFill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41" xfId="0" applyBorder="1" applyProtection="1">
      <protection hidden="1"/>
    </xf>
    <xf numFmtId="0" fontId="0" fillId="0" borderId="36" xfId="0" applyBorder="1" applyAlignment="1" applyProtection="1">
      <alignment horizontal="center"/>
      <protection hidden="1"/>
    </xf>
    <xf numFmtId="1" fontId="0" fillId="3" borderId="36" xfId="0" applyNumberFormat="1" applyFill="1" applyBorder="1" applyAlignment="1" applyProtection="1">
      <alignment horizontal="center"/>
      <protection hidden="1"/>
    </xf>
    <xf numFmtId="1" fontId="0" fillId="3" borderId="51" xfId="0" applyNumberFormat="1" applyFill="1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center"/>
      <protection hidden="1"/>
    </xf>
    <xf numFmtId="164" fontId="3" fillId="24" borderId="78" xfId="0" applyNumberFormat="1" applyFont="1" applyFill="1" applyBorder="1" applyAlignment="1" applyProtection="1">
      <alignment horizontal="center" vertical="center" wrapText="1"/>
      <protection hidden="1"/>
    </xf>
    <xf numFmtId="1" fontId="0" fillId="3" borderId="44" xfId="0" applyNumberFormat="1" applyFill="1" applyBorder="1" applyAlignment="1" applyProtection="1">
      <alignment horizontal="center"/>
      <protection hidden="1"/>
    </xf>
    <xf numFmtId="1" fontId="0" fillId="3" borderId="53" xfId="0" applyNumberFormat="1" applyFill="1" applyBorder="1" applyAlignment="1" applyProtection="1">
      <alignment horizontal="center"/>
      <protection hidden="1"/>
    </xf>
    <xf numFmtId="0" fontId="0" fillId="0" borderId="49" xfId="0" applyBorder="1" applyProtection="1">
      <protection hidden="1"/>
    </xf>
    <xf numFmtId="0" fontId="0" fillId="0" borderId="35" xfId="0" applyBorder="1" applyAlignment="1" applyProtection="1">
      <alignment horizontal="center"/>
      <protection hidden="1"/>
    </xf>
    <xf numFmtId="1" fontId="0" fillId="3" borderId="35" xfId="0" applyNumberFormat="1" applyFill="1" applyBorder="1" applyAlignment="1" applyProtection="1">
      <alignment horizontal="center"/>
      <protection hidden="1"/>
    </xf>
    <xf numFmtId="1" fontId="0" fillId="3" borderId="52" xfId="0" applyNumberFormat="1" applyFill="1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0" fillId="0" borderId="20" xfId="0" applyBorder="1" applyProtection="1">
      <protection hidden="1"/>
    </xf>
    <xf numFmtId="1" fontId="0" fillId="3" borderId="1" xfId="0" applyNumberFormat="1" applyFill="1" applyBorder="1" applyAlignment="1" applyProtection="1">
      <alignment horizontal="center"/>
      <protection hidden="1"/>
    </xf>
    <xf numFmtId="0" fontId="0" fillId="0" borderId="72" xfId="0" applyBorder="1" applyProtection="1">
      <protection hidden="1"/>
    </xf>
    <xf numFmtId="1" fontId="0" fillId="25" borderId="55" xfId="0" applyNumberFormat="1" applyFill="1" applyBorder="1" applyAlignment="1" applyProtection="1">
      <alignment horizontal="center"/>
      <protection hidden="1"/>
    </xf>
    <xf numFmtId="0" fontId="0" fillId="25" borderId="74" xfId="0" applyFill="1" applyBorder="1" applyAlignment="1" applyProtection="1">
      <alignment horizontal="center"/>
      <protection hidden="1"/>
    </xf>
    <xf numFmtId="0" fontId="0" fillId="25" borderId="73" xfId="0" applyFill="1" applyBorder="1" applyAlignment="1" applyProtection="1">
      <alignment horizontal="right"/>
      <protection hidden="1"/>
    </xf>
    <xf numFmtId="0" fontId="0" fillId="25" borderId="55" xfId="0" applyFill="1" applyBorder="1" applyAlignment="1" applyProtection="1">
      <alignment horizontal="center"/>
      <protection hidden="1"/>
    </xf>
    <xf numFmtId="0" fontId="0" fillId="25" borderId="74" xfId="0" applyFill="1" applyBorder="1" applyAlignment="1" applyProtection="1">
      <alignment horizontal="right"/>
      <protection hidden="1"/>
    </xf>
    <xf numFmtId="0" fontId="0" fillId="25" borderId="73" xfId="0" applyFill="1" applyBorder="1" applyAlignment="1" applyProtection="1">
      <alignment horizontal="center"/>
      <protection hidden="1"/>
    </xf>
    <xf numFmtId="0" fontId="1" fillId="0" borderId="83" xfId="0" applyFont="1" applyBorder="1" applyAlignment="1" applyProtection="1">
      <alignment horizontal="left" vertical="center" wrapText="1"/>
      <protection hidden="1"/>
    </xf>
    <xf numFmtId="0" fontId="1" fillId="0" borderId="84" xfId="0" applyFont="1" applyBorder="1" applyAlignment="1" applyProtection="1">
      <alignment horizontal="left" vertical="center" wrapText="1"/>
      <protection hidden="1"/>
    </xf>
    <xf numFmtId="1" fontId="1" fillId="24" borderId="84" xfId="0" applyNumberFormat="1" applyFont="1" applyFill="1" applyBorder="1" applyAlignment="1" applyProtection="1">
      <alignment horizontal="center" vertical="center" wrapText="1"/>
      <protection hidden="1"/>
    </xf>
    <xf numFmtId="0" fontId="0" fillId="3" borderId="21" xfId="0" applyFill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1" fontId="0" fillId="3" borderId="6" xfId="0" applyNumberFormat="1" applyFill="1" applyBorder="1" applyAlignment="1" applyProtection="1">
      <alignment horizontal="center"/>
      <protection hidden="1"/>
    </xf>
    <xf numFmtId="0" fontId="6" fillId="0" borderId="22" xfId="0" applyFont="1" applyBorder="1" applyProtection="1">
      <protection hidden="1"/>
    </xf>
    <xf numFmtId="0" fontId="1" fillId="0" borderId="9" xfId="0" applyFont="1" applyBorder="1" applyProtection="1">
      <protection hidden="1"/>
    </xf>
    <xf numFmtId="164" fontId="6" fillId="2" borderId="9" xfId="0" applyNumberFormat="1" applyFont="1" applyFill="1" applyBorder="1" applyAlignment="1" applyProtection="1">
      <alignment horizontal="center"/>
      <protection hidden="1"/>
    </xf>
    <xf numFmtId="164" fontId="6" fillId="2" borderId="4" xfId="0" applyNumberFormat="1" applyFont="1" applyFill="1" applyBorder="1" applyAlignment="1" applyProtection="1">
      <alignment horizontal="center"/>
      <protection hidden="1"/>
    </xf>
    <xf numFmtId="0" fontId="1" fillId="0" borderId="20" xfId="0" applyFont="1" applyBorder="1" applyProtection="1">
      <protection hidden="1"/>
    </xf>
    <xf numFmtId="164" fontId="6" fillId="21" borderId="1" xfId="0" applyNumberFormat="1" applyFont="1" applyFill="1" applyBorder="1" applyAlignment="1" applyProtection="1">
      <alignment horizontal="center"/>
      <protection hidden="1"/>
    </xf>
    <xf numFmtId="164" fontId="6" fillId="21" borderId="5" xfId="0" applyNumberFormat="1" applyFont="1" applyFill="1" applyBorder="1" applyAlignment="1" applyProtection="1">
      <alignment horizontal="center"/>
      <protection hidden="1"/>
    </xf>
    <xf numFmtId="1" fontId="0" fillId="2" borderId="9" xfId="0" applyNumberFormat="1" applyFill="1" applyBorder="1" applyAlignment="1" applyProtection="1">
      <alignment horizontal="center"/>
      <protection hidden="1"/>
    </xf>
    <xf numFmtId="1" fontId="0" fillId="2" borderId="4" xfId="0" applyNumberFormat="1" applyFill="1" applyBorder="1" applyAlignment="1" applyProtection="1">
      <alignment horizontal="center"/>
      <protection hidden="1"/>
    </xf>
    <xf numFmtId="164" fontId="0" fillId="26" borderId="0" xfId="0" applyNumberFormat="1" applyFill="1" applyAlignment="1" applyProtection="1">
      <alignment horizontal="center"/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8" xfId="0" applyNumberFormat="1" applyFill="1" applyBorder="1" applyAlignment="1" applyProtection="1">
      <alignment horizontal="center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3" fillId="17" borderId="7" xfId="0" applyFont="1" applyFill="1" applyBorder="1" applyAlignment="1" applyProtection="1">
      <alignment horizontal="center"/>
      <protection hidden="1"/>
    </xf>
    <xf numFmtId="0" fontId="0" fillId="28" borderId="0" xfId="0" applyFill="1" applyAlignment="1" applyProtection="1">
      <alignment horizontal="center"/>
      <protection hidden="1"/>
    </xf>
    <xf numFmtId="0" fontId="0" fillId="17" borderId="8" xfId="0" applyFill="1" applyBorder="1" applyAlignment="1" applyProtection="1">
      <alignment horizontal="center"/>
      <protection hidden="1"/>
    </xf>
    <xf numFmtId="0" fontId="1" fillId="29" borderId="7" xfId="0" applyFont="1" applyFill="1" applyBorder="1" applyAlignment="1" applyProtection="1">
      <alignment horizontal="left" wrapText="1"/>
      <protection locked="0"/>
    </xf>
    <xf numFmtId="0" fontId="3" fillId="29" borderId="0" xfId="0" applyFont="1" applyFill="1" applyAlignment="1" applyProtection="1">
      <alignment horizontal="left" wrapText="1"/>
      <protection locked="0"/>
    </xf>
    <xf numFmtId="0" fontId="3" fillId="29" borderId="8" xfId="0" applyFont="1" applyFill="1" applyBorder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8" xfId="0" applyBorder="1" applyAlignment="1" applyProtection="1">
      <alignment horizontal="left" wrapText="1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 wrapText="1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0" fillId="29" borderId="1" xfId="0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left"/>
      <protection hidden="1"/>
    </xf>
    <xf numFmtId="0" fontId="7" fillId="2" borderId="0" xfId="0" applyFont="1" applyFill="1" applyAlignment="1" applyProtection="1">
      <alignment horizont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" fillId="17" borderId="0" xfId="0" applyFont="1" applyFill="1" applyAlignment="1" applyProtection="1">
      <alignment horizontal="center"/>
      <protection hidden="1"/>
    </xf>
    <xf numFmtId="0" fontId="0" fillId="29" borderId="1" xfId="0" applyFill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17" borderId="7" xfId="0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31" fillId="13" borderId="0" xfId="0" applyFont="1" applyFill="1" applyAlignment="1" applyProtection="1">
      <alignment horizontal="center"/>
      <protection hidden="1"/>
    </xf>
    <xf numFmtId="0" fontId="3" fillId="28" borderId="0" xfId="0" applyFont="1" applyFill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right"/>
      <protection hidden="1"/>
    </xf>
    <xf numFmtId="0" fontId="1" fillId="28" borderId="0" xfId="0" applyFont="1" applyFill="1" applyAlignment="1" applyProtection="1">
      <alignment horizontal="center"/>
      <protection hidden="1"/>
    </xf>
    <xf numFmtId="0" fontId="42" fillId="17" borderId="0" xfId="0" applyFont="1" applyFill="1" applyAlignment="1" applyProtection="1">
      <alignment horizontal="center" wrapText="1"/>
      <protection hidden="1"/>
    </xf>
    <xf numFmtId="0" fontId="42" fillId="17" borderId="1" xfId="0" applyFont="1" applyFill="1" applyBorder="1" applyAlignment="1" applyProtection="1">
      <alignment horizontal="center" wrapText="1"/>
      <protection hidden="1"/>
    </xf>
    <xf numFmtId="0" fontId="42" fillId="28" borderId="0" xfId="0" applyFont="1" applyFill="1" applyAlignment="1" applyProtection="1">
      <alignment horizontal="center" wrapText="1"/>
      <protection hidden="1"/>
    </xf>
    <xf numFmtId="0" fontId="42" fillId="28" borderId="1" xfId="0" applyFont="1" applyFill="1" applyBorder="1" applyAlignment="1" applyProtection="1">
      <alignment horizontal="center" wrapText="1"/>
      <protection hidden="1"/>
    </xf>
    <xf numFmtId="0" fontId="0" fillId="29" borderId="1" xfId="0" applyFill="1" applyBorder="1" applyProtection="1">
      <protection hidden="1"/>
    </xf>
    <xf numFmtId="0" fontId="0" fillId="0" borderId="1" xfId="0" applyBorder="1"/>
    <xf numFmtId="0" fontId="16" fillId="13" borderId="0" xfId="0" applyFont="1" applyFill="1" applyAlignment="1" applyProtection="1">
      <alignment horizontal="center" wrapText="1"/>
      <protection hidden="1"/>
    </xf>
    <xf numFmtId="0" fontId="16" fillId="13" borderId="8" xfId="0" applyFont="1" applyFill="1" applyBorder="1" applyAlignment="1" applyProtection="1">
      <alignment horizontal="center" wrapText="1"/>
      <protection hidden="1"/>
    </xf>
    <xf numFmtId="0" fontId="16" fillId="13" borderId="1" xfId="0" applyFont="1" applyFill="1" applyBorder="1" applyAlignment="1" applyProtection="1">
      <alignment horizontal="center" wrapText="1"/>
      <protection hidden="1"/>
    </xf>
    <xf numFmtId="0" fontId="16" fillId="13" borderId="5" xfId="0" applyFont="1" applyFill="1" applyBorder="1" applyAlignment="1" applyProtection="1">
      <alignment horizontal="center" wrapText="1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17" borderId="0" xfId="0" applyFill="1" applyAlignment="1" applyProtection="1">
      <alignment horizontal="center" wrapText="1"/>
      <protection hidden="1"/>
    </xf>
    <xf numFmtId="0" fontId="1" fillId="17" borderId="0" xfId="0" applyFont="1" applyFill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1" fillId="29" borderId="1" xfId="0" applyFont="1" applyFill="1" applyBorder="1" applyAlignment="1" applyProtection="1">
      <alignment horizontal="center"/>
      <protection locked="0"/>
    </xf>
    <xf numFmtId="0" fontId="3" fillId="13" borderId="20" xfId="0" applyFont="1" applyFill="1" applyBorder="1" applyAlignment="1" applyProtection="1">
      <alignment horizontal="center" vertical="center"/>
      <protection hidden="1"/>
    </xf>
    <xf numFmtId="0" fontId="3" fillId="13" borderId="1" xfId="0" applyFont="1" applyFill="1" applyBorder="1" applyAlignment="1" applyProtection="1">
      <alignment horizontal="center" vertical="center"/>
      <protection hidden="1"/>
    </xf>
    <xf numFmtId="0" fontId="1" fillId="4" borderId="20" xfId="0" applyFont="1" applyFill="1" applyBorder="1" applyAlignment="1" applyProtection="1">
      <alignment horizontal="center"/>
      <protection locked="0"/>
    </xf>
    <xf numFmtId="0" fontId="0" fillId="13" borderId="0" xfId="0" applyFill="1" applyAlignment="1" applyProtection="1">
      <alignment horizontal="center"/>
      <protection hidden="1"/>
    </xf>
    <xf numFmtId="0" fontId="41" fillId="28" borderId="0" xfId="0" applyFont="1" applyFill="1" applyAlignment="1" applyProtection="1">
      <alignment horizontal="center"/>
      <protection hidden="1"/>
    </xf>
    <xf numFmtId="0" fontId="41" fillId="28" borderId="8" xfId="0" applyFont="1" applyFill="1" applyBorder="1" applyAlignment="1" applyProtection="1">
      <alignment horizontal="center"/>
      <protection hidden="1"/>
    </xf>
    <xf numFmtId="0" fontId="2" fillId="28" borderId="0" xfId="0" applyFont="1" applyFill="1" applyAlignment="1" applyProtection="1">
      <alignment horizontal="center" vertical="center" wrapText="1"/>
      <protection hidden="1"/>
    </xf>
    <xf numFmtId="0" fontId="3" fillId="13" borderId="0" xfId="0" applyFont="1" applyFill="1" applyAlignment="1" applyProtection="1">
      <alignment horizontal="center"/>
      <protection hidden="1"/>
    </xf>
    <xf numFmtId="0" fontId="0" fillId="13" borderId="7" xfId="0" applyFill="1" applyBorder="1" applyAlignment="1" applyProtection="1">
      <alignment horizontal="center"/>
      <protection hidden="1"/>
    </xf>
    <xf numFmtId="0" fontId="6" fillId="28" borderId="0" xfId="0" applyFont="1" applyFill="1" applyAlignment="1" applyProtection="1">
      <alignment horizontal="center"/>
      <protection hidden="1"/>
    </xf>
    <xf numFmtId="0" fontId="2" fillId="28" borderId="0" xfId="0" applyFont="1" applyFill="1" applyAlignment="1" applyProtection="1">
      <alignment horizontal="right"/>
      <protection hidden="1"/>
    </xf>
    <xf numFmtId="0" fontId="1" fillId="0" borderId="1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33" fillId="17" borderId="22" xfId="0" applyFont="1" applyFill="1" applyBorder="1" applyAlignment="1" applyProtection="1">
      <alignment horizontal="center" wrapText="1"/>
      <protection hidden="1"/>
    </xf>
    <xf numFmtId="0" fontId="31" fillId="13" borderId="19" xfId="0" applyFont="1" applyFill="1" applyBorder="1"/>
    <xf numFmtId="0" fontId="31" fillId="13" borderId="21" xfId="0" applyFont="1" applyFill="1" applyBorder="1"/>
    <xf numFmtId="0" fontId="33" fillId="17" borderId="22" xfId="0" applyFont="1" applyFill="1" applyBorder="1" applyAlignment="1" applyProtection="1">
      <alignment horizontal="center"/>
      <protection hidden="1"/>
    </xf>
    <xf numFmtId="0" fontId="31" fillId="13" borderId="19" xfId="0" applyFont="1" applyFill="1" applyBorder="1" applyAlignment="1" applyProtection="1">
      <alignment horizontal="center"/>
      <protection hidden="1"/>
    </xf>
    <xf numFmtId="0" fontId="31" fillId="13" borderId="21" xfId="0" applyFont="1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/>
      <protection hidden="1"/>
    </xf>
    <xf numFmtId="0" fontId="0" fillId="13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3" fillId="13" borderId="12" xfId="0" applyFont="1" applyFill="1" applyBorder="1" applyAlignment="1" applyProtection="1">
      <alignment horizontal="center" wrapText="1"/>
      <protection hidden="1"/>
    </xf>
    <xf numFmtId="0" fontId="3" fillId="13" borderId="7" xfId="0" applyFont="1" applyFill="1" applyBorder="1" applyAlignment="1" applyProtection="1">
      <alignment horizontal="center" wrapText="1"/>
      <protection hidden="1"/>
    </xf>
    <xf numFmtId="0" fontId="6" fillId="2" borderId="21" xfId="0" applyFont="1" applyFill="1" applyBorder="1" applyAlignment="1" applyProtection="1">
      <alignment horizontal="center"/>
      <protection hidden="1"/>
    </xf>
    <xf numFmtId="0" fontId="23" fillId="13" borderId="9" xfId="0" applyFont="1" applyFill="1" applyBorder="1" applyAlignment="1" applyProtection="1">
      <alignment horizontal="center"/>
      <protection hidden="1"/>
    </xf>
    <xf numFmtId="0" fontId="0" fillId="13" borderId="9" xfId="0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6" fillId="2" borderId="9" xfId="0" applyFont="1" applyFill="1" applyBorder="1" applyAlignment="1" applyProtection="1">
      <alignment horizontal="left"/>
      <protection hidden="1"/>
    </xf>
    <xf numFmtId="0" fontId="0" fillId="0" borderId="9" xfId="0" applyBorder="1"/>
    <xf numFmtId="0" fontId="0" fillId="0" borderId="4" xfId="0" applyBorder="1"/>
    <xf numFmtId="0" fontId="42" fillId="0" borderId="26" xfId="0" applyFont="1" applyBorder="1" applyAlignment="1" applyProtection="1">
      <alignment horizontal="center" wrapText="1"/>
      <protection hidden="1"/>
    </xf>
    <xf numFmtId="0" fontId="0" fillId="13" borderId="12" xfId="0" applyFill="1" applyBorder="1" applyAlignment="1" applyProtection="1">
      <alignment horizontal="center"/>
      <protection hidden="1"/>
    </xf>
    <xf numFmtId="0" fontId="0" fillId="13" borderId="4" xfId="0" applyFill="1" applyBorder="1" applyAlignment="1" applyProtection="1">
      <alignment horizontal="center"/>
      <protection hidden="1"/>
    </xf>
    <xf numFmtId="0" fontId="6" fillId="13" borderId="6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Protection="1">
      <protection locked="0" hidden="1"/>
    </xf>
    <xf numFmtId="0" fontId="31" fillId="0" borderId="67" xfId="0" applyFont="1" applyBorder="1" applyAlignment="1" applyProtection="1">
      <alignment horizontal="center"/>
      <protection hidden="1"/>
    </xf>
    <xf numFmtId="0" fontId="31" fillId="0" borderId="68" xfId="0" applyFont="1" applyBorder="1" applyAlignment="1" applyProtection="1">
      <alignment horizontal="center"/>
      <protection hidden="1"/>
    </xf>
    <xf numFmtId="0" fontId="31" fillId="0" borderId="69" xfId="0" applyFont="1" applyBorder="1" applyAlignment="1" applyProtection="1">
      <alignment horizontal="center"/>
      <protection hidden="1"/>
    </xf>
    <xf numFmtId="0" fontId="0" fillId="14" borderId="7" xfId="0" applyFill="1" applyBorder="1" applyAlignment="1" applyProtection="1">
      <alignment horizontal="center"/>
      <protection hidden="1"/>
    </xf>
    <xf numFmtId="0" fontId="0" fillId="14" borderId="0" xfId="0" applyFill="1" applyAlignment="1" applyProtection="1">
      <alignment horizontal="center"/>
      <protection hidden="1"/>
    </xf>
    <xf numFmtId="0" fontId="1" fillId="28" borderId="7" xfId="0" applyFont="1" applyFill="1" applyBorder="1" applyAlignment="1" applyProtection="1">
      <alignment horizontal="left" vertical="center" wrapText="1"/>
      <protection hidden="1"/>
    </xf>
    <xf numFmtId="0" fontId="1" fillId="28" borderId="0" xfId="0" applyFont="1" applyFill="1" applyAlignment="1" applyProtection="1">
      <alignment horizontal="left" vertical="center" wrapText="1"/>
      <protection hidden="1"/>
    </xf>
    <xf numFmtId="0" fontId="1" fillId="28" borderId="20" xfId="0" applyFont="1" applyFill="1" applyBorder="1" applyAlignment="1" applyProtection="1">
      <alignment horizontal="left" vertical="center" wrapText="1"/>
      <protection hidden="1"/>
    </xf>
    <xf numFmtId="0" fontId="1" fillId="28" borderId="1" xfId="0" applyFont="1" applyFill="1" applyBorder="1" applyAlignment="1" applyProtection="1">
      <alignment horizontal="left" vertical="center" wrapText="1"/>
      <protection hidden="1"/>
    </xf>
    <xf numFmtId="0" fontId="0" fillId="16" borderId="0" xfId="0" applyFill="1" applyAlignment="1" applyProtection="1">
      <alignment horizontal="center"/>
      <protection hidden="1"/>
    </xf>
    <xf numFmtId="0" fontId="2" fillId="16" borderId="4" xfId="0" applyFont="1" applyFill="1" applyBorder="1" applyAlignment="1" applyProtection="1">
      <alignment horizontal="center" vertical="center" textRotation="90"/>
      <protection hidden="1"/>
    </xf>
    <xf numFmtId="0" fontId="2" fillId="16" borderId="8" xfId="0" applyFont="1" applyFill="1" applyBorder="1" applyAlignment="1" applyProtection="1">
      <alignment horizontal="center" vertical="center" textRotation="90"/>
      <protection hidden="1"/>
    </xf>
    <xf numFmtId="0" fontId="2" fillId="16" borderId="87" xfId="0" applyFont="1" applyFill="1" applyBorder="1" applyAlignment="1" applyProtection="1">
      <alignment horizontal="center" vertical="center" textRotation="90"/>
      <protection hidden="1"/>
    </xf>
    <xf numFmtId="0" fontId="1" fillId="16" borderId="88" xfId="0" applyFont="1" applyFill="1" applyBorder="1" applyAlignment="1" applyProtection="1">
      <alignment horizontal="center" vertical="center" textRotation="90"/>
      <protection hidden="1"/>
    </xf>
    <xf numFmtId="0" fontId="0" fillId="16" borderId="8" xfId="0" applyFill="1" applyBorder="1" applyAlignment="1" applyProtection="1">
      <alignment horizontal="center" vertical="center" textRotation="90"/>
      <protection hidden="1"/>
    </xf>
    <xf numFmtId="0" fontId="0" fillId="16" borderId="5" xfId="0" applyFill="1" applyBorder="1" applyAlignment="1" applyProtection="1">
      <alignment horizontal="center" vertical="center" textRotation="90"/>
      <protection hidden="1"/>
    </xf>
    <xf numFmtId="0" fontId="0" fillId="20" borderId="12" xfId="0" applyFill="1" applyBorder="1" applyAlignment="1" applyProtection="1">
      <alignment wrapText="1"/>
      <protection locked="0" hidden="1"/>
    </xf>
    <xf numFmtId="0" fontId="0" fillId="0" borderId="9" xfId="0" applyBorder="1" applyAlignment="1" applyProtection="1">
      <alignment wrapText="1"/>
      <protection locked="0" hidden="1"/>
    </xf>
    <xf numFmtId="0" fontId="0" fillId="0" borderId="4" xfId="0" applyBorder="1" applyAlignment="1" applyProtection="1">
      <alignment wrapText="1"/>
      <protection locked="0" hidden="1"/>
    </xf>
    <xf numFmtId="0" fontId="0" fillId="0" borderId="20" xfId="0" applyBorder="1" applyAlignment="1" applyProtection="1">
      <alignment wrapText="1"/>
      <protection locked="0" hidden="1"/>
    </xf>
    <xf numFmtId="0" fontId="0" fillId="0" borderId="1" xfId="0" applyBorder="1" applyAlignment="1" applyProtection="1">
      <alignment wrapText="1"/>
      <protection locked="0" hidden="1"/>
    </xf>
    <xf numFmtId="0" fontId="0" fillId="0" borderId="5" xfId="0" applyBorder="1" applyAlignment="1" applyProtection="1">
      <alignment wrapText="1"/>
      <protection locked="0" hidden="1"/>
    </xf>
    <xf numFmtId="0" fontId="0" fillId="0" borderId="7" xfId="0" applyBorder="1" applyAlignment="1" applyProtection="1">
      <alignment wrapText="1"/>
      <protection locked="0" hidden="1"/>
    </xf>
    <xf numFmtId="0" fontId="0" fillId="0" borderId="0" xfId="0" applyAlignment="1" applyProtection="1">
      <alignment wrapText="1"/>
      <protection locked="0" hidden="1"/>
    </xf>
    <xf numFmtId="0" fontId="0" fillId="0" borderId="8" xfId="0" applyBorder="1" applyAlignment="1" applyProtection="1">
      <alignment wrapText="1"/>
      <protection locked="0" hidden="1"/>
    </xf>
    <xf numFmtId="0" fontId="1" fillId="0" borderId="12" xfId="0" applyFont="1" applyBorder="1" applyAlignment="1" applyProtection="1">
      <alignment horizontal="center" wrapText="1"/>
      <protection locked="0" hidden="1"/>
    </xf>
    <xf numFmtId="0" fontId="0" fillId="0" borderId="9" xfId="0" applyBorder="1" applyAlignment="1" applyProtection="1">
      <alignment horizontal="center" wrapText="1"/>
      <protection hidden="1"/>
    </xf>
    <xf numFmtId="0" fontId="0" fillId="0" borderId="4" xfId="0" applyBorder="1" applyAlignment="1" applyProtection="1">
      <alignment horizontal="center" wrapText="1"/>
      <protection hidden="1"/>
    </xf>
    <xf numFmtId="0" fontId="0" fillId="0" borderId="7" xfId="0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0" borderId="8" xfId="0" applyBorder="1" applyAlignment="1" applyProtection="1">
      <alignment horizontal="center" wrapText="1"/>
      <protection hidden="1"/>
    </xf>
    <xf numFmtId="0" fontId="43" fillId="0" borderId="75" xfId="0" applyFont="1" applyBorder="1" applyAlignment="1" applyProtection="1">
      <alignment horizontal="right"/>
      <protection hidden="1"/>
    </xf>
    <xf numFmtId="0" fontId="43" fillId="0" borderId="55" xfId="0" applyFont="1" applyBorder="1" applyAlignment="1" applyProtection="1">
      <alignment horizontal="right"/>
      <protection hidden="1"/>
    </xf>
    <xf numFmtId="0" fontId="43" fillId="0" borderId="76" xfId="0" applyFont="1" applyBorder="1" applyAlignment="1" applyProtection="1">
      <alignment horizontal="right"/>
      <protection hidden="1"/>
    </xf>
    <xf numFmtId="0" fontId="39" fillId="0" borderId="75" xfId="0" applyFont="1" applyBorder="1" applyAlignment="1" applyProtection="1">
      <alignment horizontal="right"/>
      <protection hidden="1"/>
    </xf>
    <xf numFmtId="0" fontId="39" fillId="0" borderId="55" xfId="0" applyFont="1" applyBorder="1" applyAlignment="1" applyProtection="1">
      <alignment horizontal="right"/>
      <protection hidden="1"/>
    </xf>
    <xf numFmtId="0" fontId="39" fillId="0" borderId="76" xfId="0" applyFont="1" applyBorder="1" applyAlignment="1" applyProtection="1">
      <alignment horizontal="right"/>
      <protection hidden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0" xfId="0" applyFont="1" applyBorder="1" applyAlignment="1">
      <alignment horizontal="center" vertical="center" wrapText="1"/>
    </xf>
    <xf numFmtId="0" fontId="1" fillId="0" borderId="81" xfId="0" applyFont="1" applyBorder="1" applyAlignment="1">
      <alignment horizontal="center" vertical="center" wrapText="1"/>
    </xf>
    <xf numFmtId="0" fontId="18" fillId="0" borderId="4" xfId="0" applyFont="1" applyBorder="1" applyAlignment="1">
      <alignment textRotation="30"/>
    </xf>
    <xf numFmtId="0" fontId="18" fillId="0" borderId="8" xfId="0" applyFont="1" applyBorder="1" applyAlignment="1">
      <alignment textRotation="30"/>
    </xf>
    <xf numFmtId="0" fontId="18" fillId="0" borderId="5" xfId="0" applyFont="1" applyBorder="1" applyAlignment="1">
      <alignment textRotation="30"/>
    </xf>
    <xf numFmtId="0" fontId="13" fillId="0" borderId="4" xfId="0" applyFont="1" applyBorder="1" applyAlignment="1">
      <alignment textRotation="30"/>
    </xf>
    <xf numFmtId="0" fontId="13" fillId="0" borderId="4" xfId="0" applyFont="1" applyBorder="1" applyAlignment="1">
      <alignment textRotation="15"/>
    </xf>
    <xf numFmtId="0" fontId="18" fillId="0" borderId="8" xfId="0" applyFont="1" applyBorder="1" applyAlignment="1">
      <alignment textRotation="15"/>
    </xf>
    <xf numFmtId="0" fontId="18" fillId="0" borderId="5" xfId="0" applyFont="1" applyBorder="1" applyAlignment="1">
      <alignment textRotation="15"/>
    </xf>
    <xf numFmtId="0" fontId="0" fillId="0" borderId="7" xfId="0" applyBorder="1" applyAlignment="1" applyProtection="1">
      <alignment wrapText="1"/>
      <protection hidden="1"/>
    </xf>
    <xf numFmtId="0" fontId="0" fillId="0" borderId="0" xfId="0"/>
    <xf numFmtId="0" fontId="1" fillId="0" borderId="13" xfId="0" applyFont="1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1" fillId="0" borderId="1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6" fillId="0" borderId="26" xfId="0" applyFont="1" applyBorder="1" applyProtection="1">
      <protection hidden="1"/>
    </xf>
    <xf numFmtId="0" fontId="0" fillId="0" borderId="26" xfId="0" applyBorder="1" applyAlignment="1" applyProtection="1">
      <alignment wrapText="1"/>
      <protection hidden="1"/>
    </xf>
    <xf numFmtId="0" fontId="0" fillId="0" borderId="26" xfId="0" applyBorder="1" applyAlignment="1" applyProtection="1">
      <alignment horizontal="center" wrapText="1"/>
      <protection hidden="1"/>
    </xf>
    <xf numFmtId="0" fontId="1" fillId="0" borderId="14" xfId="0" applyFont="1" applyBorder="1" applyAlignment="1" applyProtection="1">
      <alignment horizontal="center" wrapText="1"/>
      <protection hidden="1"/>
    </xf>
    <xf numFmtId="0" fontId="6" fillId="0" borderId="2" xfId="0" applyFont="1" applyBorder="1" applyAlignment="1" applyProtection="1">
      <alignment horizontal="center" wrapText="1"/>
      <protection hidden="1"/>
    </xf>
    <xf numFmtId="0" fontId="0" fillId="5" borderId="16" xfId="0" applyFill="1" applyBorder="1" applyAlignment="1" applyProtection="1">
      <alignment horizontal="center"/>
      <protection hidden="1"/>
    </xf>
    <xf numFmtId="0" fontId="0" fillId="5" borderId="54" xfId="0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left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3" borderId="23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0" borderId="23" xfId="0" applyBorder="1" applyAlignment="1" applyProtection="1">
      <alignment horizontal="center"/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1" fillId="0" borderId="8" xfId="0" applyFont="1" applyBorder="1" applyAlignment="1" applyProtection="1">
      <alignment horizontal="center"/>
      <protection hidden="1"/>
    </xf>
    <xf numFmtId="0" fontId="0" fillId="5" borderId="0" xfId="0" quotePrefix="1" applyFill="1" applyAlignment="1" applyProtection="1">
      <alignment horizontal="center"/>
      <protection hidden="1"/>
    </xf>
    <xf numFmtId="0" fontId="2" fillId="5" borderId="0" xfId="0" applyFont="1" applyFill="1" applyAlignment="1" applyProtection="1">
      <alignment horizontal="center"/>
      <protection hidden="1"/>
    </xf>
    <xf numFmtId="0" fontId="2" fillId="5" borderId="0" xfId="0" applyFont="1" applyFill="1" applyProtection="1">
      <protection hidden="1"/>
    </xf>
    <xf numFmtId="0" fontId="1" fillId="5" borderId="2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  <xf numFmtId="2" fontId="0" fillId="5" borderId="0" xfId="0" applyNumberFormat="1" applyFill="1" applyAlignment="1" applyProtection="1">
      <alignment horizontal="center"/>
      <protection hidden="1"/>
    </xf>
    <xf numFmtId="2" fontId="38" fillId="5" borderId="0" xfId="0" applyNumberFormat="1" applyFont="1" applyFill="1" applyAlignment="1" applyProtection="1">
      <alignment horizontal="center"/>
      <protection hidden="1"/>
    </xf>
    <xf numFmtId="2" fontId="0" fillId="26" borderId="0" xfId="0" applyNumberFormat="1" applyFill="1" applyProtection="1">
      <protection hidden="1"/>
    </xf>
    <xf numFmtId="2" fontId="0" fillId="37" borderId="0" xfId="0" applyNumberFormat="1" applyFill="1" applyProtection="1">
      <protection hidden="1"/>
    </xf>
    <xf numFmtId="2" fontId="1" fillId="0" borderId="0" xfId="0" applyNumberFormat="1" applyFont="1" applyProtection="1">
      <protection hidden="1"/>
    </xf>
    <xf numFmtId="0" fontId="1" fillId="3" borderId="0" xfId="0" applyFont="1" applyFill="1" applyAlignment="1" applyProtection="1">
      <alignment horizontal="center"/>
      <protection hidden="1"/>
    </xf>
    <xf numFmtId="2" fontId="38" fillId="26" borderId="0" xfId="0" applyNumberFormat="1" applyFont="1" applyFill="1" applyAlignment="1" applyProtection="1">
      <alignment horizontal="center"/>
      <protection hidden="1"/>
    </xf>
    <xf numFmtId="2" fontId="0" fillId="38" borderId="0" xfId="0" applyNumberFormat="1" applyFill="1" applyProtection="1">
      <protection hidden="1"/>
    </xf>
    <xf numFmtId="2" fontId="14" fillId="5" borderId="0" xfId="0" applyNumberFormat="1" applyFont="1" applyFill="1" applyAlignment="1" applyProtection="1">
      <alignment horizontal="center"/>
      <protection hidden="1"/>
    </xf>
    <xf numFmtId="2" fontId="0" fillId="39" borderId="0" xfId="0" applyNumberFormat="1" applyFill="1" applyAlignment="1" applyProtection="1">
      <alignment horizontal="center"/>
      <protection hidden="1"/>
    </xf>
    <xf numFmtId="2" fontId="38" fillId="39" borderId="0" xfId="0" applyNumberFormat="1" applyFont="1" applyFill="1" applyAlignment="1" applyProtection="1">
      <alignment horizontal="center"/>
      <protection hidden="1"/>
    </xf>
    <xf numFmtId="2" fontId="0" fillId="39" borderId="0" xfId="0" applyNumberFormat="1" applyFill="1" applyProtection="1">
      <protection hidden="1"/>
    </xf>
    <xf numFmtId="2" fontId="1" fillId="39" borderId="0" xfId="0" applyNumberFormat="1" applyFont="1" applyFill="1" applyProtection="1">
      <protection hidden="1"/>
    </xf>
    <xf numFmtId="2" fontId="4" fillId="5" borderId="0" xfId="0" applyNumberFormat="1" applyFont="1" applyFill="1" applyAlignment="1" applyProtection="1">
      <alignment horizontal="center"/>
      <protection hidden="1"/>
    </xf>
    <xf numFmtId="49" fontId="0" fillId="39" borderId="0" xfId="0" applyNumberFormat="1" applyFill="1" applyProtection="1">
      <protection hidden="1"/>
    </xf>
    <xf numFmtId="0" fontId="0" fillId="39" borderId="0" xfId="0" applyFill="1" applyAlignment="1" applyProtection="1">
      <alignment horizontal="center"/>
      <protection hidden="1"/>
    </xf>
    <xf numFmtId="0" fontId="0" fillId="39" borderId="0" xfId="0" applyFill="1" applyProtection="1">
      <protection hidden="1"/>
    </xf>
    <xf numFmtId="49" fontId="38" fillId="2" borderId="0" xfId="0" applyNumberFormat="1" applyFont="1" applyFill="1" applyProtection="1">
      <protection hidden="1"/>
    </xf>
    <xf numFmtId="2" fontId="0" fillId="0" borderId="0" xfId="0" applyNumberFormat="1" applyProtection="1">
      <protection hidden="1"/>
    </xf>
    <xf numFmtId="49" fontId="0" fillId="21" borderId="0" xfId="0" applyNumberFormat="1" applyFill="1" applyProtection="1">
      <protection hidden="1"/>
    </xf>
    <xf numFmtId="2" fontId="44" fillId="5" borderId="0" xfId="0" applyNumberFormat="1" applyFont="1" applyFill="1" applyAlignment="1" applyProtection="1">
      <alignment horizontal="center"/>
      <protection hidden="1"/>
    </xf>
    <xf numFmtId="2" fontId="38" fillId="0" borderId="0" xfId="0" applyNumberFormat="1" applyFont="1" applyProtection="1">
      <protection hidden="1"/>
    </xf>
    <xf numFmtId="2" fontId="0" fillId="5" borderId="0" xfId="0" applyNumberFormat="1" applyFill="1" applyProtection="1">
      <protection hidden="1"/>
    </xf>
    <xf numFmtId="2" fontId="48" fillId="5" borderId="0" xfId="0" applyNumberFormat="1" applyFont="1" applyFill="1" applyAlignment="1" applyProtection="1">
      <alignment horizontal="center"/>
      <protection hidden="1"/>
    </xf>
    <xf numFmtId="0" fontId="1" fillId="0" borderId="0" xfId="0" applyFont="1" applyAlignment="1" applyProtection="1">
      <alignment wrapText="1"/>
      <protection hidden="1"/>
    </xf>
    <xf numFmtId="0" fontId="0" fillId="43" borderId="0" xfId="0" applyFill="1" applyProtection="1">
      <protection hidden="1"/>
    </xf>
    <xf numFmtId="0" fontId="1" fillId="39" borderId="0" xfId="0" applyFont="1" applyFill="1" applyProtection="1">
      <protection hidden="1"/>
    </xf>
    <xf numFmtId="2" fontId="15" fillId="5" borderId="0" xfId="0" applyNumberFormat="1" applyFont="1" applyFill="1" applyAlignment="1" applyProtection="1">
      <alignment horizontal="center"/>
      <protection hidden="1"/>
    </xf>
    <xf numFmtId="2" fontId="38" fillId="26" borderId="0" xfId="0" applyNumberFormat="1" applyFont="1" applyFill="1" applyProtection="1">
      <protection hidden="1"/>
    </xf>
    <xf numFmtId="2" fontId="5" fillId="5" borderId="0" xfId="0" applyNumberFormat="1" applyFont="1" applyFill="1" applyAlignment="1" applyProtection="1">
      <alignment horizontal="center"/>
      <protection hidden="1"/>
    </xf>
    <xf numFmtId="2" fontId="0" fillId="44" borderId="0" xfId="0" applyNumberFormat="1" applyFill="1" applyAlignment="1" applyProtection="1">
      <alignment horizontal="center"/>
      <protection hidden="1"/>
    </xf>
    <xf numFmtId="0" fontId="0" fillId="2" borderId="18" xfId="0" applyFill="1" applyBorder="1" applyProtection="1">
      <protection hidden="1"/>
    </xf>
    <xf numFmtId="0" fontId="6" fillId="0" borderId="23" xfId="0" applyFont="1" applyBorder="1" applyAlignment="1" applyProtection="1">
      <alignment horizontal="center"/>
      <protection hidden="1"/>
    </xf>
    <xf numFmtId="0" fontId="1" fillId="0" borderId="89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textRotation="91"/>
      <protection hidden="1"/>
    </xf>
    <xf numFmtId="0" fontId="51" fillId="0" borderId="89" xfId="0" applyFont="1" applyBorder="1" applyAlignment="1" applyProtection="1">
      <alignment horizontal="center" vertical="center" wrapText="1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/>
      <protection hidden="1"/>
    </xf>
    <xf numFmtId="0" fontId="38" fillId="2" borderId="0" xfId="0" applyFont="1" applyFill="1" applyProtection="1">
      <protection hidden="1"/>
    </xf>
    <xf numFmtId="0" fontId="38" fillId="0" borderId="0" xfId="0" applyFont="1" applyAlignment="1" applyProtection="1">
      <alignment horizontal="center"/>
      <protection hidden="1"/>
    </xf>
    <xf numFmtId="49" fontId="0" fillId="39" borderId="0" xfId="0" applyNumberFormat="1" applyFill="1" applyAlignment="1" applyProtection="1">
      <alignment horizontal="center"/>
      <protection hidden="1"/>
    </xf>
    <xf numFmtId="0" fontId="38" fillId="23" borderId="0" xfId="0" applyFont="1" applyFill="1" applyAlignment="1" applyProtection="1">
      <alignment horizontal="center"/>
      <protection hidden="1"/>
    </xf>
    <xf numFmtId="0" fontId="38" fillId="2" borderId="0" xfId="0" applyFont="1" applyFill="1" applyAlignment="1" applyProtection="1">
      <alignment horizontal="center"/>
      <protection hidden="1"/>
    </xf>
    <xf numFmtId="0" fontId="44" fillId="2" borderId="0" xfId="0" applyFont="1" applyFill="1" applyAlignment="1" applyProtection="1">
      <alignment horizontal="center"/>
      <protection hidden="1"/>
    </xf>
    <xf numFmtId="0" fontId="1" fillId="39" borderId="89" xfId="0" applyFont="1" applyFill="1" applyBorder="1" applyAlignment="1" applyProtection="1">
      <alignment horizontal="center" vertical="center" wrapText="1"/>
      <protection hidden="1"/>
    </xf>
    <xf numFmtId="0" fontId="0" fillId="9" borderId="0" xfId="0" applyFill="1" applyProtection="1">
      <protection hidden="1"/>
    </xf>
    <xf numFmtId="0" fontId="0" fillId="3" borderId="19" xfId="0" applyFill="1" applyBorder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1" fillId="24" borderId="8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0" fillId="5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3" borderId="8" xfId="0" applyFill="1" applyBorder="1" applyProtection="1">
      <protection hidden="1"/>
    </xf>
    <xf numFmtId="0" fontId="0" fillId="3" borderId="19" xfId="0" applyFill="1" applyBorder="1" applyAlignment="1" applyProtection="1">
      <alignment horizontal="center" wrapText="1"/>
      <protection hidden="1"/>
    </xf>
    <xf numFmtId="0" fontId="0" fillId="0" borderId="0" xfId="0" applyAlignment="1" applyProtection="1">
      <alignment wrapText="1"/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6" fillId="40" borderId="8" xfId="0" applyFont="1" applyFill="1" applyBorder="1" applyProtection="1">
      <protection hidden="1"/>
    </xf>
    <xf numFmtId="0" fontId="6" fillId="41" borderId="0" xfId="0" applyFont="1" applyFill="1" applyProtection="1">
      <protection hidden="1"/>
    </xf>
    <xf numFmtId="0" fontId="6" fillId="41" borderId="8" xfId="0" applyFont="1" applyFill="1" applyBorder="1" applyProtection="1">
      <protection hidden="1"/>
    </xf>
    <xf numFmtId="0" fontId="6" fillId="42" borderId="0" xfId="0" applyFont="1" applyFill="1" applyProtection="1">
      <protection hidden="1"/>
    </xf>
    <xf numFmtId="0" fontId="6" fillId="42" borderId="8" xfId="0" applyFont="1" applyFill="1" applyBorder="1" applyProtection="1">
      <protection hidden="1"/>
    </xf>
    <xf numFmtId="0" fontId="6" fillId="0" borderId="10" xfId="0" applyFont="1" applyBorder="1" applyProtection="1">
      <protection hidden="1"/>
    </xf>
    <xf numFmtId="0" fontId="6" fillId="40" borderId="0" xfId="0" applyFont="1" applyFill="1" applyProtection="1">
      <protection hidden="1"/>
    </xf>
    <xf numFmtId="0" fontId="6" fillId="40" borderId="90" xfId="0" applyFont="1" applyFill="1" applyBorder="1" applyProtection="1">
      <protection hidden="1"/>
    </xf>
    <xf numFmtId="0" fontId="6" fillId="42" borderId="0" xfId="0" applyFont="1" applyFill="1" applyAlignment="1" applyProtection="1">
      <alignment horizontal="left" vertical="center" wrapText="1"/>
      <protection hidden="1"/>
    </xf>
    <xf numFmtId="0" fontId="58" fillId="0" borderId="8" xfId="0" applyFont="1" applyBorder="1" applyProtection="1">
      <protection hidden="1"/>
    </xf>
    <xf numFmtId="0" fontId="54" fillId="0" borderId="0" xfId="0" applyFont="1" applyProtection="1">
      <protection hidden="1"/>
    </xf>
    <xf numFmtId="0" fontId="60" fillId="0" borderId="0" xfId="0" applyFont="1" applyProtection="1">
      <protection hidden="1"/>
    </xf>
    <xf numFmtId="0" fontId="5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" fillId="0" borderId="8" xfId="0" applyFont="1" applyBorder="1" applyProtection="1">
      <protection hidden="1"/>
    </xf>
    <xf numFmtId="0" fontId="55" fillId="0" borderId="0" xfId="0" applyFont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7" fillId="0" borderId="8" xfId="0" applyFont="1" applyBorder="1" applyProtection="1">
      <protection hidden="1"/>
    </xf>
    <xf numFmtId="0" fontId="57" fillId="0" borderId="0" xfId="0" applyFont="1" applyAlignment="1" applyProtection="1">
      <alignment horizontal="left" vertical="center" wrapText="1"/>
      <protection hidden="1"/>
    </xf>
    <xf numFmtId="0" fontId="59" fillId="0" borderId="0" xfId="0" applyFont="1" applyProtection="1">
      <protection hidden="1"/>
    </xf>
    <xf numFmtId="0" fontId="61" fillId="0" borderId="0" xfId="0" applyFont="1" applyProtection="1">
      <protection hidden="1"/>
    </xf>
    <xf numFmtId="0" fontId="59" fillId="0" borderId="8" xfId="0" applyFont="1" applyBorder="1" applyProtection="1">
      <protection hidden="1"/>
    </xf>
    <xf numFmtId="0" fontId="63" fillId="0" borderId="0" xfId="0" applyFont="1" applyProtection="1">
      <protection hidden="1"/>
    </xf>
    <xf numFmtId="0" fontId="0" fillId="0" borderId="0" xfId="0" applyAlignment="1" applyProtection="1">
      <alignment textRotation="90"/>
      <protection hidden="1"/>
    </xf>
    <xf numFmtId="0" fontId="57" fillId="0" borderId="0" xfId="0" applyFont="1" applyAlignment="1" applyProtection="1">
      <alignment horizontal="center" vertical="center" textRotation="90" wrapText="1"/>
      <protection hidden="1"/>
    </xf>
    <xf numFmtId="0" fontId="55" fillId="5" borderId="0" xfId="0" applyFont="1" applyFill="1" applyProtection="1">
      <protection hidden="1"/>
    </xf>
    <xf numFmtId="0" fontId="56" fillId="5" borderId="0" xfId="0" applyFont="1" applyFill="1" applyProtection="1">
      <protection hidden="1"/>
    </xf>
    <xf numFmtId="0" fontId="57" fillId="5" borderId="0" xfId="0" applyFont="1" applyFill="1" applyProtection="1">
      <protection hidden="1"/>
    </xf>
    <xf numFmtId="0" fontId="57" fillId="0" borderId="0" xfId="0" applyFont="1" applyAlignment="1" applyProtection="1">
      <alignment horizontal="right" vertical="center" wrapText="1"/>
      <protection hidden="1"/>
    </xf>
    <xf numFmtId="0" fontId="59" fillId="5" borderId="0" xfId="0" applyFont="1" applyFill="1" applyProtection="1">
      <protection hidden="1"/>
    </xf>
    <xf numFmtId="0" fontId="61" fillId="5" borderId="0" xfId="0" applyFont="1" applyFill="1" applyProtection="1">
      <protection hidden="1"/>
    </xf>
    <xf numFmtId="0" fontId="59" fillId="5" borderId="0" xfId="0" applyFont="1" applyFill="1" applyAlignment="1" applyProtection="1">
      <alignment horizontal="center"/>
      <protection hidden="1"/>
    </xf>
    <xf numFmtId="0" fontId="59" fillId="5" borderId="8" xfId="0" applyFont="1" applyFill="1" applyBorder="1" applyProtection="1">
      <protection hidden="1"/>
    </xf>
    <xf numFmtId="0" fontId="1" fillId="5" borderId="10" xfId="0" applyFont="1" applyFill="1" applyBorder="1" applyProtection="1">
      <protection hidden="1"/>
    </xf>
    <xf numFmtId="0" fontId="63" fillId="5" borderId="0" xfId="0" applyFont="1" applyFill="1" applyProtection="1">
      <protection hidden="1"/>
    </xf>
    <xf numFmtId="0" fontId="0" fillId="5" borderId="8" xfId="0" applyFill="1" applyBorder="1" applyProtection="1">
      <protection hidden="1"/>
    </xf>
    <xf numFmtId="0" fontId="0" fillId="25" borderId="0" xfId="0" applyFill="1" applyAlignment="1" applyProtection="1">
      <alignment horizontal="center"/>
      <protection hidden="1"/>
    </xf>
    <xf numFmtId="0" fontId="56" fillId="5" borderId="0" xfId="0" applyFont="1" applyFill="1" applyAlignment="1" applyProtection="1">
      <alignment horizontal="center"/>
      <protection hidden="1"/>
    </xf>
    <xf numFmtId="0" fontId="56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0" fontId="1" fillId="0" borderId="10" xfId="0" applyFont="1" applyBorder="1" applyProtection="1">
      <protection hidden="1"/>
    </xf>
    <xf numFmtId="0" fontId="55" fillId="39" borderId="0" xfId="0" applyFont="1" applyFill="1" applyProtection="1">
      <protection hidden="1"/>
    </xf>
    <xf numFmtId="0" fontId="56" fillId="39" borderId="0" xfId="0" applyFont="1" applyFill="1" applyProtection="1">
      <protection hidden="1"/>
    </xf>
    <xf numFmtId="0" fontId="57" fillId="39" borderId="0" xfId="0" applyFont="1" applyFill="1" applyProtection="1">
      <protection hidden="1"/>
    </xf>
    <xf numFmtId="0" fontId="57" fillId="39" borderId="0" xfId="0" applyFont="1" applyFill="1" applyAlignment="1" applyProtection="1">
      <alignment horizontal="right" vertical="center" wrapText="1"/>
      <protection hidden="1"/>
    </xf>
    <xf numFmtId="0" fontId="59" fillId="39" borderId="0" xfId="0" applyFont="1" applyFill="1" applyProtection="1">
      <protection hidden="1"/>
    </xf>
    <xf numFmtId="0" fontId="61" fillId="39" borderId="0" xfId="0" applyFont="1" applyFill="1" applyProtection="1">
      <protection hidden="1"/>
    </xf>
    <xf numFmtId="0" fontId="59" fillId="39" borderId="8" xfId="0" applyFont="1" applyFill="1" applyBorder="1" applyProtection="1">
      <protection hidden="1"/>
    </xf>
    <xf numFmtId="0" fontId="1" fillId="39" borderId="10" xfId="0" applyFont="1" applyFill="1" applyBorder="1" applyProtection="1">
      <protection hidden="1"/>
    </xf>
    <xf numFmtId="0" fontId="63" fillId="39" borderId="0" xfId="0" applyFont="1" applyFill="1" applyProtection="1">
      <protection hidden="1"/>
    </xf>
    <xf numFmtId="0" fontId="0" fillId="39" borderId="8" xfId="0" applyFill="1" applyBorder="1" applyProtection="1">
      <protection hidden="1"/>
    </xf>
    <xf numFmtId="0" fontId="38" fillId="39" borderId="0" xfId="0" applyFont="1" applyFill="1" applyProtection="1">
      <protection hidden="1"/>
    </xf>
    <xf numFmtId="0" fontId="53" fillId="2" borderId="0" xfId="0" applyFont="1" applyFill="1" applyProtection="1">
      <protection hidden="1"/>
    </xf>
    <xf numFmtId="0" fontId="47" fillId="0" borderId="0" xfId="0" applyFont="1" applyAlignment="1" applyProtection="1">
      <alignment horizontal="center" vertical="center" wrapText="1"/>
      <protection hidden="1"/>
    </xf>
    <xf numFmtId="0" fontId="1" fillId="34" borderId="0" xfId="0" applyFont="1" applyFill="1" applyAlignment="1" applyProtection="1">
      <alignment horizontal="right" vertical="center" wrapText="1"/>
      <protection hidden="1"/>
    </xf>
    <xf numFmtId="0" fontId="55" fillId="0" borderId="0" xfId="0" applyFont="1" applyAlignment="1" applyProtection="1">
      <alignment horizontal="right" vertical="center" wrapText="1"/>
      <protection hidden="1"/>
    </xf>
    <xf numFmtId="0" fontId="56" fillId="0" borderId="0" xfId="0" applyFont="1" applyAlignment="1" applyProtection="1">
      <alignment horizontal="right" vertical="center" wrapText="1"/>
      <protection hidden="1"/>
    </xf>
    <xf numFmtId="0" fontId="1" fillId="0" borderId="0" xfId="0" applyFont="1" applyAlignment="1" applyProtection="1">
      <alignment horizontal="right" vertical="center" wrapText="1"/>
      <protection hidden="1"/>
    </xf>
    <xf numFmtId="0" fontId="56" fillId="24" borderId="0" xfId="0" applyFont="1" applyFill="1" applyAlignment="1" applyProtection="1">
      <alignment horizontal="right" vertical="center" wrapText="1"/>
      <protection hidden="1"/>
    </xf>
    <xf numFmtId="0" fontId="59" fillId="24" borderId="0" xfId="0" applyFont="1" applyFill="1" applyAlignment="1" applyProtection="1">
      <alignment horizontal="right" vertical="center" wrapText="1"/>
      <protection hidden="1"/>
    </xf>
    <xf numFmtId="0" fontId="55" fillId="0" borderId="0" xfId="0" applyFont="1" applyAlignment="1" applyProtection="1">
      <alignment horizontal="left" vertical="center" wrapText="1"/>
      <protection hidden="1"/>
    </xf>
    <xf numFmtId="0" fontId="61" fillId="0" borderId="0" xfId="0" applyFont="1" applyAlignment="1" applyProtection="1">
      <alignment horizontal="right" vertical="center" wrapText="1"/>
      <protection hidden="1"/>
    </xf>
    <xf numFmtId="0" fontId="61" fillId="0" borderId="0" xfId="0" applyFont="1" applyAlignment="1" applyProtection="1">
      <alignment horizontal="left" vertical="center" wrapText="1"/>
      <protection hidden="1"/>
    </xf>
    <xf numFmtId="0" fontId="59" fillId="0" borderId="0" xfId="0" applyFont="1" applyAlignment="1" applyProtection="1">
      <alignment horizontal="right" vertical="center" wrapText="1"/>
      <protection hidden="1"/>
    </xf>
    <xf numFmtId="0" fontId="53" fillId="0" borderId="0" xfId="0" applyFont="1" applyAlignment="1" applyProtection="1">
      <alignment horizontal="center"/>
      <protection hidden="1"/>
    </xf>
    <xf numFmtId="0" fontId="53" fillId="5" borderId="0" xfId="0" applyFont="1" applyFill="1" applyProtection="1">
      <protection hidden="1"/>
    </xf>
    <xf numFmtId="0" fontId="53" fillId="5" borderId="10" xfId="0" applyFont="1" applyFill="1" applyBorder="1" applyProtection="1">
      <protection hidden="1"/>
    </xf>
    <xf numFmtId="0" fontId="53" fillId="5" borderId="8" xfId="0" applyFont="1" applyFill="1" applyBorder="1" applyProtection="1"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38" fillId="5" borderId="0" xfId="0" applyFont="1" applyFill="1" applyProtection="1">
      <protection hidden="1"/>
    </xf>
    <xf numFmtId="0" fontId="55" fillId="22" borderId="0" xfId="0" applyFont="1" applyFill="1" applyProtection="1">
      <protection hidden="1"/>
    </xf>
    <xf numFmtId="0" fontId="57" fillId="22" borderId="0" xfId="0" applyFont="1" applyFill="1" applyProtection="1">
      <protection hidden="1"/>
    </xf>
    <xf numFmtId="0" fontId="57" fillId="0" borderId="0" xfId="0" applyFont="1" applyAlignment="1" applyProtection="1">
      <alignment horizontal="right"/>
      <protection hidden="1"/>
    </xf>
    <xf numFmtId="0" fontId="1" fillId="28" borderId="10" xfId="0" applyFont="1" applyFill="1" applyBorder="1" applyAlignment="1" applyProtection="1">
      <alignment horizontal="center"/>
      <protection hidden="1"/>
    </xf>
    <xf numFmtId="0" fontId="1" fillId="5" borderId="8" xfId="0" applyFont="1" applyFill="1" applyBorder="1" applyProtection="1">
      <protection hidden="1"/>
    </xf>
    <xf numFmtId="0" fontId="38" fillId="0" borderId="0" xfId="0" applyFont="1" applyProtection="1">
      <protection hidden="1"/>
    </xf>
    <xf numFmtId="0" fontId="38" fillId="5" borderId="10" xfId="0" applyFont="1" applyFill="1" applyBorder="1" applyProtection="1">
      <protection hidden="1"/>
    </xf>
    <xf numFmtId="0" fontId="44" fillId="5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53" fillId="2" borderId="0" xfId="0" applyFont="1" applyFill="1" applyAlignment="1" applyProtection="1">
      <alignment wrapText="1"/>
      <protection hidden="1"/>
    </xf>
    <xf numFmtId="0" fontId="53" fillId="5" borderId="0" xfId="0" applyFont="1" applyFill="1" applyAlignment="1" applyProtection="1">
      <alignment wrapText="1"/>
      <protection hidden="1"/>
    </xf>
    <xf numFmtId="0" fontId="53" fillId="5" borderId="8" xfId="0" applyFont="1" applyFill="1" applyBorder="1" applyAlignment="1" applyProtection="1">
      <alignment wrapText="1"/>
      <protection hidden="1"/>
    </xf>
    <xf numFmtId="0" fontId="1" fillId="5" borderId="0" xfId="0" applyFont="1" applyFill="1" applyProtection="1">
      <protection hidden="1"/>
    </xf>
    <xf numFmtId="0" fontId="1" fillId="5" borderId="8" xfId="0" applyFont="1" applyFill="1" applyBorder="1" applyAlignment="1" applyProtection="1">
      <alignment wrapText="1"/>
      <protection hidden="1"/>
    </xf>
    <xf numFmtId="0" fontId="44" fillId="5" borderId="0" xfId="0" applyFont="1" applyFill="1" applyAlignment="1" applyProtection="1">
      <alignment wrapText="1"/>
      <protection hidden="1"/>
    </xf>
    <xf numFmtId="0" fontId="44" fillId="5" borderId="8" xfId="0" applyFont="1" applyFill="1" applyBorder="1" applyAlignment="1" applyProtection="1">
      <alignment wrapText="1"/>
      <protection hidden="1"/>
    </xf>
    <xf numFmtId="49" fontId="0" fillId="5" borderId="0" xfId="0" applyNumberFormat="1" applyFill="1" applyAlignment="1" applyProtection="1">
      <alignment horizontal="left"/>
      <protection hidden="1"/>
    </xf>
    <xf numFmtId="0" fontId="55" fillId="3" borderId="0" xfId="0" applyFont="1" applyFill="1" applyAlignment="1" applyProtection="1">
      <alignment horizontal="center"/>
      <protection hidden="1"/>
    </xf>
    <xf numFmtId="0" fontId="56" fillId="3" borderId="0" xfId="0" applyFont="1" applyFill="1" applyAlignment="1" applyProtection="1">
      <alignment horizontal="center"/>
      <protection hidden="1"/>
    </xf>
    <xf numFmtId="0" fontId="57" fillId="3" borderId="0" xfId="0" applyFont="1" applyFill="1" applyAlignment="1" applyProtection="1">
      <alignment horizontal="center"/>
      <protection hidden="1"/>
    </xf>
    <xf numFmtId="0" fontId="59" fillId="3" borderId="0" xfId="0" applyFont="1" applyFill="1" applyAlignment="1" applyProtection="1">
      <alignment horizontal="center"/>
      <protection hidden="1"/>
    </xf>
    <xf numFmtId="0" fontId="61" fillId="3" borderId="0" xfId="0" applyFont="1" applyFill="1" applyAlignment="1" applyProtection="1">
      <alignment horizontal="center"/>
      <protection hidden="1"/>
    </xf>
    <xf numFmtId="0" fontId="59" fillId="3" borderId="8" xfId="0" applyFont="1" applyFill="1" applyBorder="1" applyAlignment="1" applyProtection="1">
      <alignment horizontal="center"/>
      <protection hidden="1"/>
    </xf>
    <xf numFmtId="0" fontId="63" fillId="3" borderId="0" xfId="0" applyFont="1" applyFill="1" applyAlignment="1" applyProtection="1">
      <alignment horizontal="center"/>
      <protection hidden="1"/>
    </xf>
    <xf numFmtId="0" fontId="0" fillId="2" borderId="20" xfId="0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3" borderId="0" xfId="0" applyFill="1" applyAlignment="1" applyProtection="1">
      <alignment horizontal="center" wrapText="1"/>
      <protection hidden="1"/>
    </xf>
    <xf numFmtId="0" fontId="0" fillId="3" borderId="8" xfId="0" applyFill="1" applyBorder="1" applyAlignment="1" applyProtection="1">
      <alignment horizontal="center" wrapText="1"/>
      <protection hidden="1"/>
    </xf>
    <xf numFmtId="0" fontId="59" fillId="3" borderId="0" xfId="0" applyFont="1" applyFill="1" applyAlignment="1" applyProtection="1">
      <alignment horizontal="center" wrapText="1"/>
      <protection hidden="1"/>
    </xf>
    <xf numFmtId="0" fontId="63" fillId="3" borderId="0" xfId="0" applyFont="1" applyFill="1" applyAlignment="1" applyProtection="1">
      <alignment horizontal="center" wrapText="1"/>
      <protection hidden="1"/>
    </xf>
    <xf numFmtId="0" fontId="55" fillId="3" borderId="0" xfId="0" applyFont="1" applyFill="1" applyProtection="1">
      <protection hidden="1"/>
    </xf>
    <xf numFmtId="0" fontId="61" fillId="3" borderId="0" xfId="0" applyFont="1" applyFill="1" applyProtection="1">
      <protection hidden="1"/>
    </xf>
    <xf numFmtId="0" fontId="59" fillId="3" borderId="0" xfId="0" applyFont="1" applyFill="1" applyProtection="1">
      <protection hidden="1"/>
    </xf>
  </cellXfs>
  <cellStyles count="1">
    <cellStyle name="Normale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ill>
        <patternFill>
          <bgColor indexed="43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color rgb="FFC0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/>
        <condense val="0"/>
        <extend val="0"/>
        <color indexed="12"/>
      </font>
    </dxf>
    <dxf>
      <font>
        <b/>
        <i/>
        <condense val="0"/>
        <extend val="0"/>
        <color indexed="12"/>
      </font>
    </dxf>
    <dxf>
      <font>
        <b/>
        <i val="0"/>
        <condense val="0"/>
        <extend val="0"/>
        <color auto="1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auto="1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/>
        <condense val="0"/>
        <extend val="0"/>
        <color indexed="12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CheckBox" fmlaLink="Codici!$AW$2" lockText="1" noThreeD="1"/>
</file>

<file path=xl/ctrlProps/ctrlProp2.xml><?xml version="1.0" encoding="utf-8"?>
<formControlPr xmlns="http://schemas.microsoft.com/office/spreadsheetml/2009/9/main" objectType="CheckBox" fmlaLink="Codici!$AZ$2" lockText="1" noThreeD="1"/>
</file>

<file path=xl/ctrlProps/ctrlProp3.xml><?xml version="1.0" encoding="utf-8"?>
<formControlPr xmlns="http://schemas.microsoft.com/office/spreadsheetml/2009/9/main" objectType="Drop" dropStyle="combo" dx="25" fmlaLink="Codici!$AR$2" fmlaRange="F!$J$3:$J$6" noThreeD="1" sel="4" val="0"/>
</file>

<file path=xl/ctrlProps/ctrlProp4.xml><?xml version="1.0" encoding="utf-8"?>
<formControlPr xmlns="http://schemas.microsoft.com/office/spreadsheetml/2009/9/main" objectType="Drop" dropStyle="combo" dx="25" fmlaLink="Codici!$AP$2" fmlaRange="F!$B$4:$B$7" noThreeD="1" sel="4" val="0"/>
</file>

<file path=xl/ctrlProps/ctrlProp5.xml><?xml version="1.0" encoding="utf-8"?>
<formControlPr xmlns="http://schemas.microsoft.com/office/spreadsheetml/2009/9/main" objectType="Drop" dropStyle="combo" dx="25" fmlaLink="Codici!$AO$2" fmlaRange="E!$B$3:$B$23" noThreeD="1" sel="6" val="0"/>
</file>

<file path=xl/ctrlProps/ctrlProp6.xml><?xml version="1.0" encoding="utf-8"?>
<formControlPr xmlns="http://schemas.microsoft.com/office/spreadsheetml/2009/9/main" objectType="Drop" dropStyle="combo" dx="25" fmlaLink="Codici!$AH$2" fmlaRange="Gri_K!$N$5:$N$6" noThreeD="1" sel="1" val="0"/>
</file>

<file path=xl/ctrlProps/ctrlProp7.xml><?xml version="1.0" encoding="utf-8"?>
<formControlPr xmlns="http://schemas.microsoft.com/office/spreadsheetml/2009/9/main" objectType="Drop" dropStyle="combo" dx="25" fmlaLink="Codici!$AD$2" fmlaRange="Gri_P!$L$2:$L$3" noThreeD="1" sel="1" val="0"/>
</file>

<file path=xl/ctrlProps/ctrlProp8.xml><?xml version="1.0" encoding="utf-8"?>
<formControlPr xmlns="http://schemas.microsoft.com/office/spreadsheetml/2009/9/main" objectType="Drop" dropStyle="combo" dx="25" fmlaLink="Codici!$AM$2" fmlaRange="'C&amp;D'!$B$5:$B$7" noThreeD="1" sel="1" val="0"/>
</file>

<file path=xl/ctrlProps/ctrlProp9.xml><?xml version="1.0" encoding="utf-8"?>
<formControlPr xmlns="http://schemas.microsoft.com/office/spreadsheetml/2009/9/main" objectType="Drop" dropStyle="combo" dx="25" fmlaLink="Codici!$AU$2" fmlaRange="G!$B$4:$B$6" noThreeD="1" sel="2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Codici!$I$2" noThreeD="1"/>
</file>

<file path=xl/ctrlProps/ctrlProp12.xml><?xml version="1.0" encoding="utf-8"?>
<formControlPr xmlns="http://schemas.microsoft.com/office/spreadsheetml/2009/9/main" objectType="Radio" checked="Checked" noThreeD="1"/>
</file>

<file path=xl/ctrlProps/ctrlProp13.xml><?xml version="1.0" encoding="utf-8"?>
<formControlPr xmlns="http://schemas.microsoft.com/office/spreadsheetml/2009/9/main" objectType="CheckBox" checked="Checked" fmlaLink="Codici!$K$2" lockText="1" noThreeD="1"/>
</file>

<file path=xl/ctrlProps/ctrlProp14.xml><?xml version="1.0" encoding="utf-8"?>
<formControlPr xmlns="http://schemas.microsoft.com/office/spreadsheetml/2009/9/main" objectType="Drop" dropStyle="combo" dx="25" fmlaLink="Codici!$H$2" fmlaRange="Cicli_Fase!$F$21:$F$27" noThreeD="1" sel="4" val="0"/>
</file>

<file path=xl/ctrlProps/ctrlProp15.xml><?xml version="1.0" encoding="utf-8"?>
<formControlPr xmlns="http://schemas.microsoft.com/office/spreadsheetml/2009/9/main" objectType="Drop" dropStyle="combo" dx="25" fmlaLink="Codici!$G$2" fmlaRange="Coltura" noThreeD="1" sel="17" val="16"/>
</file>

<file path=xl/ctrlProps/ctrlProp16.xml><?xml version="1.0" encoding="utf-8"?>
<formControlPr xmlns="http://schemas.microsoft.com/office/spreadsheetml/2009/9/main" objectType="Drop" dropStyle="combo" dx="25" fmlaLink="Codici!$F$2" fmlaRange="Gruppo!$C$2:$C$7" noThreeD="1" sel="2" val="0"/>
</file>

<file path=xl/ctrlProps/ctrlProp17.xml><?xml version="1.0" encoding="utf-8"?>
<formControlPr xmlns="http://schemas.microsoft.com/office/spreadsheetml/2009/9/main" objectType="Drop" dropStyle="combo" dx="25" fmlaLink="Codici!$E$2" fmlaRange="Metodo!$C$3:$C$4" noThreeD="1" sel="2" val="0"/>
</file>

<file path=xl/ctrlProps/ctrlProp18.xml><?xml version="1.0" encoding="utf-8"?>
<formControlPr xmlns="http://schemas.microsoft.com/office/spreadsheetml/2009/9/main" objectType="CheckBox" fmlaLink="Codici!$AX$2" lockText="1" noThreeD="1"/>
</file>

<file path=xl/ctrlProps/ctrlProp19.xml><?xml version="1.0" encoding="utf-8"?>
<formControlPr xmlns="http://schemas.microsoft.com/office/spreadsheetml/2009/9/main" objectType="Drop" dropStyle="combo" dx="19" fmlaLink="Codici!$AG$2" fmlaRange="Gri_K!$N$10:$N$11" noThreeD="1" sel="1" val="0"/>
</file>

<file path=xl/ctrlProps/ctrlProp20.xml><?xml version="1.0" encoding="utf-8"?>
<formControlPr xmlns="http://schemas.microsoft.com/office/spreadsheetml/2009/9/main" objectType="Drop" dropStyle="combo" dx="19" fmlaLink="Codici!$AK$2" fmlaRange="Gri_K!$R$5:$R$6" noThreeD="1" sel="1" val="0"/>
</file>

<file path=xl/ctrlProps/ctrlProp21.xml><?xml version="1.0" encoding="utf-8"?>
<formControlPr xmlns="http://schemas.microsoft.com/office/spreadsheetml/2009/9/main" objectType="CheckBox" fmlaLink="$D$12" noThreeD="1"/>
</file>

<file path=xl/ctrlProps/ctrlProp22.xml><?xml version="1.0" encoding="utf-8"?>
<formControlPr xmlns="http://schemas.microsoft.com/office/spreadsheetml/2009/9/main" objectType="CheckBox" checked="Checked" fmlaLink="$D$14" noThreeD="1"/>
</file>

<file path=xl/ctrlProps/ctrlProp23.xml><?xml version="1.0" encoding="utf-8"?>
<formControlPr xmlns="http://schemas.microsoft.com/office/spreadsheetml/2009/9/main" objectType="CheckBox" fmlaLink="$L$14" noThreeD="1"/>
</file>

<file path=xl/ctrlProps/ctrlProp24.xml><?xml version="1.0" encoding="utf-8"?>
<formControlPr xmlns="http://schemas.microsoft.com/office/spreadsheetml/2009/9/main" objectType="CheckBox" fmlaLink="$D$22" noThreeD="1"/>
</file>

<file path=xl/ctrlProps/ctrlProp25.xml><?xml version="1.0" encoding="utf-8"?>
<formControlPr xmlns="http://schemas.microsoft.com/office/spreadsheetml/2009/9/main" objectType="CheckBox" fmlaLink="$D$24" noThreeD="1"/>
</file>

<file path=xl/ctrlProps/ctrlProp26.xml><?xml version="1.0" encoding="utf-8"?>
<formControlPr xmlns="http://schemas.microsoft.com/office/spreadsheetml/2009/9/main" objectType="CheckBox" fmlaLink="$L$20" noThreeD="1"/>
</file>

<file path=xl/ctrlProps/ctrlProp27.xml><?xml version="1.0" encoding="utf-8"?>
<formControlPr xmlns="http://schemas.microsoft.com/office/spreadsheetml/2009/9/main" objectType="CheckBox" fmlaLink="$L$24" noThreeD="1"/>
</file>

<file path=xl/ctrlProps/ctrlProp28.xml><?xml version="1.0" encoding="utf-8"?>
<formControlPr xmlns="http://schemas.microsoft.com/office/spreadsheetml/2009/9/main" objectType="CheckBox" fmlaLink="$L$26" noThreeD="1"/>
</file>

<file path=xl/ctrlProps/ctrlProp29.xml><?xml version="1.0" encoding="utf-8"?>
<formControlPr xmlns="http://schemas.microsoft.com/office/spreadsheetml/2009/9/main" objectType="CheckBox" checked="Checked" fmlaLink="$L$16" noThreeD="1"/>
</file>

<file path=xl/ctrlProps/ctrlProp30.xml><?xml version="1.0" encoding="utf-8"?>
<formControlPr xmlns="http://schemas.microsoft.com/office/spreadsheetml/2009/9/main" objectType="CheckBox" fmlaLink="$L$30" noThreeD="1"/>
</file>

<file path=xl/ctrlProps/ctrlProp31.xml><?xml version="1.0" encoding="utf-8"?>
<formControlPr xmlns="http://schemas.microsoft.com/office/spreadsheetml/2009/9/main" objectType="CheckBox" fmlaLink="$D$26" noThreeD="1"/>
</file>

<file path=xl/ctrlProps/ctrlProp32.xml><?xml version="1.0" encoding="utf-8"?>
<formControlPr xmlns="http://schemas.microsoft.com/office/spreadsheetml/2009/9/main" objectType="CheckBox" fmlaLink="$L$28" noThreeD="1"/>
</file>

<file path=xl/ctrlProps/ctrlProp33.xml><?xml version="1.0" encoding="utf-8"?>
<formControlPr xmlns="http://schemas.microsoft.com/office/spreadsheetml/2009/9/main" objectType="CheckBox" checked="Checked" fmlaLink="$L$22" noThreeD="1"/>
</file>

<file path=xl/ctrlProps/ctrlProp34.xml><?xml version="1.0" encoding="utf-8"?>
<formControlPr xmlns="http://schemas.microsoft.com/office/spreadsheetml/2009/9/main" objectType="CheckBox" fmlaLink="$D$11" noThreeD="1"/>
</file>

<file path=xl/ctrlProps/ctrlProp35.xml><?xml version="1.0" encoding="utf-8"?>
<formControlPr xmlns="http://schemas.microsoft.com/office/spreadsheetml/2009/9/main" objectType="CheckBox" fmlaLink="$L$11" noThreeD="1"/>
</file>

<file path=xl/ctrlProps/ctrlProp36.xml><?xml version="1.0" encoding="utf-8"?>
<formControlPr xmlns="http://schemas.microsoft.com/office/spreadsheetml/2009/9/main" objectType="CheckBox" fmlaLink="$L$17" noThreeD="1"/>
</file>

<file path=xl/ctrlProps/ctrlProp37.xml><?xml version="1.0" encoding="utf-8"?>
<formControlPr xmlns="http://schemas.microsoft.com/office/spreadsheetml/2009/9/main" objectType="CheckBox" fmlaLink="$D$13" noThreeD="1"/>
</file>

<file path=xl/ctrlProps/ctrlProp38.xml><?xml version="1.0" encoding="utf-8"?>
<formControlPr xmlns="http://schemas.microsoft.com/office/spreadsheetml/2009/9/main" objectType="CheckBox" fmlaLink="$L$15" noThreeD="1"/>
</file>

<file path=xl/ctrlProps/ctrlProp39.xml><?xml version="1.0" encoding="utf-8"?>
<formControlPr xmlns="http://schemas.microsoft.com/office/spreadsheetml/2009/9/main" objectType="CheckBox" fmlaLink="$D$15" noThreeD="1"/>
</file>

<file path=xl/ctrlProps/ctrlProp40.xml><?xml version="1.0" encoding="utf-8"?>
<formControlPr xmlns="http://schemas.microsoft.com/office/spreadsheetml/2009/9/main" objectType="CheckBox" checked="Checked" fmlaLink="$L$28" noThreeD="1"/>
</file>

<file path=xl/ctrlProps/ctrlProp41.xml><?xml version="1.0" encoding="utf-8"?>
<formControlPr xmlns="http://schemas.microsoft.com/office/spreadsheetml/2009/9/main" objectType="CheckBox" fmlaLink="$D$28" noThreeD="1"/>
</file>

<file path=xl/ctrlProps/ctrlProp42.xml><?xml version="1.0" encoding="utf-8"?>
<formControlPr xmlns="http://schemas.microsoft.com/office/spreadsheetml/2009/9/main" objectType="CheckBox" checked="Checked" noThreeD="1"/>
</file>

<file path=xl/ctrlProps/ctrlProp43.xml><?xml version="1.0" encoding="utf-8"?>
<formControlPr xmlns="http://schemas.microsoft.com/office/spreadsheetml/2009/9/main" objectType="CheckBox" fmlaLink="$D$30" noThreeD="1"/>
</file>

<file path=xl/ctrlProps/ctrlProp44.xml><?xml version="1.0" encoding="utf-8"?>
<formControlPr xmlns="http://schemas.microsoft.com/office/spreadsheetml/2009/9/main" objectType="CheckBox" fmlaLink="$D$32" noThreeD="1"/>
</file>

<file path=xl/ctrlProps/ctrlProp45.xml><?xml version="1.0" encoding="utf-8"?>
<formControlPr xmlns="http://schemas.microsoft.com/office/spreadsheetml/2009/9/main" objectType="CheckBox" checked="Checked" fmlaLink="L32" lockText="1" noThreeD="1"/>
</file>

<file path=xl/ctrlProps/ctrlProp46.xml><?xml version="1.0" encoding="utf-8"?>
<formControlPr xmlns="http://schemas.microsoft.com/office/spreadsheetml/2009/9/main" objectType="Drop" dropStyle="combo" dx="25" fmlaLink="Fert_org!$B$27" fmlaRange="Fert_org!$C$4:$C$24" noThreeD="1" sel="8" val="7"/>
</file>

<file path=xl/ctrlProps/ctrlProp47.xml><?xml version="1.0" encoding="utf-8"?>
<formControlPr xmlns="http://schemas.microsoft.com/office/spreadsheetml/2009/9/main" objectType="Drop" dropStyle="combo" dx="25" fmlaLink="Codici!$AQ$2" fmlaRange="zona_ciclo" noThreeD="1" sel="2" val="0"/>
</file>

<file path=xl/ctrlProps/ctrlProp48.xml><?xml version="1.0" encoding="utf-8"?>
<formControlPr xmlns="http://schemas.microsoft.com/office/spreadsheetml/2009/9/main" objectType="Drop" dropStyle="combo" dx="25" fmlaLink="Fert_org!$B$29" fmlaRange="Fert_org!$C$4:$C$24" noThreeD="1" sel="14" val="13"/>
</file>

<file path=xl/ctrlProps/ctrlProp49.xml><?xml version="1.0" encoding="utf-8"?>
<formControlPr xmlns="http://schemas.microsoft.com/office/spreadsheetml/2009/9/main" objectType="Drop" dropStyle="combo" dx="25" fmlaLink="Codici!$AY$2" fmlaRange="zona_ciclo" noThreeD="1" sel="5" val="0"/>
</file>

<file path=xl/ctrlProps/ctrlProp50.xml><?xml version="1.0" encoding="utf-8"?>
<formControlPr xmlns="http://schemas.microsoft.com/office/spreadsheetml/2009/9/main" objectType="Drop" dropStyle="combo" dx="25" fmlaLink="Fert_org!$B$31" fmlaRange="Fert_org!$C$4:$C$24" noThreeD="1" sel="21" val="13"/>
</file>

<file path=xl/ctrlProps/ctrlProp51.xml><?xml version="1.0" encoding="utf-8"?>
<formControlPr xmlns="http://schemas.microsoft.com/office/spreadsheetml/2009/9/main" objectType="Drop" dropStyle="combo" dx="25" fmlaLink="Codici!$BG$2" fmlaRange="zona_ciclo" noThreeD="1" sel="7" val="0"/>
</file>

<file path=xl/ctrlProps/ctrlProp52.xml><?xml version="1.0" encoding="utf-8"?>
<formControlPr xmlns="http://schemas.microsoft.com/office/spreadsheetml/2009/9/main" objectType="Drop" dropStyle="combo" dx="25" fmlaLink="Concimi!$B$153" fmlaRange="Concimi!$C$3:$C$149" noThreeD="1" sel="1" val="0"/>
</file>

<file path=xl/ctrlProps/ctrlProp53.xml><?xml version="1.0" encoding="utf-8"?>
<formControlPr xmlns="http://schemas.microsoft.com/office/spreadsheetml/2009/9/main" objectType="Drop" dropStyle="combo" dx="25" fmlaLink="Concimi!$B$156" fmlaRange="Concimi!$C$3:$C$149" noThreeD="1" sel="1" val="0"/>
</file>

<file path=xl/ctrlProps/ctrlProp54.xml><?xml version="1.0" encoding="utf-8"?>
<formControlPr xmlns="http://schemas.microsoft.com/office/spreadsheetml/2009/9/main" objectType="Drop" dropStyle="combo" dx="25" fmlaLink="Concimi!$B$159" fmlaRange="Concimi!$C$3:$C$149" noThreeD="1" sel="1" val="0"/>
</file>

<file path=xl/ctrlProps/ctrlProp55.xml><?xml version="1.0" encoding="utf-8"?>
<formControlPr xmlns="http://schemas.microsoft.com/office/spreadsheetml/2009/9/main" objectType="Drop" dropStyle="combo" dx="25" fmlaLink="Concimi!$B$162" fmlaRange="Concimi!$C$3:$C$149" noThreeD="1" sel="1" val="2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373380</xdr:colOff>
          <xdr:row>31</xdr:row>
          <xdr:rowOff>22860</xdr:rowOff>
        </xdr:from>
        <xdr:to>
          <xdr:col>21</xdr:col>
          <xdr:colOff>784860</xdr:colOff>
          <xdr:row>32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251460</xdr:colOff>
          <xdr:row>31</xdr:row>
          <xdr:rowOff>0</xdr:rowOff>
        </xdr:from>
        <xdr:to>
          <xdr:col>19</xdr:col>
          <xdr:colOff>708660</xdr:colOff>
          <xdr:row>31</xdr:row>
          <xdr:rowOff>175260</xdr:rowOff>
        </xdr:to>
        <xdr:sp macro="" textlink="">
          <xdr:nvSpPr>
            <xdr:cNvPr id="1052" name="Check Box 28" descr="Controllo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31</xdr:row>
          <xdr:rowOff>60960</xdr:rowOff>
        </xdr:from>
        <xdr:to>
          <xdr:col>15</xdr:col>
          <xdr:colOff>60960</xdr:colOff>
          <xdr:row>32</xdr:row>
          <xdr:rowOff>22860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251460</xdr:colOff>
          <xdr:row>31</xdr:row>
          <xdr:rowOff>30480</xdr:rowOff>
        </xdr:from>
        <xdr:to>
          <xdr:col>10</xdr:col>
          <xdr:colOff>251460</xdr:colOff>
          <xdr:row>31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137160</xdr:rowOff>
        </xdr:from>
        <xdr:to>
          <xdr:col>5</xdr:col>
          <xdr:colOff>76200</xdr:colOff>
          <xdr:row>31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20</xdr:row>
          <xdr:rowOff>30480</xdr:rowOff>
        </xdr:from>
        <xdr:to>
          <xdr:col>17</xdr:col>
          <xdr:colOff>419100</xdr:colOff>
          <xdr:row>21</xdr:row>
          <xdr:rowOff>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26</xdr:row>
          <xdr:rowOff>22860</xdr:rowOff>
        </xdr:from>
        <xdr:to>
          <xdr:col>12</xdr:col>
          <xdr:colOff>0</xdr:colOff>
          <xdr:row>26</xdr:row>
          <xdr:rowOff>144780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25</xdr:row>
          <xdr:rowOff>22860</xdr:rowOff>
        </xdr:from>
        <xdr:to>
          <xdr:col>3</xdr:col>
          <xdr:colOff>99060</xdr:colOff>
          <xdr:row>26</xdr:row>
          <xdr:rowOff>22860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13</xdr:row>
          <xdr:rowOff>38100</xdr:rowOff>
        </xdr:from>
        <xdr:to>
          <xdr:col>22</xdr:col>
          <xdr:colOff>106680</xdr:colOff>
          <xdr:row>14</xdr:row>
          <xdr:rowOff>99060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16</xdr:col>
          <xdr:colOff>365760</xdr:colOff>
          <xdr:row>14</xdr:row>
          <xdr:rowOff>144780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13</xdr:row>
          <xdr:rowOff>99060</xdr:rowOff>
        </xdr:from>
        <xdr:to>
          <xdr:col>16</xdr:col>
          <xdr:colOff>327660</xdr:colOff>
          <xdr:row>14</xdr:row>
          <xdr:rowOff>76200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Protetta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</xdr:colOff>
          <xdr:row>12</xdr:row>
          <xdr:rowOff>38100</xdr:rowOff>
        </xdr:from>
        <xdr:to>
          <xdr:col>16</xdr:col>
          <xdr:colOff>327660</xdr:colOff>
          <xdr:row>12</xdr:row>
          <xdr:rowOff>182880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Pieno campo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11</xdr:row>
          <xdr:rowOff>137160</xdr:rowOff>
        </xdr:from>
        <xdr:to>
          <xdr:col>3</xdr:col>
          <xdr:colOff>251460</xdr:colOff>
          <xdr:row>12</xdr:row>
          <xdr:rowOff>175260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8</xdr:row>
          <xdr:rowOff>106680</xdr:rowOff>
        </xdr:from>
        <xdr:to>
          <xdr:col>17</xdr:col>
          <xdr:colOff>266700</xdr:colOff>
          <xdr:row>9</xdr:row>
          <xdr:rowOff>152400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8</xdr:row>
          <xdr:rowOff>99060</xdr:rowOff>
        </xdr:from>
        <xdr:to>
          <xdr:col>12</xdr:col>
          <xdr:colOff>99060</xdr:colOff>
          <xdr:row>9</xdr:row>
          <xdr:rowOff>175260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8</xdr:row>
          <xdr:rowOff>76200</xdr:rowOff>
        </xdr:from>
        <xdr:to>
          <xdr:col>2</xdr:col>
          <xdr:colOff>327660</xdr:colOff>
          <xdr:row>9</xdr:row>
          <xdr:rowOff>137160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99060</xdr:colOff>
          <xdr:row>4</xdr:row>
          <xdr:rowOff>22860</xdr:rowOff>
        </xdr:from>
        <xdr:to>
          <xdr:col>21</xdr:col>
          <xdr:colOff>822960</xdr:colOff>
          <xdr:row>4</xdr:row>
          <xdr:rowOff>175260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</xdr:colOff>
          <xdr:row>3</xdr:row>
          <xdr:rowOff>152400</xdr:rowOff>
        </xdr:from>
        <xdr:to>
          <xdr:col>9</xdr:col>
          <xdr:colOff>495300</xdr:colOff>
          <xdr:row>4</xdr:row>
          <xdr:rowOff>144780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19</xdr:row>
          <xdr:rowOff>30480</xdr:rowOff>
        </xdr:from>
        <xdr:to>
          <xdr:col>17</xdr:col>
          <xdr:colOff>441960</xdr:colOff>
          <xdr:row>19</xdr:row>
          <xdr:rowOff>175260</xdr:rowOff>
        </xdr:to>
        <xdr:sp macro="" textlink="">
          <xdr:nvSpPr>
            <xdr:cNvPr id="1081" name="Drop Dow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23</xdr:row>
          <xdr:rowOff>22860</xdr:rowOff>
        </xdr:from>
        <xdr:to>
          <xdr:col>17</xdr:col>
          <xdr:colOff>441960</xdr:colOff>
          <xdr:row>23</xdr:row>
          <xdr:rowOff>144780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22860</xdr:rowOff>
        </xdr:from>
        <xdr:to>
          <xdr:col>1</xdr:col>
          <xdr:colOff>403860</xdr:colOff>
          <xdr:row>12</xdr:row>
          <xdr:rowOff>22860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22860</xdr:rowOff>
        </xdr:from>
        <xdr:to>
          <xdr:col>1</xdr:col>
          <xdr:colOff>403860</xdr:colOff>
          <xdr:row>13</xdr:row>
          <xdr:rowOff>251460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13</xdr:row>
          <xdr:rowOff>22860</xdr:rowOff>
        </xdr:from>
        <xdr:to>
          <xdr:col>9</xdr:col>
          <xdr:colOff>327660</xdr:colOff>
          <xdr:row>13</xdr:row>
          <xdr:rowOff>251460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8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21</xdr:row>
          <xdr:rowOff>22860</xdr:rowOff>
        </xdr:from>
        <xdr:to>
          <xdr:col>1</xdr:col>
          <xdr:colOff>365760</xdr:colOff>
          <xdr:row>22</xdr:row>
          <xdr:rowOff>22860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23</xdr:row>
          <xdr:rowOff>22860</xdr:rowOff>
        </xdr:from>
        <xdr:to>
          <xdr:col>1</xdr:col>
          <xdr:colOff>373380</xdr:colOff>
          <xdr:row>24</xdr:row>
          <xdr:rowOff>22860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19</xdr:row>
          <xdr:rowOff>30480</xdr:rowOff>
        </xdr:from>
        <xdr:to>
          <xdr:col>9</xdr:col>
          <xdr:colOff>335280</xdr:colOff>
          <xdr:row>21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23</xdr:row>
          <xdr:rowOff>22860</xdr:rowOff>
        </xdr:from>
        <xdr:to>
          <xdr:col>9</xdr:col>
          <xdr:colOff>327660</xdr:colOff>
          <xdr:row>24</xdr:row>
          <xdr:rowOff>22860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25</xdr:row>
          <xdr:rowOff>22860</xdr:rowOff>
        </xdr:from>
        <xdr:to>
          <xdr:col>9</xdr:col>
          <xdr:colOff>373380</xdr:colOff>
          <xdr:row>26</xdr:row>
          <xdr:rowOff>30480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8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15</xdr:row>
          <xdr:rowOff>22860</xdr:rowOff>
        </xdr:from>
        <xdr:to>
          <xdr:col>9</xdr:col>
          <xdr:colOff>327660</xdr:colOff>
          <xdr:row>16</xdr:row>
          <xdr:rowOff>30480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8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29</xdr:row>
          <xdr:rowOff>38100</xdr:rowOff>
        </xdr:from>
        <xdr:to>
          <xdr:col>9</xdr:col>
          <xdr:colOff>365760</xdr:colOff>
          <xdr:row>31</xdr:row>
          <xdr:rowOff>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25</xdr:row>
          <xdr:rowOff>38100</xdr:rowOff>
        </xdr:from>
        <xdr:to>
          <xdr:col>1</xdr:col>
          <xdr:colOff>373380</xdr:colOff>
          <xdr:row>27</xdr:row>
          <xdr:rowOff>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8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27</xdr:row>
          <xdr:rowOff>30480</xdr:rowOff>
        </xdr:from>
        <xdr:to>
          <xdr:col>9</xdr:col>
          <xdr:colOff>373380</xdr:colOff>
          <xdr:row>29</xdr:row>
          <xdr:rowOff>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8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22860</xdr:rowOff>
        </xdr:from>
        <xdr:to>
          <xdr:col>9</xdr:col>
          <xdr:colOff>381000</xdr:colOff>
          <xdr:row>22</xdr:row>
          <xdr:rowOff>30480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8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0</xdr:rowOff>
        </xdr:from>
        <xdr:to>
          <xdr:col>1</xdr:col>
          <xdr:colOff>365760</xdr:colOff>
          <xdr:row>10</xdr:row>
          <xdr:rowOff>220980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10</xdr:row>
          <xdr:rowOff>22860</xdr:rowOff>
        </xdr:from>
        <xdr:to>
          <xdr:col>9</xdr:col>
          <xdr:colOff>335280</xdr:colOff>
          <xdr:row>10</xdr:row>
          <xdr:rowOff>228600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16</xdr:row>
          <xdr:rowOff>0</xdr:rowOff>
        </xdr:from>
        <xdr:to>
          <xdr:col>9</xdr:col>
          <xdr:colOff>342900</xdr:colOff>
          <xdr:row>18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22860</xdr:rowOff>
        </xdr:from>
        <xdr:to>
          <xdr:col>1</xdr:col>
          <xdr:colOff>365760</xdr:colOff>
          <xdr:row>14</xdr:row>
          <xdr:rowOff>22860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9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13</xdr:row>
          <xdr:rowOff>30480</xdr:rowOff>
        </xdr:from>
        <xdr:to>
          <xdr:col>9</xdr:col>
          <xdr:colOff>335280</xdr:colOff>
          <xdr:row>15</xdr:row>
          <xdr:rowOff>30480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9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14</xdr:row>
          <xdr:rowOff>22860</xdr:rowOff>
        </xdr:from>
        <xdr:to>
          <xdr:col>1</xdr:col>
          <xdr:colOff>335280</xdr:colOff>
          <xdr:row>16</xdr:row>
          <xdr:rowOff>22860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9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27</xdr:row>
          <xdr:rowOff>30480</xdr:rowOff>
        </xdr:from>
        <xdr:to>
          <xdr:col>9</xdr:col>
          <xdr:colOff>335280</xdr:colOff>
          <xdr:row>28</xdr:row>
          <xdr:rowOff>30480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9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27</xdr:row>
          <xdr:rowOff>22860</xdr:rowOff>
        </xdr:from>
        <xdr:to>
          <xdr:col>1</xdr:col>
          <xdr:colOff>335280</xdr:colOff>
          <xdr:row>28</xdr:row>
          <xdr:rowOff>22860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9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29</xdr:row>
          <xdr:rowOff>22860</xdr:rowOff>
        </xdr:from>
        <xdr:to>
          <xdr:col>9</xdr:col>
          <xdr:colOff>335280</xdr:colOff>
          <xdr:row>30</xdr:row>
          <xdr:rowOff>60960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29</xdr:row>
          <xdr:rowOff>30480</xdr:rowOff>
        </xdr:from>
        <xdr:to>
          <xdr:col>1</xdr:col>
          <xdr:colOff>365760</xdr:colOff>
          <xdr:row>31</xdr:row>
          <xdr:rowOff>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31</xdr:row>
          <xdr:rowOff>38100</xdr:rowOff>
        </xdr:from>
        <xdr:to>
          <xdr:col>1</xdr:col>
          <xdr:colOff>373380</xdr:colOff>
          <xdr:row>33</xdr:row>
          <xdr:rowOff>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9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31</xdr:row>
          <xdr:rowOff>30480</xdr:rowOff>
        </xdr:from>
        <xdr:to>
          <xdr:col>9</xdr:col>
          <xdr:colOff>297180</xdr:colOff>
          <xdr:row>32</xdr:row>
          <xdr:rowOff>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9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22860</xdr:rowOff>
        </xdr:from>
        <xdr:to>
          <xdr:col>4</xdr:col>
          <xdr:colOff>632460</xdr:colOff>
          <xdr:row>7</xdr:row>
          <xdr:rowOff>76200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6</xdr:row>
          <xdr:rowOff>30480</xdr:rowOff>
        </xdr:from>
        <xdr:to>
          <xdr:col>22</xdr:col>
          <xdr:colOff>144780</xdr:colOff>
          <xdr:row>7</xdr:row>
          <xdr:rowOff>68580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38100</xdr:rowOff>
        </xdr:from>
        <xdr:to>
          <xdr:col>4</xdr:col>
          <xdr:colOff>601980</xdr:colOff>
          <xdr:row>10</xdr:row>
          <xdr:rowOff>99060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8</xdr:row>
          <xdr:rowOff>38100</xdr:rowOff>
        </xdr:from>
        <xdr:to>
          <xdr:col>22</xdr:col>
          <xdr:colOff>114300</xdr:colOff>
          <xdr:row>9</xdr:row>
          <xdr:rowOff>137160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C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60960</xdr:rowOff>
        </xdr:from>
        <xdr:to>
          <xdr:col>5</xdr:col>
          <xdr:colOff>30480</xdr:colOff>
          <xdr:row>13</xdr:row>
          <xdr:rowOff>106680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C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60960</xdr:colOff>
          <xdr:row>11</xdr:row>
          <xdr:rowOff>60960</xdr:rowOff>
        </xdr:from>
        <xdr:to>
          <xdr:col>22</xdr:col>
          <xdr:colOff>144780</xdr:colOff>
          <xdr:row>12</xdr:row>
          <xdr:rowOff>137160</xdr:rowOff>
        </xdr:to>
        <xdr:sp macro="" textlink="">
          <xdr:nvSpPr>
            <xdr:cNvPr id="9222" name="Drop Dow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C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18</xdr:row>
          <xdr:rowOff>0</xdr:rowOff>
        </xdr:from>
        <xdr:to>
          <xdr:col>4</xdr:col>
          <xdr:colOff>487680</xdr:colOff>
          <xdr:row>19</xdr:row>
          <xdr:rowOff>38100</xdr:rowOff>
        </xdr:to>
        <xdr:sp macro="" textlink="">
          <xdr:nvSpPr>
            <xdr:cNvPr id="9223" name="Drop Dow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C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20</xdr:row>
          <xdr:rowOff>0</xdr:rowOff>
        </xdr:from>
        <xdr:to>
          <xdr:col>4</xdr:col>
          <xdr:colOff>487680</xdr:colOff>
          <xdr:row>21</xdr:row>
          <xdr:rowOff>38100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C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4</xdr:col>
          <xdr:colOff>480060</xdr:colOff>
          <xdr:row>23</xdr:row>
          <xdr:rowOff>38100</xdr:rowOff>
        </xdr:to>
        <xdr:sp macro="" textlink="">
          <xdr:nvSpPr>
            <xdr:cNvPr id="9225" name="Drop Dow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C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24</xdr:row>
          <xdr:rowOff>0</xdr:rowOff>
        </xdr:from>
        <xdr:to>
          <xdr:col>4</xdr:col>
          <xdr:colOff>487680</xdr:colOff>
          <xdr:row>25</xdr:row>
          <xdr:rowOff>38100</xdr:rowOff>
        </xdr:to>
        <xdr:sp macro="" textlink="">
          <xdr:nvSpPr>
            <xdr:cNvPr id="9226" name="Drop Dow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C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36</xdr:row>
          <xdr:rowOff>137160</xdr:rowOff>
        </xdr:from>
        <xdr:to>
          <xdr:col>4</xdr:col>
          <xdr:colOff>449580</xdr:colOff>
          <xdr:row>39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Copia il piano di di fertilizzazione impostato nel foglio "Distribuz."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36</xdr:row>
          <xdr:rowOff>175260</xdr:rowOff>
        </xdr:from>
        <xdr:to>
          <xdr:col>9</xdr:col>
          <xdr:colOff>144780</xdr:colOff>
          <xdr:row>39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D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Cancella questo piano di fertilizzazione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30"/>
  <sheetViews>
    <sheetView zoomScale="115" zoomScaleNormal="115" workbookViewId="0">
      <selection activeCell="B12" sqref="B12"/>
    </sheetView>
  </sheetViews>
  <sheetFormatPr defaultColWidth="8.6640625" defaultRowHeight="13.2" x14ac:dyDescent="0.25"/>
  <cols>
    <col min="1" max="1" width="146.109375" style="766" customWidth="1"/>
    <col min="2" max="2" width="14.33203125" style="766" customWidth="1"/>
    <col min="3" max="3" width="8.6640625" style="766"/>
    <col min="4" max="4" width="17.44140625" style="766" customWidth="1"/>
    <col min="5" max="8" width="8.6640625" style="766"/>
    <col min="9" max="9" width="125.109375" style="766" customWidth="1"/>
    <col min="10" max="16384" width="8.6640625" style="766"/>
  </cols>
  <sheetData>
    <row r="1" spans="1:4" ht="14.4" x14ac:dyDescent="0.25">
      <c r="A1" s="765" t="s">
        <v>1860</v>
      </c>
      <c r="B1" s="765" t="s">
        <v>1861</v>
      </c>
      <c r="C1" s="765"/>
      <c r="D1" s="765" t="s">
        <v>1373</v>
      </c>
    </row>
    <row r="2" spans="1:4" x14ac:dyDescent="0.25">
      <c r="A2" s="821" t="s">
        <v>1862</v>
      </c>
      <c r="B2" s="767"/>
      <c r="C2" s="767"/>
      <c r="D2" s="767"/>
    </row>
    <row r="4" spans="1:4" x14ac:dyDescent="0.25">
      <c r="A4" s="769" t="s">
        <v>1863</v>
      </c>
    </row>
    <row r="5" spans="1:4" ht="26.4" x14ac:dyDescent="0.25">
      <c r="A5" s="766" t="s">
        <v>647</v>
      </c>
    </row>
    <row r="6" spans="1:4" x14ac:dyDescent="0.25">
      <c r="A6" s="766" t="s">
        <v>1084</v>
      </c>
    </row>
    <row r="7" spans="1:4" x14ac:dyDescent="0.25">
      <c r="A7" s="766" t="s">
        <v>993</v>
      </c>
    </row>
    <row r="8" spans="1:4" ht="26.4" x14ac:dyDescent="0.25">
      <c r="A8" s="766" t="s">
        <v>1843</v>
      </c>
    </row>
    <row r="10" spans="1:4" x14ac:dyDescent="0.25">
      <c r="A10" s="767" t="s">
        <v>649</v>
      </c>
    </row>
    <row r="11" spans="1:4" ht="40.950000000000003" customHeight="1" x14ac:dyDescent="0.25">
      <c r="A11" s="769" t="s">
        <v>1851</v>
      </c>
    </row>
    <row r="12" spans="1:4" x14ac:dyDescent="0.25">
      <c r="A12" s="766" t="s">
        <v>1220</v>
      </c>
    </row>
    <row r="13" spans="1:4" x14ac:dyDescent="0.25">
      <c r="A13" s="766" t="s">
        <v>650</v>
      </c>
    </row>
    <row r="14" spans="1:4" x14ac:dyDescent="0.25">
      <c r="A14" s="766" t="s">
        <v>1492</v>
      </c>
    </row>
    <row r="15" spans="1:4" x14ac:dyDescent="0.25">
      <c r="A15" s="766" t="s">
        <v>1493</v>
      </c>
    </row>
    <row r="16" spans="1:4" x14ac:dyDescent="0.25">
      <c r="A16" s="766" t="s">
        <v>648</v>
      </c>
    </row>
    <row r="17" spans="1:1" x14ac:dyDescent="0.25">
      <c r="A17" s="766" t="s">
        <v>651</v>
      </c>
    </row>
    <row r="19" spans="1:1" ht="26.4" x14ac:dyDescent="0.25">
      <c r="A19" s="767" t="s">
        <v>1844</v>
      </c>
    </row>
    <row r="20" spans="1:1" x14ac:dyDescent="0.25">
      <c r="A20" s="766" t="s">
        <v>1845</v>
      </c>
    </row>
    <row r="21" spans="1:1" ht="26.4" x14ac:dyDescent="0.25">
      <c r="A21" s="766" t="s">
        <v>1846</v>
      </c>
    </row>
    <row r="23" spans="1:1" x14ac:dyDescent="0.25">
      <c r="A23" s="767" t="s">
        <v>1847</v>
      </c>
    </row>
    <row r="24" spans="1:1" ht="26.4" customHeight="1" x14ac:dyDescent="0.25">
      <c r="A24" s="766" t="s">
        <v>1848</v>
      </c>
    </row>
    <row r="25" spans="1:1" ht="26.4" customHeight="1" x14ac:dyDescent="0.25">
      <c r="A25" s="767" t="s">
        <v>1849</v>
      </c>
    </row>
    <row r="26" spans="1:1" ht="26.4" x14ac:dyDescent="0.25">
      <c r="A26" s="766" t="s">
        <v>1475</v>
      </c>
    </row>
    <row r="27" spans="1:1" x14ac:dyDescent="0.25">
      <c r="A27" s="766" t="s">
        <v>1850</v>
      </c>
    </row>
    <row r="30" spans="1:1" ht="18.600000000000001" customHeight="1" x14ac:dyDescent="0.25">
      <c r="A30" s="768" t="s">
        <v>1843</v>
      </c>
    </row>
  </sheetData>
  <sheetProtection algorithmName="SHA-512" hashValue="f+kLkjmLixdH4ZJQIjpU+2961uvU6kbtOmF16EZ9327mjUvuHsCcvdNRUdX1IJruSuTyq5IaYnPSLEbPRRLPuw==" saltValue="sI44att02TiHDrEtGm+y9g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rgb="FFFFFF00"/>
    <pageSetUpPr fitToPage="1"/>
  </sheetPr>
  <dimension ref="A1:X43"/>
  <sheetViews>
    <sheetView zoomScaleNormal="100" workbookViewId="0">
      <selection activeCell="M23" sqref="M23:N23"/>
    </sheetView>
  </sheetViews>
  <sheetFormatPr defaultRowHeight="13.2" x14ac:dyDescent="0.25"/>
  <cols>
    <col min="1" max="1" width="4" customWidth="1"/>
    <col min="2" max="2" width="13.44140625" customWidth="1"/>
    <col min="3" max="3" width="6.44140625" customWidth="1"/>
    <col min="4" max="4" width="3.6640625" customWidth="1"/>
    <col min="5" max="5" width="9.5546875" customWidth="1"/>
    <col min="6" max="6" width="3.33203125" customWidth="1"/>
    <col min="7" max="7" width="3.44140625" customWidth="1"/>
    <col min="8" max="8" width="10" customWidth="1"/>
    <col min="9" max="9" width="1.6640625" customWidth="1"/>
    <col min="10" max="10" width="8.6640625" customWidth="1"/>
    <col min="11" max="11" width="6.5546875" customWidth="1"/>
    <col min="12" max="12" width="6.44140625" customWidth="1"/>
    <col min="13" max="13" width="2.33203125" customWidth="1"/>
    <col min="14" max="14" width="9.5546875" customWidth="1"/>
    <col min="15" max="15" width="3.33203125" customWidth="1"/>
    <col min="16" max="16" width="4.5546875" customWidth="1"/>
    <col min="17" max="17" width="9.33203125" customWidth="1"/>
    <col min="18" max="18" width="6.6640625" customWidth="1"/>
    <col min="19" max="19" width="2.33203125" customWidth="1"/>
    <col min="20" max="20" width="11.5546875" customWidth="1"/>
    <col min="21" max="21" width="1.6640625" customWidth="1"/>
    <col min="22" max="22" width="13.5546875" customWidth="1"/>
    <col min="23" max="23" width="5.33203125" customWidth="1"/>
    <col min="24" max="24" width="10.33203125" customWidth="1"/>
  </cols>
  <sheetData>
    <row r="1" spans="1:24" x14ac:dyDescent="0.25">
      <c r="B1" s="299" t="s">
        <v>563</v>
      </c>
      <c r="C1" s="215"/>
      <c r="D1" s="215"/>
      <c r="E1" s="215"/>
      <c r="F1" s="215"/>
      <c r="G1" s="215"/>
      <c r="H1" s="215"/>
      <c r="I1" s="215"/>
      <c r="L1" s="299"/>
      <c r="M1" s="299"/>
      <c r="N1" s="299" t="s">
        <v>564</v>
      </c>
      <c r="O1" s="215"/>
      <c r="P1" s="215"/>
      <c r="Q1" s="215"/>
      <c r="R1" s="215"/>
      <c r="S1" s="215"/>
      <c r="T1" s="215"/>
      <c r="U1" s="215"/>
      <c r="V1" s="397"/>
      <c r="W1" s="397"/>
      <c r="X1" s="215"/>
    </row>
    <row r="2" spans="1:24" x14ac:dyDescent="0.25">
      <c r="A2" s="298"/>
      <c r="B2" s="17" t="s">
        <v>1859</v>
      </c>
      <c r="C2" s="298"/>
      <c r="D2" s="298"/>
      <c r="E2" s="298"/>
      <c r="F2" s="298"/>
      <c r="G2" s="298"/>
      <c r="H2" s="298"/>
      <c r="I2" s="298"/>
      <c r="J2" s="215"/>
      <c r="K2" s="215"/>
      <c r="L2" s="215"/>
      <c r="M2" s="215"/>
      <c r="N2" s="215"/>
      <c r="O2" s="299"/>
      <c r="P2" s="215"/>
      <c r="Q2" s="215"/>
      <c r="R2" s="215"/>
      <c r="S2" s="215"/>
      <c r="T2" s="215"/>
      <c r="U2" s="215"/>
      <c r="V2" s="215"/>
      <c r="W2" s="215"/>
      <c r="X2" s="215"/>
    </row>
    <row r="3" spans="1:24" x14ac:dyDescent="0.25">
      <c r="A3" s="298"/>
      <c r="B3" s="506" t="s">
        <v>1329</v>
      </c>
      <c r="C3" s="507"/>
      <c r="D3" s="507"/>
      <c r="E3" s="508"/>
      <c r="F3" s="507"/>
      <c r="G3" s="507"/>
      <c r="H3" s="507"/>
      <c r="I3" s="507"/>
      <c r="J3" s="508"/>
      <c r="K3" s="508"/>
      <c r="L3" s="508"/>
      <c r="M3" s="508"/>
      <c r="N3" s="509"/>
      <c r="O3" s="509"/>
      <c r="P3" s="507"/>
      <c r="Q3" s="507"/>
      <c r="R3" s="508"/>
      <c r="S3" s="508"/>
      <c r="T3" s="508"/>
      <c r="U3" s="507"/>
      <c r="V3" s="548"/>
      <c r="W3" s="548"/>
      <c r="X3" s="510"/>
    </row>
    <row r="4" spans="1:24" x14ac:dyDescent="0.25">
      <c r="A4" s="298"/>
      <c r="B4" s="987" t="s">
        <v>1314</v>
      </c>
      <c r="C4" s="1012"/>
      <c r="D4" s="1012"/>
      <c r="E4" s="1012"/>
      <c r="F4" s="1012"/>
      <c r="G4" s="307"/>
      <c r="H4" s="988" t="s">
        <v>1327</v>
      </c>
      <c r="I4" s="988"/>
      <c r="J4" s="988"/>
      <c r="K4" s="988"/>
      <c r="L4" s="988"/>
      <c r="M4" s="307"/>
      <c r="N4" s="988" t="s">
        <v>963</v>
      </c>
      <c r="O4" s="988"/>
      <c r="P4" s="307"/>
      <c r="Q4" s="1027" t="s">
        <v>967</v>
      </c>
      <c r="R4" s="1028"/>
      <c r="S4" s="307"/>
      <c r="T4" s="483" t="s">
        <v>927</v>
      </c>
      <c r="U4" s="307"/>
      <c r="V4" s="298" t="s">
        <v>928</v>
      </c>
      <c r="W4" s="1021" t="str">
        <f>IF(AND(Codici!E2=1,A!G241="no"),"Metodo non previsto per questa coltura",IF(AND(Standard!F243="nd",Codici!E2=2),"Non disponibile"," "))</f>
        <v xml:space="preserve"> </v>
      </c>
      <c r="X4" s="1022"/>
    </row>
    <row r="5" spans="1:24" x14ac:dyDescent="0.25">
      <c r="A5" s="298"/>
      <c r="B5" s="1033" t="s">
        <v>1496</v>
      </c>
      <c r="C5" s="1000"/>
      <c r="D5" s="1000"/>
      <c r="E5" s="1000"/>
      <c r="F5" s="1000"/>
      <c r="G5" s="305"/>
      <c r="H5" s="1019"/>
      <c r="I5" s="1020"/>
      <c r="J5" s="1020"/>
      <c r="K5" s="1020"/>
      <c r="L5" s="1020"/>
      <c r="M5" s="305"/>
      <c r="N5" s="1030" t="s">
        <v>15</v>
      </c>
      <c r="O5" s="1000"/>
      <c r="P5" s="305"/>
      <c r="Q5" s="1029">
        <v>1</v>
      </c>
      <c r="R5" s="1029"/>
      <c r="S5" s="305"/>
      <c r="T5" s="211">
        <v>2025</v>
      </c>
      <c r="U5" s="305"/>
      <c r="V5" s="500"/>
      <c r="W5" s="1023"/>
      <c r="X5" s="1024"/>
    </row>
    <row r="6" spans="1:24" ht="10.199999999999999" customHeight="1" x14ac:dyDescent="0.25">
      <c r="A6" s="298"/>
      <c r="B6" s="299"/>
      <c r="C6" s="298"/>
      <c r="D6" s="298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486"/>
      <c r="T6" s="298"/>
      <c r="U6" s="298"/>
      <c r="V6" s="228"/>
      <c r="W6" s="228"/>
      <c r="X6" s="298"/>
    </row>
    <row r="7" spans="1:24" ht="13.2" customHeight="1" x14ac:dyDescent="0.25">
      <c r="A7" s="298"/>
      <c r="B7" s="506" t="s">
        <v>1330</v>
      </c>
      <c r="C7" s="507"/>
      <c r="D7" s="507"/>
      <c r="E7" s="507"/>
      <c r="F7" s="507"/>
      <c r="G7" s="507"/>
      <c r="H7" s="507"/>
      <c r="I7" s="507"/>
      <c r="J7" s="507"/>
      <c r="K7" s="507"/>
      <c r="L7" s="507"/>
      <c r="M7" s="507"/>
      <c r="N7" s="507"/>
      <c r="O7" s="507"/>
      <c r="P7" s="507"/>
      <c r="Q7" s="507"/>
      <c r="R7" s="507"/>
      <c r="S7" s="507"/>
      <c r="T7" s="508"/>
      <c r="U7" s="508"/>
      <c r="V7" s="508"/>
      <c r="W7" s="508"/>
      <c r="X7" s="510"/>
    </row>
    <row r="8" spans="1:24" x14ac:dyDescent="0.25">
      <c r="A8" s="298"/>
      <c r="B8" s="1039" t="s">
        <v>19</v>
      </c>
      <c r="C8" s="1034"/>
      <c r="D8" s="487"/>
      <c r="E8" s="307"/>
      <c r="F8" s="1034" t="s">
        <v>13</v>
      </c>
      <c r="G8" s="1034"/>
      <c r="H8" s="1034"/>
      <c r="I8" s="1034"/>
      <c r="J8" s="1034"/>
      <c r="K8" s="1034"/>
      <c r="L8" s="1034"/>
      <c r="M8" s="307"/>
      <c r="N8" s="1034" t="s">
        <v>1221</v>
      </c>
      <c r="O8" s="1034"/>
      <c r="P8" s="1034"/>
      <c r="Q8" s="1034"/>
      <c r="R8" s="1034"/>
      <c r="S8" s="307"/>
      <c r="T8" s="1038" t="s">
        <v>1316</v>
      </c>
      <c r="U8" s="1038"/>
      <c r="V8" s="1038"/>
      <c r="W8" s="307"/>
      <c r="X8" s="712" t="s">
        <v>1503</v>
      </c>
    </row>
    <row r="9" spans="1:24" x14ac:dyDescent="0.25">
      <c r="A9" s="298"/>
      <c r="B9" s="303"/>
      <c r="C9" s="304"/>
      <c r="D9" s="304"/>
      <c r="E9" s="304"/>
      <c r="F9" s="304"/>
      <c r="G9" s="304"/>
      <c r="H9" s="304"/>
      <c r="I9" s="304"/>
      <c r="J9" s="304"/>
      <c r="K9" s="304"/>
      <c r="L9" s="304"/>
      <c r="M9" s="307"/>
      <c r="N9" s="304"/>
      <c r="O9" s="304"/>
      <c r="P9" s="488"/>
      <c r="Q9" s="488"/>
      <c r="R9" s="488"/>
      <c r="S9" s="307"/>
      <c r="T9" s="514" t="s">
        <v>1204</v>
      </c>
      <c r="U9" s="514"/>
      <c r="V9" s="711" t="s">
        <v>518</v>
      </c>
      <c r="W9" s="307"/>
      <c r="X9" s="712" t="s">
        <v>1504</v>
      </c>
    </row>
    <row r="10" spans="1:24" ht="18" customHeight="1" x14ac:dyDescent="0.25">
      <c r="A10" s="298"/>
      <c r="B10" s="303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7"/>
      <c r="N10" s="304"/>
      <c r="O10" s="304"/>
      <c r="P10" s="488"/>
      <c r="Q10" s="488"/>
      <c r="R10" s="488"/>
      <c r="S10" s="307"/>
      <c r="T10" s="496">
        <v>6</v>
      </c>
      <c r="U10" s="487"/>
      <c r="V10" s="497">
        <f>Standard!E247</f>
        <v>6</v>
      </c>
      <c r="W10" s="307"/>
      <c r="X10" s="713">
        <v>0</v>
      </c>
    </row>
    <row r="11" spans="1:24" ht="6" customHeight="1" x14ac:dyDescent="0.25">
      <c r="A11" s="298"/>
      <c r="B11" s="501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7"/>
      <c r="R11" s="307"/>
      <c r="S11" s="307"/>
      <c r="T11" s="307"/>
      <c r="U11" s="307"/>
      <c r="V11" s="307"/>
      <c r="W11" s="307"/>
      <c r="X11" s="308"/>
    </row>
    <row r="12" spans="1:24" ht="13.2" customHeight="1" x14ac:dyDescent="0.25">
      <c r="A12" s="32"/>
      <c r="B12" s="987" t="s">
        <v>1326</v>
      </c>
      <c r="C12" s="1012"/>
      <c r="D12" s="1012"/>
      <c r="E12" s="307"/>
      <c r="F12" s="307"/>
      <c r="G12" s="307"/>
      <c r="H12" s="502" t="s">
        <v>1323</v>
      </c>
      <c r="I12" s="502"/>
      <c r="J12" s="495"/>
      <c r="K12" s="1015" t="str">
        <f>IF(AND(J15&gt;0,Coltura!E238=0),"Non valorizzato perché non  pertinente (coltura senza azoto fissazione)"," ")</f>
        <v xml:space="preserve"> </v>
      </c>
      <c r="L12" s="1015"/>
      <c r="M12" s="307"/>
      <c r="N12" s="1012" t="s">
        <v>1332</v>
      </c>
      <c r="O12" s="1012"/>
      <c r="P12" s="1012"/>
      <c r="Q12" s="1012"/>
      <c r="R12" s="1012"/>
      <c r="S12" s="307"/>
      <c r="T12" s="307"/>
      <c r="U12" s="307"/>
      <c r="V12" s="307"/>
      <c r="W12" s="307"/>
      <c r="X12" s="308"/>
    </row>
    <row r="13" spans="1:24" ht="15" customHeight="1" x14ac:dyDescent="0.25">
      <c r="A13" s="32"/>
      <c r="B13" s="1031" t="s">
        <v>1328</v>
      </c>
      <c r="C13" s="1032"/>
      <c r="D13" s="526"/>
      <c r="E13" s="307"/>
      <c r="F13" s="307"/>
      <c r="G13" s="307"/>
      <c r="H13" s="498" t="s">
        <v>517</v>
      </c>
      <c r="I13" s="498"/>
      <c r="K13" s="1015"/>
      <c r="L13" s="1015"/>
      <c r="M13" s="307"/>
      <c r="N13" s="487"/>
      <c r="O13" s="487"/>
      <c r="P13" s="487"/>
      <c r="Q13" s="487"/>
      <c r="R13" s="1017" t="str">
        <f>Coltura!G241</f>
        <v xml:space="preserve"> </v>
      </c>
      <c r="S13" s="307"/>
      <c r="T13" s="988" t="s">
        <v>539</v>
      </c>
      <c r="U13" s="988"/>
      <c r="V13" s="988"/>
      <c r="W13" s="988"/>
      <c r="X13" s="308"/>
    </row>
    <row r="14" spans="1:24" x14ac:dyDescent="0.25">
      <c r="A14" s="32"/>
      <c r="B14" s="524" t="s">
        <v>1324</v>
      </c>
      <c r="C14" s="525">
        <v>25</v>
      </c>
      <c r="D14" s="487"/>
      <c r="E14" s="307"/>
      <c r="F14" s="307"/>
      <c r="G14" s="307"/>
      <c r="H14" s="489" t="s">
        <v>518</v>
      </c>
      <c r="I14" s="489"/>
      <c r="J14" s="489" t="s">
        <v>519</v>
      </c>
      <c r="K14" s="1015"/>
      <c r="L14" s="1015"/>
      <c r="M14" s="307"/>
      <c r="N14" s="487"/>
      <c r="O14" s="487"/>
      <c r="P14" s="487"/>
      <c r="Q14" s="487"/>
      <c r="R14" s="1017"/>
      <c r="S14" s="307"/>
      <c r="T14" s="545"/>
      <c r="U14" s="546"/>
      <c r="V14" s="491"/>
      <c r="W14" s="546"/>
      <c r="X14" s="308"/>
    </row>
    <row r="15" spans="1:24" ht="18" customHeight="1" x14ac:dyDescent="0.25">
      <c r="A15" s="32"/>
      <c r="B15" s="513" t="s">
        <v>1325</v>
      </c>
      <c r="C15" s="211">
        <v>0</v>
      </c>
      <c r="D15" s="503"/>
      <c r="E15" s="305"/>
      <c r="F15" s="305"/>
      <c r="G15" s="305"/>
      <c r="H15" s="504">
        <f>Coltura!E238</f>
        <v>0</v>
      </c>
      <c r="I15" s="504"/>
      <c r="J15" s="211">
        <v>0</v>
      </c>
      <c r="K15" s="1016"/>
      <c r="L15" s="1016"/>
      <c r="M15" s="305"/>
      <c r="N15" s="519"/>
      <c r="O15" s="503"/>
      <c r="P15" s="503"/>
      <c r="Q15" s="503"/>
      <c r="R15" s="1018"/>
      <c r="S15" s="305"/>
      <c r="T15" s="505"/>
      <c r="U15" s="493"/>
      <c r="V15" s="493"/>
      <c r="W15" s="547"/>
      <c r="X15" s="306"/>
    </row>
    <row r="16" spans="1:24" ht="10.199999999999999" customHeight="1" x14ac:dyDescent="0.25">
      <c r="A16" s="298"/>
      <c r="B16" s="486"/>
      <c r="C16" s="486"/>
      <c r="D16" s="486"/>
      <c r="E16" s="486"/>
      <c r="F16" s="486"/>
      <c r="G16" s="486"/>
      <c r="H16" s="486"/>
      <c r="I16" s="486"/>
      <c r="J16" s="486"/>
      <c r="K16" s="486"/>
      <c r="L16" s="486"/>
      <c r="M16" s="486"/>
      <c r="N16" s="486"/>
      <c r="O16" s="486"/>
      <c r="P16" s="486"/>
      <c r="Q16" s="486"/>
      <c r="R16" s="486"/>
      <c r="S16" s="486"/>
      <c r="T16" s="487"/>
      <c r="U16" s="486"/>
      <c r="V16" s="486"/>
      <c r="W16" s="486"/>
      <c r="X16" s="486"/>
    </row>
    <row r="17" spans="1:24" x14ac:dyDescent="0.25">
      <c r="A17" s="298"/>
      <c r="B17" s="506" t="s">
        <v>1315</v>
      </c>
      <c r="C17" s="507"/>
      <c r="D17" s="507"/>
      <c r="E17" s="507"/>
      <c r="F17" s="507"/>
      <c r="G17" s="507"/>
      <c r="H17" s="507"/>
      <c r="I17" s="507"/>
      <c r="J17" s="507"/>
      <c r="K17" s="507"/>
      <c r="L17" s="507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11"/>
    </row>
    <row r="18" spans="1:24" x14ac:dyDescent="0.25">
      <c r="A18" s="298"/>
      <c r="B18" s="309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310"/>
      <c r="P18" s="310"/>
      <c r="Q18" s="310"/>
      <c r="R18" s="1035" t="str">
        <f>IF(Gri_K!$K$36="sì"," dotazione di K corretta in funzione del rapporto Mg/K e della CSC"," ")</f>
        <v xml:space="preserve"> </v>
      </c>
      <c r="S18" s="1035"/>
      <c r="T18" s="1035"/>
      <c r="U18" s="1035"/>
      <c r="V18" s="1035"/>
      <c r="W18" s="1035"/>
      <c r="X18" s="1036"/>
    </row>
    <row r="19" spans="1:24" x14ac:dyDescent="0.25">
      <c r="A19" s="298"/>
      <c r="B19" s="666" t="s">
        <v>1444</v>
      </c>
      <c r="C19" s="212">
        <v>15.5</v>
      </c>
      <c r="D19" s="307"/>
      <c r="E19" s="41" t="s">
        <v>259</v>
      </c>
      <c r="F19" s="1025" t="str">
        <f>Suolo!E27</f>
        <v>FL</v>
      </c>
      <c r="G19" s="1025"/>
      <c r="H19" s="1025"/>
      <c r="I19" s="307"/>
      <c r="J19" s="1003" t="s">
        <v>1449</v>
      </c>
      <c r="K19" s="1026"/>
      <c r="L19" s="484">
        <v>1.5</v>
      </c>
      <c r="M19" s="1001" t="str">
        <f>B!F29</f>
        <v>Media</v>
      </c>
      <c r="N19" s="1001"/>
      <c r="O19" s="307"/>
      <c r="P19" s="1040" t="s">
        <v>362</v>
      </c>
      <c r="Q19" s="1014"/>
      <c r="R19" s="499">
        <v>150</v>
      </c>
      <c r="S19" s="1001" t="str">
        <f ca="1">Gri_K!G18</f>
        <v>media</v>
      </c>
      <c r="T19" s="1001"/>
      <c r="U19" s="310"/>
      <c r="V19" s="651" t="s">
        <v>1380</v>
      </c>
      <c r="W19" s="709" t="str">
        <f>IF(Gri_K!R11=0," ",Gri_K!S14)</f>
        <v xml:space="preserve"> </v>
      </c>
      <c r="X19" s="646" t="str">
        <f>Gri_K!T25</f>
        <v>non calcolato</v>
      </c>
    </row>
    <row r="20" spans="1:24" x14ac:dyDescent="0.25">
      <c r="A20" s="298"/>
      <c r="B20" s="309"/>
      <c r="C20" s="310"/>
      <c r="D20" s="307"/>
      <c r="E20" s="310"/>
      <c r="F20" s="310"/>
      <c r="G20" s="310"/>
      <c r="H20" s="310"/>
      <c r="I20" s="310"/>
      <c r="J20" s="307"/>
      <c r="K20" s="307"/>
      <c r="L20" s="307"/>
      <c r="M20" s="307"/>
      <c r="N20" s="310"/>
      <c r="O20" s="307"/>
      <c r="P20" s="1041" t="s">
        <v>1387</v>
      </c>
      <c r="Q20" s="1041"/>
      <c r="R20" s="499"/>
      <c r="S20" s="613" t="str">
        <f>IF(OR(AND(Gri_K!M12=2,R19&gt;1.5),(AND(Gri_K!M12=1,R19&lt;30))),"controlla valore e unità"," ")</f>
        <v xml:space="preserve"> </v>
      </c>
      <c r="T20" s="307"/>
      <c r="U20" s="310"/>
      <c r="V20" s="310"/>
      <c r="W20" s="310"/>
      <c r="X20" s="389"/>
    </row>
    <row r="21" spans="1:24" ht="12.75" customHeight="1" x14ac:dyDescent="0.25">
      <c r="A21" s="298"/>
      <c r="B21" s="666" t="s">
        <v>1445</v>
      </c>
      <c r="C21" s="212">
        <v>18.5</v>
      </c>
      <c r="D21" s="307"/>
      <c r="E21" s="41" t="s">
        <v>308</v>
      </c>
      <c r="F21" s="1002" t="str">
        <f>Suolo!F19</f>
        <v>Medio impasto</v>
      </c>
      <c r="G21" s="1002"/>
      <c r="H21" s="1002"/>
      <c r="I21" s="307"/>
      <c r="J21" s="1003" t="s">
        <v>1450</v>
      </c>
      <c r="K21" s="1004"/>
      <c r="L21" s="212">
        <v>2</v>
      </c>
      <c r="M21" s="1001" t="str">
        <f ca="1">B!E19</f>
        <v>media</v>
      </c>
      <c r="N21" s="1001"/>
      <c r="O21" s="307"/>
      <c r="P21" s="1041" t="s">
        <v>1388</v>
      </c>
      <c r="Q21" s="1041"/>
      <c r="R21" s="499"/>
      <c r="S21" s="613" t="str">
        <f>IF(AND(Gri_K!M7=1,Gri_K!M12=2),"forma chimica errata"," ")</f>
        <v xml:space="preserve"> </v>
      </c>
      <c r="T21" s="307"/>
      <c r="U21" s="310"/>
      <c r="V21" s="651" t="s">
        <v>1416</v>
      </c>
      <c r="W21" s="709" t="str">
        <f>IF(Gri_K!X10=0," ",Gri_K!O30)</f>
        <v xml:space="preserve"> </v>
      </c>
      <c r="X21" s="646" t="str">
        <f>Gri_K!O39</f>
        <v>non calcolato</v>
      </c>
    </row>
    <row r="22" spans="1:24" x14ac:dyDescent="0.25">
      <c r="A22" s="298"/>
      <c r="B22" s="309"/>
      <c r="C22" s="310"/>
      <c r="D22" s="307"/>
      <c r="E22" s="310"/>
      <c r="F22" s="310"/>
      <c r="G22" s="310"/>
      <c r="H22" s="310"/>
      <c r="I22" s="310"/>
      <c r="J22" s="307"/>
      <c r="K22" s="307"/>
      <c r="L22" s="307"/>
      <c r="M22" s="307"/>
      <c r="N22" s="310"/>
      <c r="O22" s="307"/>
      <c r="P22" s="307"/>
      <c r="Q22" s="307"/>
      <c r="R22" s="307"/>
      <c r="S22" s="307"/>
      <c r="T22" s="307"/>
      <c r="U22" s="310"/>
      <c r="V22" s="307"/>
      <c r="W22" s="307"/>
      <c r="X22" s="308"/>
    </row>
    <row r="23" spans="1:24" ht="13.2" customHeight="1" x14ac:dyDescent="0.25">
      <c r="A23" s="298"/>
      <c r="B23" s="666" t="s">
        <v>1446</v>
      </c>
      <c r="C23" s="49">
        <f>(100-(C19+C21))</f>
        <v>66</v>
      </c>
      <c r="D23" s="307"/>
      <c r="E23" s="667" t="s">
        <v>289</v>
      </c>
      <c r="F23" s="212">
        <v>8.3000000000000007</v>
      </c>
      <c r="G23" s="1001" t="str">
        <f>pH!D12</f>
        <v>alcalino</v>
      </c>
      <c r="H23" s="1001"/>
      <c r="I23" s="310"/>
      <c r="J23" s="1010" t="s">
        <v>291</v>
      </c>
      <c r="K23" s="1004"/>
      <c r="L23" s="52">
        <f>((L21/1.724)/(L19/10))</f>
        <v>7.7339520494972938</v>
      </c>
      <c r="M23" s="1001" t="str">
        <f>CN!D7</f>
        <v>basso</v>
      </c>
      <c r="N23" s="1001"/>
      <c r="O23" s="307"/>
      <c r="P23" s="1040" t="s">
        <v>1389</v>
      </c>
      <c r="Q23" s="1014"/>
      <c r="R23" s="499"/>
      <c r="S23" s="1001" t="str">
        <f>Gri_K!Y22</f>
        <v>non valorizzato</v>
      </c>
      <c r="T23" s="1001"/>
      <c r="U23" s="310"/>
      <c r="V23" s="1037" t="s">
        <v>1423</v>
      </c>
      <c r="W23" s="1037"/>
      <c r="X23" s="657"/>
    </row>
    <row r="24" spans="1:24" x14ac:dyDescent="0.25">
      <c r="A24" s="298"/>
      <c r="B24" s="501"/>
      <c r="C24" s="307"/>
      <c r="D24" s="307"/>
      <c r="E24" s="307"/>
      <c r="F24" s="307"/>
      <c r="G24" s="307"/>
      <c r="H24" s="307"/>
      <c r="I24" s="307"/>
      <c r="J24" s="307"/>
      <c r="K24" s="307"/>
      <c r="L24" s="307"/>
      <c r="M24" s="307"/>
      <c r="N24" s="307"/>
      <c r="O24" s="307"/>
      <c r="P24" s="1041" t="s">
        <v>1387</v>
      </c>
      <c r="Q24" s="1041"/>
      <c r="R24" s="499">
        <v>2.8</v>
      </c>
      <c r="S24" s="613" t="str">
        <f>IF(S23="non valorizzato"," ",IF(OR(AND(Gri_K!Q7=2,R23&gt;3.5),(AND(Gri_K!Q7=1,R23&lt;30))),"controlla valore e unità"," "))</f>
        <v xml:space="preserve"> </v>
      </c>
      <c r="T24" s="307"/>
      <c r="U24" s="310"/>
      <c r="V24" s="1037"/>
      <c r="W24" s="1037"/>
      <c r="X24" s="659">
        <f>Gri_K!G33</f>
        <v>149.99939999999998</v>
      </c>
    </row>
    <row r="25" spans="1:24" ht="13.2" customHeight="1" x14ac:dyDescent="0.25">
      <c r="A25" s="298"/>
      <c r="B25" s="647" t="s">
        <v>512</v>
      </c>
      <c r="C25" s="307"/>
      <c r="D25" s="307"/>
      <c r="E25" s="1003" t="s">
        <v>1447</v>
      </c>
      <c r="F25" s="1004"/>
      <c r="G25" s="212">
        <v>15</v>
      </c>
      <c r="H25" s="1025" t="str">
        <f>Calcare!D12</f>
        <v>Mediamente calcareo</v>
      </c>
      <c r="I25" s="1025"/>
      <c r="J25" s="307"/>
      <c r="K25" s="307"/>
      <c r="L25" s="307"/>
      <c r="M25" s="307"/>
      <c r="N25" s="307"/>
      <c r="O25" s="307"/>
      <c r="P25" s="307"/>
      <c r="Q25" s="307"/>
      <c r="R25" s="307"/>
      <c r="S25" s="307"/>
      <c r="T25" s="307"/>
      <c r="U25" s="310"/>
      <c r="V25" s="1037"/>
      <c r="W25" s="1037"/>
      <c r="X25" s="657"/>
    </row>
    <row r="26" spans="1:24" ht="13.2" customHeight="1" x14ac:dyDescent="0.25">
      <c r="A26" s="298"/>
      <c r="B26" s="648" t="s">
        <v>1206</v>
      </c>
      <c r="C26" s="304"/>
      <c r="D26" s="212"/>
      <c r="E26" s="307"/>
      <c r="F26" s="307"/>
      <c r="G26" s="307"/>
      <c r="H26" s="307"/>
      <c r="I26" s="307"/>
      <c r="J26" s="1014" t="s">
        <v>1451</v>
      </c>
      <c r="K26" s="1012"/>
      <c r="L26" s="499">
        <v>15</v>
      </c>
      <c r="M26" s="1001" t="str">
        <f>Gri_P!F10</f>
        <v>bassa</v>
      </c>
      <c r="N26" s="1001"/>
      <c r="O26" s="307"/>
      <c r="P26" s="1014" t="s">
        <v>1452</v>
      </c>
      <c r="Q26" s="1012"/>
      <c r="R26" s="499"/>
      <c r="S26" s="1001" t="str">
        <f>Gri_K!Y10</f>
        <v>non valorizzato</v>
      </c>
      <c r="T26" s="1001"/>
      <c r="U26" s="307"/>
      <c r="V26" s="1037"/>
      <c r="W26" s="1037"/>
      <c r="X26" s="308"/>
    </row>
    <row r="27" spans="1:24" ht="13.95" customHeight="1" x14ac:dyDescent="0.25">
      <c r="A27" s="298"/>
      <c r="B27" s="649"/>
      <c r="C27" s="305"/>
      <c r="D27" s="305"/>
      <c r="E27" s="1007" t="s">
        <v>1448</v>
      </c>
      <c r="F27" s="1008"/>
      <c r="G27" s="211">
        <v>6.8</v>
      </c>
      <c r="H27" s="650" t="str">
        <f>Calcare!D26</f>
        <v>Elevato</v>
      </c>
      <c r="I27" s="485"/>
      <c r="J27" s="1013" t="s">
        <v>1388</v>
      </c>
      <c r="K27" s="1013"/>
      <c r="L27" s="305"/>
      <c r="M27" s="305"/>
      <c r="N27" s="305"/>
      <c r="O27" s="305"/>
      <c r="P27" s="305"/>
      <c r="Q27" s="706" t="s">
        <v>1493</v>
      </c>
      <c r="R27" s="706"/>
      <c r="S27" s="706"/>
      <c r="T27" s="706"/>
      <c r="U27" s="706"/>
      <c r="V27" s="707"/>
      <c r="W27" s="707"/>
      <c r="X27" s="708"/>
    </row>
    <row r="28" spans="1:24" ht="10.199999999999999" customHeight="1" x14ac:dyDescent="0.25">
      <c r="A28" s="486"/>
      <c r="B28" s="298"/>
      <c r="C28" s="298"/>
      <c r="D28" s="298"/>
      <c r="E28" s="298"/>
      <c r="F28" s="486"/>
      <c r="G28" s="486"/>
      <c r="H28" s="486"/>
      <c r="I28" s="486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</row>
    <row r="29" spans="1:24" x14ac:dyDescent="0.25">
      <c r="A29" s="298"/>
      <c r="B29" s="506" t="s">
        <v>1318</v>
      </c>
      <c r="C29" s="507"/>
      <c r="D29" s="507"/>
      <c r="E29" s="507"/>
      <c r="F29" s="507"/>
      <c r="G29" s="507"/>
      <c r="H29" s="507"/>
      <c r="I29" s="507"/>
      <c r="J29" s="507"/>
      <c r="K29" s="507"/>
      <c r="L29" s="507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11"/>
    </row>
    <row r="30" spans="1:24" x14ac:dyDescent="0.25">
      <c r="A30" s="298"/>
      <c r="B30" s="492"/>
      <c r="C30" s="358" t="s">
        <v>437</v>
      </c>
      <c r="D30" s="358"/>
      <c r="E30" s="298"/>
      <c r="F30" s="298"/>
      <c r="G30" s="307"/>
      <c r="H30" s="1012" t="s">
        <v>1322</v>
      </c>
      <c r="I30" s="1012"/>
      <c r="J30" s="1012"/>
      <c r="K30" s="1012"/>
      <c r="L30" s="1012"/>
      <c r="M30" s="1012"/>
      <c r="N30" s="1012"/>
      <c r="O30" s="1012"/>
      <c r="P30" s="1012"/>
      <c r="Q30" s="1012"/>
      <c r="R30" s="307"/>
      <c r="S30" s="988" t="s">
        <v>1305</v>
      </c>
      <c r="T30" s="988"/>
      <c r="U30" s="307"/>
      <c r="V30" s="483" t="s">
        <v>1304</v>
      </c>
      <c r="W30" s="307"/>
      <c r="X30" s="308"/>
    </row>
    <row r="31" spans="1:24" ht="11.7" customHeight="1" x14ac:dyDescent="0.25">
      <c r="A31" s="298"/>
      <c r="B31" s="303"/>
      <c r="C31" s="304"/>
      <c r="D31" s="304"/>
      <c r="E31" s="304"/>
      <c r="F31" s="304"/>
      <c r="G31" s="307"/>
      <c r="H31" s="1011" t="s">
        <v>498</v>
      </c>
      <c r="I31" s="1011"/>
      <c r="J31" s="1011"/>
      <c r="K31" s="1011"/>
      <c r="M31" s="1011" t="s">
        <v>499</v>
      </c>
      <c r="N31" s="1011"/>
      <c r="O31" s="1011"/>
      <c r="Q31" s="101" t="s">
        <v>1317</v>
      </c>
      <c r="R31" s="307"/>
      <c r="S31" s="1005" t="s">
        <v>1320</v>
      </c>
      <c r="T31" s="1005"/>
      <c r="U31" s="307"/>
      <c r="V31" s="489" t="s">
        <v>1320</v>
      </c>
      <c r="W31" s="307"/>
      <c r="X31" s="308"/>
    </row>
    <row r="32" spans="1:24" ht="16.95" customHeight="1" x14ac:dyDescent="0.25">
      <c r="A32" s="298"/>
      <c r="B32" s="408"/>
      <c r="C32" s="390"/>
      <c r="D32" s="390"/>
      <c r="E32" s="390"/>
      <c r="F32" s="390"/>
      <c r="G32" s="305"/>
      <c r="H32" s="493"/>
      <c r="I32" s="493"/>
      <c r="J32" s="493"/>
      <c r="K32" s="547"/>
      <c r="L32" s="305"/>
      <c r="M32" s="305"/>
      <c r="N32" s="493"/>
      <c r="O32" s="493"/>
      <c r="P32" s="305"/>
      <c r="Q32" s="211">
        <v>0</v>
      </c>
      <c r="R32" s="305"/>
      <c r="S32" s="1006"/>
      <c r="T32" s="1006"/>
      <c r="U32" s="305"/>
      <c r="V32" s="493"/>
      <c r="W32" s="305"/>
      <c r="X32" s="306"/>
    </row>
    <row r="33" spans="1:24" ht="10.199999999999999" customHeight="1" x14ac:dyDescent="0.25">
      <c r="A33" s="298"/>
      <c r="B33" s="228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8"/>
    </row>
    <row r="34" spans="1:24" ht="13.2" customHeight="1" x14ac:dyDescent="0.25">
      <c r="A34" s="298"/>
      <c r="B34" s="512" t="s">
        <v>1319</v>
      </c>
      <c r="C34" s="507"/>
      <c r="D34" s="507"/>
      <c r="E34" s="511"/>
      <c r="F34" s="228"/>
      <c r="G34" s="228"/>
      <c r="H34" s="506" t="s">
        <v>1235</v>
      </c>
      <c r="I34" s="509"/>
      <c r="J34" s="507"/>
      <c r="K34" s="507"/>
      <c r="L34" s="507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11"/>
    </row>
    <row r="35" spans="1:24" x14ac:dyDescent="0.25">
      <c r="A35" s="298"/>
      <c r="B35" s="987" t="s">
        <v>1321</v>
      </c>
      <c r="C35" s="988"/>
      <c r="D35" s="988"/>
      <c r="E35" s="989"/>
      <c r="F35" s="228"/>
      <c r="G35" s="228"/>
      <c r="H35" s="990"/>
      <c r="I35" s="991"/>
      <c r="J35" s="991"/>
      <c r="K35" s="991"/>
      <c r="L35" s="991"/>
      <c r="M35" s="991"/>
      <c r="N35" s="991"/>
      <c r="O35" s="991"/>
      <c r="P35" s="991"/>
      <c r="Q35" s="991"/>
      <c r="R35" s="991"/>
      <c r="S35" s="991"/>
      <c r="T35" s="991"/>
      <c r="U35" s="991"/>
      <c r="V35" s="991"/>
      <c r="W35" s="991"/>
      <c r="X35" s="992"/>
    </row>
    <row r="36" spans="1:24" x14ac:dyDescent="0.25">
      <c r="A36" s="298"/>
      <c r="B36" s="1009" t="s">
        <v>8</v>
      </c>
      <c r="C36" s="1005"/>
      <c r="D36" s="490"/>
      <c r="E36" s="494" t="s">
        <v>1298</v>
      </c>
      <c r="F36" s="228"/>
      <c r="G36" s="228"/>
      <c r="H36" s="993"/>
      <c r="I36" s="994"/>
      <c r="J36" s="994"/>
      <c r="K36" s="994"/>
      <c r="L36" s="994"/>
      <c r="M36" s="994"/>
      <c r="N36" s="994"/>
      <c r="O36" s="994"/>
      <c r="P36" s="994"/>
      <c r="Q36" s="994"/>
      <c r="R36" s="994"/>
      <c r="S36" s="994"/>
      <c r="T36" s="994"/>
      <c r="U36" s="994"/>
      <c r="V36" s="994"/>
      <c r="W36" s="994"/>
      <c r="X36" s="995"/>
    </row>
    <row r="37" spans="1:24" x14ac:dyDescent="0.25">
      <c r="A37" s="298"/>
      <c r="B37" s="999">
        <v>150</v>
      </c>
      <c r="C37" s="1000"/>
      <c r="D37" s="485"/>
      <c r="E37" s="515">
        <v>0</v>
      </c>
      <c r="F37" s="228"/>
      <c r="G37" s="228"/>
      <c r="H37" s="996"/>
      <c r="I37" s="997"/>
      <c r="J37" s="997"/>
      <c r="K37" s="997"/>
      <c r="L37" s="997"/>
      <c r="M37" s="997"/>
      <c r="N37" s="997"/>
      <c r="O37" s="997"/>
      <c r="P37" s="997"/>
      <c r="Q37" s="997"/>
      <c r="R37" s="997"/>
      <c r="S37" s="997"/>
      <c r="T37" s="997"/>
      <c r="U37" s="997"/>
      <c r="V37" s="997"/>
      <c r="W37" s="997"/>
      <c r="X37" s="998"/>
    </row>
    <row r="38" spans="1:24" x14ac:dyDescent="0.25">
      <c r="A38" s="298"/>
      <c r="B38" s="298"/>
      <c r="C38" s="298"/>
      <c r="D38" s="298"/>
      <c r="E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</row>
    <row r="39" spans="1:24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</row>
    <row r="43" spans="1:24" x14ac:dyDescent="0.25">
      <c r="X43" s="228"/>
    </row>
  </sheetData>
  <sheetProtection algorithmName="SHA-512" hashValue="592NIUl7V4azLs9kYdB6093FVONVRLcFzd33OijRO0W+EPxxqdMNfcUagVPpPXAKTFJiimpjkUd9/D3Cbbi3XQ==" saltValue="Je+A5zNxK+GIBv27xDmaMQ==" spinCount="100000" sheet="1" objects="1" scenarios="1"/>
  <mergeCells count="55">
    <mergeCell ref="P19:Q19"/>
    <mergeCell ref="P23:Q23"/>
    <mergeCell ref="P24:Q24"/>
    <mergeCell ref="P26:Q26"/>
    <mergeCell ref="M26:N26"/>
    <mergeCell ref="P20:Q20"/>
    <mergeCell ref="P21:Q21"/>
    <mergeCell ref="B12:D12"/>
    <mergeCell ref="E25:F25"/>
    <mergeCell ref="B5:F5"/>
    <mergeCell ref="M21:N21"/>
    <mergeCell ref="N8:R8"/>
    <mergeCell ref="F8:L8"/>
    <mergeCell ref="N12:R12"/>
    <mergeCell ref="G23:H23"/>
    <mergeCell ref="H25:I25"/>
    <mergeCell ref="R18:X18"/>
    <mergeCell ref="V23:W26"/>
    <mergeCell ref="S26:T26"/>
    <mergeCell ref="S19:T19"/>
    <mergeCell ref="S23:T23"/>
    <mergeCell ref="T8:V8"/>
    <mergeCell ref="B8:C8"/>
    <mergeCell ref="B4:F4"/>
    <mergeCell ref="M19:N19"/>
    <mergeCell ref="S30:T30"/>
    <mergeCell ref="K12:L15"/>
    <mergeCell ref="R13:R15"/>
    <mergeCell ref="H5:L5"/>
    <mergeCell ref="T13:W13"/>
    <mergeCell ref="W4:X5"/>
    <mergeCell ref="F19:H19"/>
    <mergeCell ref="J19:K19"/>
    <mergeCell ref="Q4:R4"/>
    <mergeCell ref="Q5:R5"/>
    <mergeCell ref="N5:O5"/>
    <mergeCell ref="H4:L4"/>
    <mergeCell ref="N4:O4"/>
    <mergeCell ref="B13:C13"/>
    <mergeCell ref="B35:E35"/>
    <mergeCell ref="H35:X37"/>
    <mergeCell ref="B37:C37"/>
    <mergeCell ref="M23:N23"/>
    <mergeCell ref="F21:H21"/>
    <mergeCell ref="J21:K21"/>
    <mergeCell ref="S31:T31"/>
    <mergeCell ref="S32:T32"/>
    <mergeCell ref="E27:F27"/>
    <mergeCell ref="B36:C36"/>
    <mergeCell ref="J23:K23"/>
    <mergeCell ref="M31:O31"/>
    <mergeCell ref="H31:K31"/>
    <mergeCell ref="H30:Q30"/>
    <mergeCell ref="J27:K27"/>
    <mergeCell ref="J26:K26"/>
  </mergeCells>
  <phoneticPr fontId="2" type="noConversion"/>
  <conditionalFormatting sqref="J26">
    <cfRule type="expression" dxfId="55" priority="23" stopIfTrue="1">
      <formula>#REF!="da inserire"</formula>
    </cfRule>
  </conditionalFormatting>
  <conditionalFormatting sqref="P19">
    <cfRule type="expression" dxfId="54" priority="5" stopIfTrue="1">
      <formula>#REF!="da inserire"</formula>
    </cfRule>
  </conditionalFormatting>
  <conditionalFormatting sqref="P23">
    <cfRule type="expression" dxfId="53" priority="4" stopIfTrue="1">
      <formula>#REF!="da inserire"</formula>
    </cfRule>
  </conditionalFormatting>
  <conditionalFormatting sqref="P26">
    <cfRule type="expression" dxfId="52" priority="3" stopIfTrue="1">
      <formula>#REF!="da inserire"</formula>
    </cfRule>
  </conditionalFormatting>
  <conditionalFormatting sqref="V19">
    <cfRule type="expression" dxfId="51" priority="2" stopIfTrue="1">
      <formula>#REF!="da inserire"</formula>
    </cfRule>
  </conditionalFormatting>
  <conditionalFormatting sqref="V21">
    <cfRule type="expression" dxfId="50" priority="1" stopIfTrue="1">
      <formula>#REF!="da inserire"</formula>
    </cfRule>
  </conditionalFormatting>
  <pageMargins left="0.74803149606299213" right="0.74803149606299213" top="0.98425196850393704" bottom="0.98425196850393704" header="0.51181102362204722" footer="0.51181102362204722"/>
  <pageSetup paperSize="8" orientation="landscape" r:id="rId1"/>
  <headerFooter scaleWithDoc="0">
    <oddHeader>&amp;L&amp;D</oddHeader>
    <oddFooter>&amp;LProgramma di calcolo predisposto
da Giuseppe Carnevali&amp;C&amp;F&amp;R&amp;A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eck Box 15">
              <controlPr defaultSize="0" autoFill="0" autoLine="0" autoPict="0">
                <anchor moveWithCells="1">
                  <from>
                    <xdr:col>21</xdr:col>
                    <xdr:colOff>373380</xdr:colOff>
                    <xdr:row>31</xdr:row>
                    <xdr:rowOff>22860</xdr:rowOff>
                  </from>
                  <to>
                    <xdr:col>21</xdr:col>
                    <xdr:colOff>784860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Check Box 28">
              <controlPr defaultSize="0" autoFill="0" autoLine="0" autoPict="0" altText="Controllo 28">
                <anchor moveWithCells="1">
                  <from>
                    <xdr:col>19</xdr:col>
                    <xdr:colOff>251460</xdr:colOff>
                    <xdr:row>31</xdr:row>
                    <xdr:rowOff>0</xdr:rowOff>
                  </from>
                  <to>
                    <xdr:col>19</xdr:col>
                    <xdr:colOff>708660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Drop Down 10">
              <controlPr locked="0" defaultSize="0" autoLine="0" autoPict="0">
                <anchor moveWithCells="1">
                  <from>
                    <xdr:col>13</xdr:col>
                    <xdr:colOff>68580</xdr:colOff>
                    <xdr:row>31</xdr:row>
                    <xdr:rowOff>60960</xdr:rowOff>
                  </from>
                  <to>
                    <xdr:col>15</xdr:col>
                    <xdr:colOff>60960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locked="0" defaultSize="0" autoLine="0" autoPict="0">
                <anchor moveWithCells="1">
                  <from>
                    <xdr:col>7</xdr:col>
                    <xdr:colOff>251460</xdr:colOff>
                    <xdr:row>31</xdr:row>
                    <xdr:rowOff>30480</xdr:rowOff>
                  </from>
                  <to>
                    <xdr:col>10</xdr:col>
                    <xdr:colOff>251460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locked="0" defaultSize="0" autoLine="0" autoPict="0">
                <anchor moveWithCells="1">
                  <from>
                    <xdr:col>1</xdr:col>
                    <xdr:colOff>38100</xdr:colOff>
                    <xdr:row>30</xdr:row>
                    <xdr:rowOff>137160</xdr:rowOff>
                  </from>
                  <to>
                    <xdr:col>5</xdr:col>
                    <xdr:colOff>76200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Drop Down 44">
              <controlPr locked="0" defaultSize="0" autoLine="0" autoPict="0">
                <anchor moveWithCells="1">
                  <from>
                    <xdr:col>17</xdr:col>
                    <xdr:colOff>22860</xdr:colOff>
                    <xdr:row>20</xdr:row>
                    <xdr:rowOff>30480</xdr:rowOff>
                  </from>
                  <to>
                    <xdr:col>17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Drop Down 42">
              <controlPr locked="0" defaultSize="0" autoLine="0" autoPict="0">
                <anchor moveWithCells="1">
                  <from>
                    <xdr:col>11</xdr:col>
                    <xdr:colOff>22860</xdr:colOff>
                    <xdr:row>26</xdr:row>
                    <xdr:rowOff>22860</xdr:rowOff>
                  </from>
                  <to>
                    <xdr:col>12</xdr:col>
                    <xdr:colOff>0</xdr:colOff>
                    <xdr:row>26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Drop Down 5">
              <controlPr locked="0" defaultSize="0" autoLine="0" autoPict="0">
                <anchor moveWithCells="1">
                  <from>
                    <xdr:col>1</xdr:col>
                    <xdr:colOff>784860</xdr:colOff>
                    <xdr:row>25</xdr:row>
                    <xdr:rowOff>22860</xdr:rowOff>
                  </from>
                  <to>
                    <xdr:col>3</xdr:col>
                    <xdr:colOff>99060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Drop Down 34">
              <controlPr locked="0" defaultSize="0" autoLine="0" autoPict="0">
                <anchor moveWithCells="1">
                  <from>
                    <xdr:col>19</xdr:col>
                    <xdr:colOff>22860</xdr:colOff>
                    <xdr:row>13</xdr:row>
                    <xdr:rowOff>38100</xdr:rowOff>
                  </from>
                  <to>
                    <xdr:col>22</xdr:col>
                    <xdr:colOff>106680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3" name="Group Box 54">
              <controlPr defaultSize="0" autoFill="0" autoPict="0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365760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4" name="Option Button 56">
              <controlPr locked="0" defaultSize="0" autoFill="0" autoLine="0" autoPict="0">
                <anchor moveWithCells="1">
                  <from>
                    <xdr:col>14</xdr:col>
                    <xdr:colOff>99060</xdr:colOff>
                    <xdr:row>13</xdr:row>
                    <xdr:rowOff>99060</xdr:rowOff>
                  </from>
                  <to>
                    <xdr:col>16</xdr:col>
                    <xdr:colOff>327660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Option Button 55">
              <controlPr locked="0" defaultSize="0" autoFill="0" autoLine="0" autoPict="0">
                <anchor moveWithCells="1">
                  <from>
                    <xdr:col>14</xdr:col>
                    <xdr:colOff>68580</xdr:colOff>
                    <xdr:row>12</xdr:row>
                    <xdr:rowOff>38100</xdr:rowOff>
                  </from>
                  <to>
                    <xdr:col>16</xdr:col>
                    <xdr:colOff>327660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3</xdr:col>
                    <xdr:colOff>22860</xdr:colOff>
                    <xdr:row>11</xdr:row>
                    <xdr:rowOff>137160</xdr:rowOff>
                  </from>
                  <to>
                    <xdr:col>3</xdr:col>
                    <xdr:colOff>251460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Drop Down 38">
              <controlPr locked="0" defaultSize="0" autoLine="0" autoPict="0">
                <anchor moveWithCells="1">
                  <from>
                    <xdr:col>13</xdr:col>
                    <xdr:colOff>289560</xdr:colOff>
                    <xdr:row>8</xdr:row>
                    <xdr:rowOff>106680</xdr:rowOff>
                  </from>
                  <to>
                    <xdr:col>17</xdr:col>
                    <xdr:colOff>266700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Drop Down 2">
              <controlPr defaultSize="0" autoLine="0" autoPict="0">
                <anchor moveWithCells="1">
                  <from>
                    <xdr:col>4</xdr:col>
                    <xdr:colOff>304800</xdr:colOff>
                    <xdr:row>8</xdr:row>
                    <xdr:rowOff>99060</xdr:rowOff>
                  </from>
                  <to>
                    <xdr:col>12</xdr:col>
                    <xdr:colOff>99060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9" name="Drop Down 1">
              <controlPr defaultSize="0" autoLine="0" autoPict="0">
                <anchor moveWithCells="1">
                  <from>
                    <xdr:col>1</xdr:col>
                    <xdr:colOff>137160</xdr:colOff>
                    <xdr:row>8</xdr:row>
                    <xdr:rowOff>76200</xdr:rowOff>
                  </from>
                  <to>
                    <xdr:col>2</xdr:col>
                    <xdr:colOff>327660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Drop Down 36">
              <controlPr defaultSize="0" autoLine="0" autoPict="0">
                <anchor moveWithCells="1">
                  <from>
                    <xdr:col>21</xdr:col>
                    <xdr:colOff>99060</xdr:colOff>
                    <xdr:row>4</xdr:row>
                    <xdr:rowOff>22860</xdr:rowOff>
                  </from>
                  <to>
                    <xdr:col>21</xdr:col>
                    <xdr:colOff>822960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21" name="Check Box 16">
              <controlPr defaultSize="0" autoFill="0" autoLine="0" autoPict="0">
                <anchor moveWithCells="1">
                  <from>
                    <xdr:col>9</xdr:col>
                    <xdr:colOff>175260</xdr:colOff>
                    <xdr:row>3</xdr:row>
                    <xdr:rowOff>152400</xdr:rowOff>
                  </from>
                  <to>
                    <xdr:col>9</xdr:col>
                    <xdr:colOff>495300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2" name="Drop Down 57">
              <controlPr defaultSize="0" autoLine="0" autoPict="0">
                <anchor moveWithCells="1">
                  <from>
                    <xdr:col>17</xdr:col>
                    <xdr:colOff>22860</xdr:colOff>
                    <xdr:row>19</xdr:row>
                    <xdr:rowOff>30480</xdr:rowOff>
                  </from>
                  <to>
                    <xdr:col>17</xdr:col>
                    <xdr:colOff>441960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3" name="Drop Down 58">
              <controlPr defaultSize="0" autoLine="0" autoPict="0">
                <anchor moveWithCells="1">
                  <from>
                    <xdr:col>17</xdr:col>
                    <xdr:colOff>22860</xdr:colOff>
                    <xdr:row>23</xdr:row>
                    <xdr:rowOff>22860</xdr:rowOff>
                  </from>
                  <to>
                    <xdr:col>17</xdr:col>
                    <xdr:colOff>441960</xdr:colOff>
                    <xdr:row>23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3"/>
  <dimension ref="A1:M241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RowHeight="13.2" x14ac:dyDescent="0.25"/>
  <cols>
    <col min="2" max="2" width="10.6640625" style="3" customWidth="1"/>
    <col min="3" max="3" width="12.44140625" customWidth="1"/>
    <col min="4" max="4" width="33" customWidth="1"/>
    <col min="5" max="5" width="10.33203125" style="3" customWidth="1"/>
    <col min="6" max="6" width="6.5546875" style="3" bestFit="1" customWidth="1"/>
    <col min="7" max="7" width="11.33203125" style="3" customWidth="1"/>
    <col min="8" max="8" width="4.6640625" customWidth="1"/>
    <col min="9" max="9" width="10.6640625" customWidth="1"/>
    <col min="10" max="10" width="12.33203125" customWidth="1"/>
    <col min="11" max="11" width="24.44140625" customWidth="1"/>
  </cols>
  <sheetData>
    <row r="1" spans="1:13" ht="33" customHeight="1" x14ac:dyDescent="0.25">
      <c r="A1" t="s">
        <v>23</v>
      </c>
      <c r="B1" s="296" t="s">
        <v>1000</v>
      </c>
      <c r="C1" s="7" t="s">
        <v>24</v>
      </c>
      <c r="D1" s="7" t="s">
        <v>25</v>
      </c>
      <c r="E1" s="688" t="s">
        <v>515</v>
      </c>
      <c r="F1" s="3" t="s">
        <v>858</v>
      </c>
      <c r="G1" s="688" t="s">
        <v>1254</v>
      </c>
      <c r="H1" s="687" t="s">
        <v>1485</v>
      </c>
      <c r="I1" s="691" t="s">
        <v>1312</v>
      </c>
      <c r="J1" s="131" t="s">
        <v>1599</v>
      </c>
      <c r="K1" s="131" t="s">
        <v>1600</v>
      </c>
    </row>
    <row r="2" spans="1:13" x14ac:dyDescent="0.25">
      <c r="A2" s="8">
        <v>1</v>
      </c>
      <c r="B2" s="8">
        <v>1</v>
      </c>
      <c r="C2" s="11" t="s">
        <v>26</v>
      </c>
      <c r="D2" s="9" t="s">
        <v>1771</v>
      </c>
      <c r="E2" s="3">
        <v>0</v>
      </c>
      <c r="F2" s="3" t="s">
        <v>1029</v>
      </c>
      <c r="G2" s="3" t="s">
        <v>1253</v>
      </c>
      <c r="H2" s="687">
        <v>340</v>
      </c>
      <c r="I2" t="b">
        <v>0</v>
      </c>
      <c r="J2" s="17" t="s">
        <v>1661</v>
      </c>
      <c r="K2" s="17" t="s">
        <v>1662</v>
      </c>
      <c r="L2" t="s">
        <v>246</v>
      </c>
    </row>
    <row r="3" spans="1:13" x14ac:dyDescent="0.25">
      <c r="A3" s="8">
        <v>2</v>
      </c>
      <c r="B3" s="8">
        <v>2</v>
      </c>
      <c r="C3" s="11" t="s">
        <v>1772</v>
      </c>
      <c r="D3" s="9" t="s">
        <v>1773</v>
      </c>
      <c r="E3" s="3">
        <v>0</v>
      </c>
      <c r="F3" s="3" t="s">
        <v>1029</v>
      </c>
      <c r="G3" s="3" t="s">
        <v>1253</v>
      </c>
      <c r="H3" s="687">
        <v>340</v>
      </c>
      <c r="I3" t="b">
        <v>0</v>
      </c>
      <c r="J3" s="17" t="s">
        <v>1661</v>
      </c>
      <c r="K3" s="17" t="s">
        <v>1662</v>
      </c>
    </row>
    <row r="4" spans="1:13" ht="13.8" thickBot="1" x14ac:dyDescent="0.3">
      <c r="A4" s="479">
        <f>(A3+1)</f>
        <v>3</v>
      </c>
      <c r="B4" s="479">
        <f>(B3+1)</f>
        <v>3</v>
      </c>
      <c r="C4" s="11" t="s">
        <v>27</v>
      </c>
      <c r="D4" s="321" t="s">
        <v>1669</v>
      </c>
      <c r="E4" s="3">
        <v>0</v>
      </c>
      <c r="F4" s="3" t="s">
        <v>1029</v>
      </c>
      <c r="G4" s="3" t="s">
        <v>1253</v>
      </c>
      <c r="H4" s="687">
        <v>340</v>
      </c>
      <c r="I4" t="b">
        <v>0</v>
      </c>
      <c r="J4" s="17" t="s">
        <v>1663</v>
      </c>
      <c r="K4" s="17" t="s">
        <v>1664</v>
      </c>
      <c r="L4" t="s">
        <v>241</v>
      </c>
      <c r="M4" t="s">
        <v>252</v>
      </c>
    </row>
    <row r="5" spans="1:13" x14ac:dyDescent="0.25">
      <c r="A5" s="479">
        <f t="shared" ref="A5:A71" si="0">(A4+1)</f>
        <v>4</v>
      </c>
      <c r="B5" s="479">
        <f t="shared" ref="B5:B34" si="1">(B4+1)</f>
        <v>4</v>
      </c>
      <c r="C5" s="710" t="s">
        <v>1670</v>
      </c>
      <c r="D5" s="476" t="s">
        <v>1668</v>
      </c>
      <c r="E5" s="3">
        <v>0</v>
      </c>
      <c r="F5" s="3" t="s">
        <v>1029</v>
      </c>
      <c r="G5" s="3" t="s">
        <v>1253</v>
      </c>
      <c r="H5" s="687">
        <v>340</v>
      </c>
      <c r="I5" t="b">
        <v>0</v>
      </c>
      <c r="J5" s="17" t="s">
        <v>1663</v>
      </c>
      <c r="K5" s="17" t="s">
        <v>1664</v>
      </c>
      <c r="L5" s="223" t="s">
        <v>24</v>
      </c>
    </row>
    <row r="6" spans="1:13" ht="13.8" thickBot="1" x14ac:dyDescent="0.3">
      <c r="A6" s="479">
        <f t="shared" si="0"/>
        <v>5</v>
      </c>
      <c r="B6" s="479">
        <f t="shared" si="1"/>
        <v>5</v>
      </c>
      <c r="C6" s="11" t="s">
        <v>28</v>
      </c>
      <c r="D6" t="s">
        <v>29</v>
      </c>
      <c r="E6" s="3">
        <v>0</v>
      </c>
      <c r="F6" s="3" t="s">
        <v>1029</v>
      </c>
      <c r="G6" s="3" t="s">
        <v>1253</v>
      </c>
      <c r="H6" s="687">
        <v>340</v>
      </c>
      <c r="I6" t="b">
        <v>0</v>
      </c>
      <c r="J6" s="17" t="s">
        <v>1663</v>
      </c>
      <c r="K6" s="17" t="s">
        <v>1664</v>
      </c>
      <c r="L6" s="224" t="s">
        <v>247</v>
      </c>
      <c r="M6" s="5">
        <f>DCOUNTA($A$1:$D$234,3,L5:L6)</f>
        <v>33</v>
      </c>
    </row>
    <row r="7" spans="1:13" x14ac:dyDescent="0.25">
      <c r="A7" s="479">
        <f t="shared" si="0"/>
        <v>6</v>
      </c>
      <c r="B7" s="479">
        <f t="shared" si="1"/>
        <v>6</v>
      </c>
      <c r="C7" s="11" t="s">
        <v>30</v>
      </c>
      <c r="D7" t="s">
        <v>31</v>
      </c>
      <c r="E7" s="3">
        <v>0</v>
      </c>
      <c r="F7" s="3" t="s">
        <v>1029</v>
      </c>
      <c r="G7" s="3" t="s">
        <v>1253</v>
      </c>
      <c r="H7" s="687">
        <v>340</v>
      </c>
      <c r="I7" t="b">
        <v>0</v>
      </c>
      <c r="J7" s="17" t="s">
        <v>1665</v>
      </c>
      <c r="K7" s="17" t="s">
        <v>1666</v>
      </c>
      <c r="L7" s="223" t="s">
        <v>24</v>
      </c>
    </row>
    <row r="8" spans="1:13" ht="13.8" thickBot="1" x14ac:dyDescent="0.3">
      <c r="A8" s="479">
        <f t="shared" si="0"/>
        <v>7</v>
      </c>
      <c r="B8" s="479">
        <f t="shared" si="1"/>
        <v>7</v>
      </c>
      <c r="C8" s="11" t="s">
        <v>32</v>
      </c>
      <c r="D8" s="9" t="s">
        <v>1250</v>
      </c>
      <c r="E8" s="3">
        <v>0</v>
      </c>
      <c r="F8" s="3" t="s">
        <v>1029</v>
      </c>
      <c r="G8" s="3" t="s">
        <v>1253</v>
      </c>
      <c r="H8" s="687">
        <v>340</v>
      </c>
      <c r="I8" t="b">
        <v>0</v>
      </c>
      <c r="J8" s="17" t="s">
        <v>1667</v>
      </c>
      <c r="K8" s="17" t="s">
        <v>1647</v>
      </c>
      <c r="L8" s="225" t="s">
        <v>248</v>
      </c>
      <c r="M8" s="5">
        <f>DCOUNTA($A$1:$D$234,3,L7:L8)</f>
        <v>57</v>
      </c>
    </row>
    <row r="9" spans="1:13" x14ac:dyDescent="0.25">
      <c r="A9" s="479">
        <f t="shared" si="0"/>
        <v>8</v>
      </c>
      <c r="B9" s="479">
        <f t="shared" si="1"/>
        <v>8</v>
      </c>
      <c r="C9" s="11" t="s">
        <v>33</v>
      </c>
      <c r="D9" s="9" t="s">
        <v>34</v>
      </c>
      <c r="E9" s="3">
        <v>0</v>
      </c>
      <c r="F9" s="3" t="s">
        <v>1029</v>
      </c>
      <c r="G9" s="3" t="s">
        <v>1253</v>
      </c>
      <c r="H9" s="687">
        <v>340</v>
      </c>
      <c r="I9" t="b">
        <v>0</v>
      </c>
      <c r="J9" s="17" t="s">
        <v>1663</v>
      </c>
      <c r="K9" s="17" t="s">
        <v>1698</v>
      </c>
      <c r="L9" s="223" t="s">
        <v>24</v>
      </c>
    </row>
    <row r="10" spans="1:13" ht="13.8" thickBot="1" x14ac:dyDescent="0.3">
      <c r="A10" s="479">
        <f t="shared" si="0"/>
        <v>9</v>
      </c>
      <c r="B10" s="479">
        <f t="shared" si="1"/>
        <v>9</v>
      </c>
      <c r="C10" s="11" t="s">
        <v>35</v>
      </c>
      <c r="D10" t="s">
        <v>36</v>
      </c>
      <c r="E10" s="3">
        <v>0</v>
      </c>
      <c r="F10" s="3" t="s">
        <v>1029</v>
      </c>
      <c r="G10" s="3" t="s">
        <v>1253</v>
      </c>
      <c r="H10" s="687">
        <v>340</v>
      </c>
      <c r="I10" t="b">
        <v>0</v>
      </c>
      <c r="L10" s="226" t="s">
        <v>249</v>
      </c>
      <c r="M10" s="5">
        <f>DCOUNTA($A$1:$D$1234,3,L9:L10)</f>
        <v>30</v>
      </c>
    </row>
    <row r="11" spans="1:13" x14ac:dyDescent="0.25">
      <c r="A11" s="479">
        <f t="shared" si="0"/>
        <v>10</v>
      </c>
      <c r="B11" s="479">
        <f t="shared" si="1"/>
        <v>10</v>
      </c>
      <c r="C11" s="11" t="s">
        <v>1799</v>
      </c>
      <c r="D11" s="321" t="s">
        <v>1798</v>
      </c>
      <c r="E11" s="3">
        <v>0</v>
      </c>
      <c r="F11" s="53" t="s">
        <v>1029</v>
      </c>
      <c r="G11" s="53" t="s">
        <v>1253</v>
      </c>
      <c r="H11" s="687">
        <v>340</v>
      </c>
      <c r="I11" t="b">
        <v>0</v>
      </c>
      <c r="L11" s="223" t="s">
        <v>24</v>
      </c>
    </row>
    <row r="12" spans="1:13" ht="13.8" thickBot="1" x14ac:dyDescent="0.3">
      <c r="A12" s="479">
        <f t="shared" si="0"/>
        <v>11</v>
      </c>
      <c r="B12" s="479">
        <f t="shared" si="1"/>
        <v>11</v>
      </c>
      <c r="C12" s="11" t="s">
        <v>37</v>
      </c>
      <c r="D12" t="s">
        <v>38</v>
      </c>
      <c r="E12" s="3">
        <v>0</v>
      </c>
      <c r="F12" s="3" t="s">
        <v>1029</v>
      </c>
      <c r="G12" s="3" t="s">
        <v>1253</v>
      </c>
      <c r="H12" s="687">
        <v>340</v>
      </c>
      <c r="I12" t="b">
        <v>0</v>
      </c>
      <c r="L12" s="226" t="s">
        <v>250</v>
      </c>
      <c r="M12" s="5">
        <f>DCOUNTA($A$1:$D$1234,3,L11:L12)</f>
        <v>76</v>
      </c>
    </row>
    <row r="13" spans="1:13" x14ac:dyDescent="0.25">
      <c r="A13" s="479">
        <f t="shared" si="0"/>
        <v>12</v>
      </c>
      <c r="B13" s="479">
        <f t="shared" si="1"/>
        <v>12</v>
      </c>
      <c r="C13" s="11" t="s">
        <v>1800</v>
      </c>
      <c r="D13" s="9" t="s">
        <v>40</v>
      </c>
      <c r="E13" s="3">
        <v>0</v>
      </c>
      <c r="F13" s="3" t="s">
        <v>1029</v>
      </c>
      <c r="G13" s="3" t="s">
        <v>1253</v>
      </c>
      <c r="H13" s="687">
        <v>340</v>
      </c>
      <c r="I13" t="b">
        <v>0</v>
      </c>
      <c r="J13" s="17" t="s">
        <v>1699</v>
      </c>
      <c r="K13" s="17" t="s">
        <v>1700</v>
      </c>
      <c r="L13" s="223" t="s">
        <v>24</v>
      </c>
    </row>
    <row r="14" spans="1:13" ht="13.8" thickBot="1" x14ac:dyDescent="0.3">
      <c r="A14" s="479">
        <f t="shared" si="0"/>
        <v>13</v>
      </c>
      <c r="B14" s="479">
        <f t="shared" si="1"/>
        <v>13</v>
      </c>
      <c r="C14" s="11" t="s">
        <v>39</v>
      </c>
      <c r="D14" t="s">
        <v>42</v>
      </c>
      <c r="E14" s="3">
        <v>0</v>
      </c>
      <c r="F14" s="3" t="s">
        <v>1029</v>
      </c>
      <c r="G14" s="3" t="s">
        <v>1253</v>
      </c>
      <c r="H14" s="687">
        <v>340</v>
      </c>
      <c r="I14" t="b">
        <v>0</v>
      </c>
      <c r="L14" s="226" t="s">
        <v>251</v>
      </c>
      <c r="M14" s="5">
        <f>DCOUNTA($A$1:$D$1234,3,L13:L14)</f>
        <v>23</v>
      </c>
    </row>
    <row r="15" spans="1:13" x14ac:dyDescent="0.25">
      <c r="A15" s="479">
        <f t="shared" si="0"/>
        <v>14</v>
      </c>
      <c r="B15" s="479">
        <f t="shared" si="1"/>
        <v>14</v>
      </c>
      <c r="C15" s="11" t="s">
        <v>1801</v>
      </c>
      <c r="D15" s="9" t="s">
        <v>1865</v>
      </c>
      <c r="E15" s="3">
        <v>0</v>
      </c>
      <c r="F15" s="53" t="s">
        <v>1029</v>
      </c>
      <c r="G15" s="53" t="s">
        <v>1253</v>
      </c>
      <c r="H15" s="687">
        <v>340</v>
      </c>
      <c r="I15" t="b">
        <v>0</v>
      </c>
      <c r="L15" s="223" t="s">
        <v>24</v>
      </c>
    </row>
    <row r="16" spans="1:13" ht="13.8" thickBot="1" x14ac:dyDescent="0.3">
      <c r="A16" s="479">
        <f t="shared" si="0"/>
        <v>15</v>
      </c>
      <c r="B16" s="479">
        <f t="shared" si="1"/>
        <v>15</v>
      </c>
      <c r="C16" s="11" t="s">
        <v>41</v>
      </c>
      <c r="D16" t="s">
        <v>44</v>
      </c>
      <c r="E16" s="3">
        <v>0</v>
      </c>
      <c r="F16" s="3" t="s">
        <v>1029</v>
      </c>
      <c r="G16" s="3" t="s">
        <v>1253</v>
      </c>
      <c r="H16" s="687">
        <v>340</v>
      </c>
      <c r="I16" t="b">
        <v>0</v>
      </c>
      <c r="L16" s="226" t="s">
        <v>1100</v>
      </c>
      <c r="M16" s="5">
        <f>DCOUNTA($A$1:$D$1234,3,L15:L16)</f>
        <v>15</v>
      </c>
    </row>
    <row r="17" spans="1:13" x14ac:dyDescent="0.25">
      <c r="A17" s="479">
        <f t="shared" si="0"/>
        <v>16</v>
      </c>
      <c r="B17" s="479">
        <f t="shared" si="1"/>
        <v>16</v>
      </c>
      <c r="C17" s="11" t="s">
        <v>1802</v>
      </c>
      <c r="D17" t="s">
        <v>46</v>
      </c>
      <c r="E17" s="3">
        <v>0</v>
      </c>
      <c r="F17" s="3" t="s">
        <v>1029</v>
      </c>
      <c r="G17" s="3" t="s">
        <v>1253</v>
      </c>
      <c r="H17" s="687">
        <v>340</v>
      </c>
      <c r="I17" t="b">
        <v>0</v>
      </c>
    </row>
    <row r="18" spans="1:13" x14ac:dyDescent="0.25">
      <c r="A18" s="479">
        <f t="shared" si="0"/>
        <v>17</v>
      </c>
      <c r="B18" s="479">
        <f t="shared" si="1"/>
        <v>17</v>
      </c>
      <c r="C18" s="11" t="s">
        <v>43</v>
      </c>
      <c r="D18" s="9" t="s">
        <v>48</v>
      </c>
      <c r="E18" s="3">
        <v>0</v>
      </c>
      <c r="F18" s="3" t="s">
        <v>1029</v>
      </c>
      <c r="G18" s="3" t="s">
        <v>1253</v>
      </c>
      <c r="H18" s="687">
        <v>340</v>
      </c>
      <c r="I18" t="b">
        <v>0</v>
      </c>
      <c r="J18" s="17" t="s">
        <v>1701</v>
      </c>
      <c r="K18" s="17" t="s">
        <v>1702</v>
      </c>
      <c r="L18" s="520" t="s">
        <v>1332</v>
      </c>
      <c r="M18" s="76"/>
    </row>
    <row r="19" spans="1:13" x14ac:dyDescent="0.25">
      <c r="A19" s="479">
        <f t="shared" si="0"/>
        <v>18</v>
      </c>
      <c r="B19" s="479">
        <f t="shared" si="1"/>
        <v>18</v>
      </c>
      <c r="C19" s="11" t="s">
        <v>1803</v>
      </c>
      <c r="D19" s="321" t="s">
        <v>1842</v>
      </c>
      <c r="E19" s="3">
        <v>0</v>
      </c>
      <c r="F19" s="53" t="s">
        <v>1029</v>
      </c>
      <c r="G19" s="3" t="s">
        <v>1253</v>
      </c>
      <c r="H19" s="687">
        <v>340</v>
      </c>
      <c r="I19" t="b">
        <v>0</v>
      </c>
      <c r="J19" s="17"/>
      <c r="K19" s="17"/>
      <c r="L19" s="79">
        <v>1</v>
      </c>
      <c r="M19" s="550" t="s">
        <v>1255</v>
      </c>
    </row>
    <row r="20" spans="1:13" x14ac:dyDescent="0.25">
      <c r="A20" s="479">
        <f t="shared" si="0"/>
        <v>19</v>
      </c>
      <c r="B20" s="479">
        <f t="shared" si="1"/>
        <v>19</v>
      </c>
      <c r="C20" s="11" t="s">
        <v>45</v>
      </c>
      <c r="D20" t="s">
        <v>50</v>
      </c>
      <c r="E20" s="3">
        <v>0</v>
      </c>
      <c r="F20" s="3" t="s">
        <v>1029</v>
      </c>
      <c r="G20" s="3" t="s">
        <v>1253</v>
      </c>
      <c r="H20" s="687">
        <v>340</v>
      </c>
      <c r="I20" t="b">
        <v>0</v>
      </c>
      <c r="L20" s="244">
        <v>2</v>
      </c>
      <c r="M20" s="551" t="s">
        <v>1253</v>
      </c>
    </row>
    <row r="21" spans="1:13" x14ac:dyDescent="0.25">
      <c r="A21" s="479">
        <f t="shared" si="0"/>
        <v>20</v>
      </c>
      <c r="B21" s="479">
        <f t="shared" si="1"/>
        <v>20</v>
      </c>
      <c r="C21" s="11" t="s">
        <v>1804</v>
      </c>
      <c r="D21" t="s">
        <v>52</v>
      </c>
      <c r="E21" s="3">
        <v>0</v>
      </c>
      <c r="F21" s="3" t="s">
        <v>1029</v>
      </c>
      <c r="G21" s="3" t="s">
        <v>1253</v>
      </c>
      <c r="H21" s="687">
        <v>340</v>
      </c>
      <c r="I21" t="b">
        <v>0</v>
      </c>
    </row>
    <row r="22" spans="1:13" x14ac:dyDescent="0.25">
      <c r="A22" s="479">
        <f t="shared" si="0"/>
        <v>21</v>
      </c>
      <c r="B22" s="479">
        <f t="shared" si="1"/>
        <v>21</v>
      </c>
      <c r="C22" s="11" t="s">
        <v>47</v>
      </c>
      <c r="D22" t="s">
        <v>54</v>
      </c>
      <c r="E22" s="3">
        <v>0</v>
      </c>
      <c r="F22" s="3" t="s">
        <v>1029</v>
      </c>
      <c r="G22" s="3" t="s">
        <v>1253</v>
      </c>
      <c r="H22" s="687">
        <v>340</v>
      </c>
      <c r="I22" t="b">
        <v>0</v>
      </c>
      <c r="L22" s="521">
        <f>Codici!I2</f>
        <v>2</v>
      </c>
      <c r="M22" s="479" t="str">
        <f>VLOOKUP(L22,L19:M20,2)</f>
        <v>pieno campo</v>
      </c>
    </row>
    <row r="23" spans="1:13" x14ac:dyDescent="0.25">
      <c r="A23" s="479">
        <f t="shared" si="0"/>
        <v>22</v>
      </c>
      <c r="B23" s="479">
        <f t="shared" si="1"/>
        <v>22</v>
      </c>
      <c r="C23" s="11" t="s">
        <v>1805</v>
      </c>
      <c r="D23" t="s">
        <v>56</v>
      </c>
      <c r="E23" s="3">
        <v>0</v>
      </c>
      <c r="F23" s="3" t="s">
        <v>1029</v>
      </c>
      <c r="G23" s="3" t="s">
        <v>1253</v>
      </c>
      <c r="H23" s="687">
        <v>340</v>
      </c>
      <c r="I23" t="b">
        <v>0</v>
      </c>
      <c r="J23" s="17" t="s">
        <v>1703</v>
      </c>
      <c r="K23" s="17" t="s">
        <v>1704</v>
      </c>
    </row>
    <row r="24" spans="1:13" x14ac:dyDescent="0.25">
      <c r="A24" s="479">
        <f t="shared" si="0"/>
        <v>23</v>
      </c>
      <c r="B24" s="479">
        <f t="shared" si="1"/>
        <v>23</v>
      </c>
      <c r="C24" s="11" t="s">
        <v>49</v>
      </c>
      <c r="D24" s="9" t="s">
        <v>58</v>
      </c>
      <c r="E24" s="3">
        <v>0</v>
      </c>
      <c r="F24" s="3" t="s">
        <v>1029</v>
      </c>
      <c r="G24" s="3" t="s">
        <v>1253</v>
      </c>
      <c r="H24" s="687">
        <v>340</v>
      </c>
      <c r="I24" t="b">
        <v>0</v>
      </c>
      <c r="J24" s="17" t="s">
        <v>1705</v>
      </c>
      <c r="K24" s="17" t="s">
        <v>1706</v>
      </c>
    </row>
    <row r="25" spans="1:13" x14ac:dyDescent="0.25">
      <c r="A25" s="479">
        <f t="shared" si="0"/>
        <v>24</v>
      </c>
      <c r="B25" s="479">
        <f t="shared" si="1"/>
        <v>24</v>
      </c>
      <c r="C25" s="11" t="s">
        <v>1806</v>
      </c>
      <c r="D25" s="9" t="s">
        <v>59</v>
      </c>
      <c r="E25" s="3">
        <v>0</v>
      </c>
      <c r="F25" s="3" t="s">
        <v>1029</v>
      </c>
      <c r="G25" s="3" t="s">
        <v>1253</v>
      </c>
      <c r="H25" s="687">
        <v>340</v>
      </c>
      <c r="I25" t="b">
        <v>0</v>
      </c>
      <c r="J25" s="17" t="s">
        <v>1709</v>
      </c>
      <c r="K25" s="17" t="s">
        <v>1710</v>
      </c>
    </row>
    <row r="26" spans="1:13" x14ac:dyDescent="0.25">
      <c r="A26" s="479">
        <f t="shared" si="0"/>
        <v>25</v>
      </c>
      <c r="B26" s="479">
        <f t="shared" si="1"/>
        <v>25</v>
      </c>
      <c r="C26" s="11" t="s">
        <v>51</v>
      </c>
      <c r="D26" s="321" t="s">
        <v>1569</v>
      </c>
      <c r="E26" s="3">
        <v>0</v>
      </c>
      <c r="F26" s="3" t="s">
        <v>1029</v>
      </c>
      <c r="G26" s="3" t="s">
        <v>1253</v>
      </c>
      <c r="H26" s="687">
        <v>340</v>
      </c>
      <c r="I26" t="b">
        <v>0</v>
      </c>
      <c r="J26" s="17" t="s">
        <v>1707</v>
      </c>
      <c r="K26" s="17" t="s">
        <v>1708</v>
      </c>
    </row>
    <row r="27" spans="1:13" x14ac:dyDescent="0.25">
      <c r="A27" s="479">
        <f t="shared" si="0"/>
        <v>26</v>
      </c>
      <c r="B27" s="479">
        <f t="shared" si="1"/>
        <v>26</v>
      </c>
      <c r="C27" s="11" t="s">
        <v>1807</v>
      </c>
      <c r="D27" s="476" t="s">
        <v>1570</v>
      </c>
      <c r="E27" s="3">
        <v>0</v>
      </c>
      <c r="F27" s="53" t="s">
        <v>1029</v>
      </c>
      <c r="G27" s="53" t="s">
        <v>1253</v>
      </c>
      <c r="H27" s="687">
        <v>340</v>
      </c>
      <c r="I27" t="b">
        <v>0</v>
      </c>
      <c r="J27" s="17" t="s">
        <v>1707</v>
      </c>
      <c r="K27" s="17" t="s">
        <v>1708</v>
      </c>
    </row>
    <row r="28" spans="1:13" x14ac:dyDescent="0.25">
      <c r="A28" s="479">
        <f t="shared" si="0"/>
        <v>27</v>
      </c>
      <c r="B28" s="479">
        <f t="shared" si="1"/>
        <v>27</v>
      </c>
      <c r="C28" s="11" t="s">
        <v>53</v>
      </c>
      <c r="D28" s="9" t="s">
        <v>60</v>
      </c>
      <c r="E28" s="3">
        <v>0</v>
      </c>
      <c r="F28" s="3" t="s">
        <v>1029</v>
      </c>
      <c r="G28" s="3" t="s">
        <v>1253</v>
      </c>
      <c r="H28" s="687">
        <v>340</v>
      </c>
      <c r="I28" t="b">
        <v>0</v>
      </c>
      <c r="J28" s="17" t="s">
        <v>1663</v>
      </c>
      <c r="K28" s="17" t="s">
        <v>1711</v>
      </c>
    </row>
    <row r="29" spans="1:13" x14ac:dyDescent="0.25">
      <c r="A29" s="479">
        <f t="shared" si="0"/>
        <v>28</v>
      </c>
      <c r="B29" s="479">
        <f t="shared" si="1"/>
        <v>28</v>
      </c>
      <c r="C29" s="11" t="s">
        <v>1808</v>
      </c>
      <c r="D29" t="s">
        <v>61</v>
      </c>
      <c r="E29" s="3">
        <v>0</v>
      </c>
      <c r="F29" s="3" t="s">
        <v>1029</v>
      </c>
      <c r="G29" s="3" t="s">
        <v>1253</v>
      </c>
      <c r="H29" s="687">
        <v>340</v>
      </c>
      <c r="I29" t="b">
        <v>0</v>
      </c>
    </row>
    <row r="30" spans="1:13" x14ac:dyDescent="0.25">
      <c r="A30" s="479">
        <f t="shared" si="0"/>
        <v>29</v>
      </c>
      <c r="B30" s="479">
        <f t="shared" si="1"/>
        <v>29</v>
      </c>
      <c r="C30" s="11" t="s">
        <v>55</v>
      </c>
      <c r="D30" t="s">
        <v>62</v>
      </c>
      <c r="E30" s="3">
        <v>0</v>
      </c>
      <c r="F30" s="3" t="s">
        <v>1029</v>
      </c>
      <c r="G30" s="3" t="s">
        <v>1253</v>
      </c>
      <c r="H30" s="687">
        <v>340</v>
      </c>
      <c r="I30" t="b">
        <v>0</v>
      </c>
    </row>
    <row r="31" spans="1:13" x14ac:dyDescent="0.25">
      <c r="A31" s="479">
        <f t="shared" si="0"/>
        <v>30</v>
      </c>
      <c r="B31" s="479">
        <f t="shared" si="1"/>
        <v>30</v>
      </c>
      <c r="C31" s="11" t="s">
        <v>1809</v>
      </c>
      <c r="D31" s="9" t="s">
        <v>63</v>
      </c>
      <c r="E31" s="3">
        <v>0</v>
      </c>
      <c r="F31" s="3" t="s">
        <v>1029</v>
      </c>
      <c r="G31" s="3" t="s">
        <v>1253</v>
      </c>
      <c r="H31" s="687">
        <v>340</v>
      </c>
      <c r="I31" t="b">
        <v>0</v>
      </c>
      <c r="J31" t="s">
        <v>1663</v>
      </c>
      <c r="K31" t="s">
        <v>1702</v>
      </c>
    </row>
    <row r="32" spans="1:13" x14ac:dyDescent="0.25">
      <c r="A32" s="479">
        <f t="shared" si="0"/>
        <v>31</v>
      </c>
      <c r="B32" s="479">
        <f t="shared" si="1"/>
        <v>31</v>
      </c>
      <c r="C32" s="11" t="s">
        <v>57</v>
      </c>
      <c r="D32" t="s">
        <v>64</v>
      </c>
      <c r="E32" s="3">
        <v>0</v>
      </c>
      <c r="F32" s="3" t="s">
        <v>1029</v>
      </c>
      <c r="G32" s="3" t="s">
        <v>1253</v>
      </c>
      <c r="H32" s="687">
        <v>340</v>
      </c>
      <c r="I32" t="b">
        <v>0</v>
      </c>
    </row>
    <row r="33" spans="1:11" x14ac:dyDescent="0.25">
      <c r="A33" s="479">
        <f t="shared" si="0"/>
        <v>32</v>
      </c>
      <c r="B33" s="479">
        <f t="shared" si="1"/>
        <v>32</v>
      </c>
      <c r="C33" s="11" t="s">
        <v>1841</v>
      </c>
      <c r="D33" t="s">
        <v>65</v>
      </c>
      <c r="E33" s="3">
        <v>0</v>
      </c>
      <c r="F33" s="3" t="s">
        <v>1029</v>
      </c>
      <c r="G33" s="3" t="s">
        <v>1253</v>
      </c>
      <c r="H33" s="687">
        <v>340</v>
      </c>
      <c r="I33" t="b">
        <v>0</v>
      </c>
      <c r="J33" t="s">
        <v>1712</v>
      </c>
      <c r="K33" t="s">
        <v>1713</v>
      </c>
    </row>
    <row r="34" spans="1:11" x14ac:dyDescent="0.25">
      <c r="A34" s="479">
        <f t="shared" si="0"/>
        <v>33</v>
      </c>
      <c r="B34" s="479">
        <f t="shared" si="1"/>
        <v>33</v>
      </c>
      <c r="C34" s="11" t="s">
        <v>1864</v>
      </c>
      <c r="D34" s="9" t="s">
        <v>66</v>
      </c>
      <c r="E34" s="3">
        <v>0</v>
      </c>
      <c r="F34" s="3" t="s">
        <v>1029</v>
      </c>
      <c r="G34" s="3" t="s">
        <v>1253</v>
      </c>
      <c r="H34" s="687">
        <v>340</v>
      </c>
      <c r="I34" t="b">
        <v>0</v>
      </c>
      <c r="J34" t="s">
        <v>1712</v>
      </c>
      <c r="K34" t="s">
        <v>1713</v>
      </c>
    </row>
    <row r="35" spans="1:11" x14ac:dyDescent="0.25">
      <c r="A35" s="479">
        <f>(A34+1)</f>
        <v>34</v>
      </c>
      <c r="B35" s="8">
        <v>1</v>
      </c>
      <c r="C35" s="11" t="s">
        <v>67</v>
      </c>
      <c r="D35" s="17" t="s">
        <v>1586</v>
      </c>
      <c r="E35" s="3">
        <v>0</v>
      </c>
      <c r="F35" s="3" t="s">
        <v>604</v>
      </c>
      <c r="G35" s="3" t="s">
        <v>1253</v>
      </c>
      <c r="H35" s="687">
        <v>340</v>
      </c>
      <c r="I35" t="b">
        <v>1</v>
      </c>
    </row>
    <row r="36" spans="1:11" x14ac:dyDescent="0.25">
      <c r="A36" s="479">
        <f t="shared" si="0"/>
        <v>35</v>
      </c>
      <c r="B36" s="8">
        <v>2</v>
      </c>
      <c r="C36" s="11" t="s">
        <v>68</v>
      </c>
      <c r="D36" t="s">
        <v>69</v>
      </c>
      <c r="E36" s="3">
        <v>0</v>
      </c>
      <c r="F36" s="3" t="s">
        <v>604</v>
      </c>
      <c r="G36" s="3" t="s">
        <v>1253</v>
      </c>
      <c r="H36" s="687">
        <v>340</v>
      </c>
      <c r="I36" t="b">
        <v>1</v>
      </c>
      <c r="J36" t="s">
        <v>69</v>
      </c>
      <c r="K36" t="s">
        <v>1647</v>
      </c>
    </row>
    <row r="37" spans="1:11" x14ac:dyDescent="0.25">
      <c r="A37" s="479">
        <f t="shared" si="0"/>
        <v>36</v>
      </c>
      <c r="B37" s="8">
        <v>3</v>
      </c>
      <c r="C37" s="11" t="s">
        <v>70</v>
      </c>
      <c r="D37" t="s">
        <v>71</v>
      </c>
      <c r="E37" s="3">
        <v>0</v>
      </c>
      <c r="F37" s="3" t="s">
        <v>604</v>
      </c>
      <c r="G37" s="3" t="s">
        <v>1253</v>
      </c>
      <c r="H37" s="687">
        <v>340</v>
      </c>
      <c r="I37" t="b">
        <v>1</v>
      </c>
      <c r="J37" t="s">
        <v>69</v>
      </c>
      <c r="K37" t="s">
        <v>1647</v>
      </c>
    </row>
    <row r="38" spans="1:11" x14ac:dyDescent="0.25">
      <c r="A38" s="479">
        <f t="shared" si="0"/>
        <v>37</v>
      </c>
      <c r="B38" s="8">
        <v>4</v>
      </c>
      <c r="C38" s="11" t="s">
        <v>72</v>
      </c>
      <c r="D38" s="9" t="s">
        <v>73</v>
      </c>
      <c r="E38" s="3">
        <v>0</v>
      </c>
      <c r="F38" s="3" t="s">
        <v>604</v>
      </c>
      <c r="G38" s="3" t="s">
        <v>1253</v>
      </c>
      <c r="H38" s="687">
        <v>340</v>
      </c>
      <c r="I38" t="b">
        <v>0</v>
      </c>
      <c r="J38" s="17" t="s">
        <v>1714</v>
      </c>
      <c r="K38" s="17" t="s">
        <v>1715</v>
      </c>
    </row>
    <row r="39" spans="1:11" x14ac:dyDescent="0.25">
      <c r="A39" s="479">
        <f t="shared" si="0"/>
        <v>38</v>
      </c>
      <c r="B39" s="8">
        <v>5</v>
      </c>
      <c r="C39" s="11" t="s">
        <v>74</v>
      </c>
      <c r="D39" s="9" t="s">
        <v>75</v>
      </c>
      <c r="E39" s="3">
        <v>0</v>
      </c>
      <c r="F39" s="3" t="s">
        <v>604</v>
      </c>
      <c r="G39" s="3" t="s">
        <v>1253</v>
      </c>
      <c r="H39" s="687">
        <v>340</v>
      </c>
      <c r="I39" t="b">
        <v>0</v>
      </c>
      <c r="J39" s="17" t="s">
        <v>1714</v>
      </c>
      <c r="K39" s="17" t="s">
        <v>1715</v>
      </c>
    </row>
    <row r="40" spans="1:11" x14ac:dyDescent="0.25">
      <c r="A40" s="479">
        <f t="shared" si="0"/>
        <v>39</v>
      </c>
      <c r="B40" s="8">
        <v>6</v>
      </c>
      <c r="C40" s="11" t="s">
        <v>76</v>
      </c>
      <c r="D40" t="s">
        <v>77</v>
      </c>
      <c r="E40" s="3">
        <v>0</v>
      </c>
      <c r="F40" s="3" t="s">
        <v>604</v>
      </c>
      <c r="G40" s="3" t="s">
        <v>1253</v>
      </c>
      <c r="H40" s="687">
        <v>340</v>
      </c>
      <c r="I40" t="b">
        <v>0</v>
      </c>
    </row>
    <row r="41" spans="1:11" x14ac:dyDescent="0.25">
      <c r="A41" s="479">
        <f t="shared" si="0"/>
        <v>40</v>
      </c>
      <c r="B41" s="8">
        <v>7</v>
      </c>
      <c r="C41" s="11" t="s">
        <v>78</v>
      </c>
      <c r="D41" s="9" t="s">
        <v>79</v>
      </c>
      <c r="E41" s="3">
        <v>0</v>
      </c>
      <c r="F41" s="3" t="s">
        <v>604</v>
      </c>
      <c r="G41" s="3" t="s">
        <v>1253</v>
      </c>
      <c r="H41" s="687">
        <v>340</v>
      </c>
      <c r="I41" t="b">
        <v>0</v>
      </c>
    </row>
    <row r="42" spans="1:11" x14ac:dyDescent="0.25">
      <c r="A42" s="479">
        <f t="shared" si="0"/>
        <v>41</v>
      </c>
      <c r="B42" s="8">
        <v>8</v>
      </c>
      <c r="C42" s="11" t="s">
        <v>80</v>
      </c>
      <c r="D42" s="9" t="s">
        <v>81</v>
      </c>
      <c r="E42" s="3">
        <v>50</v>
      </c>
      <c r="F42" s="3" t="s">
        <v>604</v>
      </c>
      <c r="G42" s="3" t="s">
        <v>1253</v>
      </c>
      <c r="H42" s="687">
        <v>70</v>
      </c>
      <c r="I42" t="b">
        <v>0</v>
      </c>
      <c r="J42" s="17" t="s">
        <v>1741</v>
      </c>
      <c r="K42" s="17" t="s">
        <v>1742</v>
      </c>
    </row>
    <row r="43" spans="1:11" x14ac:dyDescent="0.25">
      <c r="A43" s="479">
        <f t="shared" si="0"/>
        <v>42</v>
      </c>
      <c r="B43" s="8">
        <v>9</v>
      </c>
      <c r="C43" s="11" t="s">
        <v>82</v>
      </c>
      <c r="D43" s="9" t="s">
        <v>83</v>
      </c>
      <c r="E43" s="3">
        <v>0</v>
      </c>
      <c r="F43" s="3" t="s">
        <v>604</v>
      </c>
      <c r="G43" s="3" t="s">
        <v>1253</v>
      </c>
      <c r="H43" s="687">
        <v>340</v>
      </c>
      <c r="I43" t="b">
        <v>0</v>
      </c>
      <c r="J43" s="17" t="s">
        <v>1593</v>
      </c>
      <c r="K43" s="17" t="s">
        <v>1716</v>
      </c>
    </row>
    <row r="44" spans="1:11" x14ac:dyDescent="0.25">
      <c r="A44" s="479">
        <f t="shared" si="0"/>
        <v>43</v>
      </c>
      <c r="B44" s="8">
        <v>10</v>
      </c>
      <c r="C44" s="11" t="s">
        <v>84</v>
      </c>
      <c r="D44" t="s">
        <v>85</v>
      </c>
      <c r="E44" s="3">
        <v>0</v>
      </c>
      <c r="F44" s="3" t="s">
        <v>604</v>
      </c>
      <c r="G44" s="3" t="s">
        <v>1253</v>
      </c>
      <c r="H44" s="687">
        <v>340</v>
      </c>
      <c r="I44" t="b">
        <v>0</v>
      </c>
      <c r="J44" s="17" t="s">
        <v>1593</v>
      </c>
      <c r="K44" s="17" t="s">
        <v>1716</v>
      </c>
    </row>
    <row r="45" spans="1:11" x14ac:dyDescent="0.25">
      <c r="A45" s="479">
        <f t="shared" si="0"/>
        <v>44</v>
      </c>
      <c r="B45" s="8">
        <v>11</v>
      </c>
      <c r="C45" s="11" t="s">
        <v>86</v>
      </c>
      <c r="D45" s="9" t="s">
        <v>87</v>
      </c>
      <c r="E45" s="3">
        <v>0</v>
      </c>
      <c r="F45" s="3" t="s">
        <v>604</v>
      </c>
      <c r="G45" s="3" t="s">
        <v>1253</v>
      </c>
      <c r="H45" s="687">
        <v>340</v>
      </c>
      <c r="I45" t="b">
        <v>1</v>
      </c>
      <c r="J45" s="17" t="s">
        <v>1717</v>
      </c>
      <c r="K45" s="17" t="s">
        <v>1718</v>
      </c>
    </row>
    <row r="46" spans="1:11" x14ac:dyDescent="0.25">
      <c r="A46" s="479">
        <f t="shared" si="0"/>
        <v>45</v>
      </c>
      <c r="B46" s="8">
        <v>12</v>
      </c>
      <c r="C46" s="11" t="s">
        <v>88</v>
      </c>
      <c r="D46" s="9" t="s">
        <v>89</v>
      </c>
      <c r="E46" s="3">
        <v>0</v>
      </c>
      <c r="F46" s="3" t="s">
        <v>604</v>
      </c>
      <c r="G46" s="3" t="s">
        <v>1253</v>
      </c>
      <c r="H46" s="687">
        <v>340</v>
      </c>
      <c r="I46" t="b">
        <v>1</v>
      </c>
      <c r="J46" s="17" t="s">
        <v>1717</v>
      </c>
      <c r="K46" s="17" t="s">
        <v>1718</v>
      </c>
    </row>
    <row r="47" spans="1:11" x14ac:dyDescent="0.25">
      <c r="A47" s="479">
        <f t="shared" si="0"/>
        <v>46</v>
      </c>
      <c r="B47" s="8">
        <v>13</v>
      </c>
      <c r="C47" s="11" t="s">
        <v>90</v>
      </c>
      <c r="D47" s="17" t="s">
        <v>1592</v>
      </c>
      <c r="E47" s="3">
        <v>85</v>
      </c>
      <c r="F47" s="3" t="s">
        <v>604</v>
      </c>
      <c r="G47" s="3" t="s">
        <v>1253</v>
      </c>
      <c r="H47" s="687">
        <v>40</v>
      </c>
      <c r="I47" t="b">
        <v>0</v>
      </c>
      <c r="J47" s="17" t="s">
        <v>1636</v>
      </c>
      <c r="K47" s="17" t="s">
        <v>1719</v>
      </c>
    </row>
    <row r="48" spans="1:11" x14ac:dyDescent="0.25">
      <c r="A48" s="479">
        <f t="shared" si="0"/>
        <v>47</v>
      </c>
      <c r="B48" s="8">
        <v>14</v>
      </c>
      <c r="C48" s="11" t="s">
        <v>91</v>
      </c>
      <c r="D48" s="9" t="s">
        <v>92</v>
      </c>
      <c r="E48" s="3">
        <v>0</v>
      </c>
      <c r="F48" s="3" t="s">
        <v>604</v>
      </c>
      <c r="G48" s="3" t="s">
        <v>1253</v>
      </c>
      <c r="H48" s="687">
        <v>340</v>
      </c>
      <c r="I48" t="b">
        <v>1</v>
      </c>
      <c r="J48" s="17" t="s">
        <v>1720</v>
      </c>
      <c r="K48" s="17" t="s">
        <v>1721</v>
      </c>
    </row>
    <row r="49" spans="1:11" x14ac:dyDescent="0.25">
      <c r="A49" s="479">
        <f t="shared" si="0"/>
        <v>48</v>
      </c>
      <c r="B49" s="8">
        <v>15</v>
      </c>
      <c r="C49" s="11" t="s">
        <v>93</v>
      </c>
      <c r="D49" s="9" t="s">
        <v>94</v>
      </c>
      <c r="E49" s="3">
        <v>0</v>
      </c>
      <c r="F49" s="3" t="s">
        <v>604</v>
      </c>
      <c r="G49" s="3" t="s">
        <v>1253</v>
      </c>
      <c r="H49" s="687">
        <v>340</v>
      </c>
      <c r="I49" t="b">
        <v>1</v>
      </c>
      <c r="J49" s="17" t="s">
        <v>1720</v>
      </c>
      <c r="K49" s="17" t="s">
        <v>1721</v>
      </c>
    </row>
    <row r="50" spans="1:11" x14ac:dyDescent="0.25">
      <c r="A50" s="479">
        <f t="shared" si="0"/>
        <v>49</v>
      </c>
      <c r="B50" s="8">
        <v>16</v>
      </c>
      <c r="C50" s="11" t="s">
        <v>95</v>
      </c>
      <c r="D50" s="475" t="s">
        <v>96</v>
      </c>
      <c r="E50" s="3">
        <v>0</v>
      </c>
      <c r="F50" s="3" t="s">
        <v>604</v>
      </c>
      <c r="G50" s="3" t="s">
        <v>1253</v>
      </c>
      <c r="H50" s="687">
        <v>340</v>
      </c>
      <c r="I50" t="b">
        <v>1</v>
      </c>
      <c r="J50" s="17" t="s">
        <v>1717</v>
      </c>
      <c r="K50" s="17" t="s">
        <v>1722</v>
      </c>
    </row>
    <row r="51" spans="1:11" x14ac:dyDescent="0.25">
      <c r="A51" s="479">
        <f t="shared" si="0"/>
        <v>50</v>
      </c>
      <c r="B51" s="8">
        <v>17</v>
      </c>
      <c r="C51" s="11" t="s">
        <v>97</v>
      </c>
      <c r="D51" s="475" t="s">
        <v>98</v>
      </c>
      <c r="E51" s="3">
        <v>0</v>
      </c>
      <c r="F51" s="3" t="s">
        <v>604</v>
      </c>
      <c r="G51" s="3" t="s">
        <v>1253</v>
      </c>
      <c r="H51" s="687">
        <v>340</v>
      </c>
      <c r="I51" t="b">
        <v>1</v>
      </c>
      <c r="J51" s="17" t="s">
        <v>1717</v>
      </c>
      <c r="K51" s="17" t="s">
        <v>1722</v>
      </c>
    </row>
    <row r="52" spans="1:11" x14ac:dyDescent="0.25">
      <c r="A52" s="479">
        <f t="shared" si="0"/>
        <v>51</v>
      </c>
      <c r="B52" s="8">
        <v>18</v>
      </c>
      <c r="C52" s="11" t="s">
        <v>99</v>
      </c>
      <c r="D52" s="475" t="s">
        <v>1299</v>
      </c>
      <c r="E52" s="3">
        <v>0</v>
      </c>
      <c r="F52" s="3" t="s">
        <v>604</v>
      </c>
      <c r="G52" s="3" t="s">
        <v>1253</v>
      </c>
      <c r="H52" s="687">
        <v>340</v>
      </c>
      <c r="I52" t="b">
        <v>1</v>
      </c>
      <c r="J52" s="17" t="s">
        <v>1717</v>
      </c>
      <c r="K52" s="17" t="s">
        <v>1723</v>
      </c>
    </row>
    <row r="53" spans="1:11" x14ac:dyDescent="0.25">
      <c r="A53" s="479">
        <f t="shared" si="0"/>
        <v>52</v>
      </c>
      <c r="B53" s="8">
        <v>19</v>
      </c>
      <c r="C53" s="11" t="s">
        <v>100</v>
      </c>
      <c r="D53" s="475" t="s">
        <v>1300</v>
      </c>
      <c r="E53" s="3">
        <v>0</v>
      </c>
      <c r="F53" s="3" t="s">
        <v>604</v>
      </c>
      <c r="G53" s="3" t="s">
        <v>1253</v>
      </c>
      <c r="H53" s="687">
        <v>340</v>
      </c>
      <c r="I53" t="b">
        <v>1</v>
      </c>
      <c r="J53" s="17" t="s">
        <v>1717</v>
      </c>
      <c r="K53" s="17" t="s">
        <v>1723</v>
      </c>
    </row>
    <row r="54" spans="1:11" x14ac:dyDescent="0.25">
      <c r="A54" s="479">
        <f t="shared" si="0"/>
        <v>53</v>
      </c>
      <c r="B54" s="8">
        <v>20</v>
      </c>
      <c r="C54" s="11" t="s">
        <v>101</v>
      </c>
      <c r="D54" t="s">
        <v>102</v>
      </c>
      <c r="E54" s="3">
        <v>0</v>
      </c>
      <c r="F54" s="3" t="s">
        <v>604</v>
      </c>
      <c r="G54" s="3" t="s">
        <v>1253</v>
      </c>
      <c r="H54" s="687">
        <v>340</v>
      </c>
      <c r="I54" t="b">
        <v>1</v>
      </c>
      <c r="J54" s="17" t="s">
        <v>1717</v>
      </c>
      <c r="K54" s="17" t="s">
        <v>1723</v>
      </c>
    </row>
    <row r="55" spans="1:11" x14ac:dyDescent="0.25">
      <c r="A55" s="479">
        <f t="shared" si="0"/>
        <v>54</v>
      </c>
      <c r="B55" s="8">
        <v>21</v>
      </c>
      <c r="C55" s="11" t="s">
        <v>103</v>
      </c>
      <c r="D55" t="s">
        <v>104</v>
      </c>
      <c r="E55" s="3">
        <v>0</v>
      </c>
      <c r="F55" s="3" t="s">
        <v>604</v>
      </c>
      <c r="G55" s="3" t="s">
        <v>1253</v>
      </c>
      <c r="H55" s="687">
        <v>340</v>
      </c>
      <c r="I55" t="b">
        <v>1</v>
      </c>
      <c r="J55" s="17" t="s">
        <v>1717</v>
      </c>
      <c r="K55" s="17" t="s">
        <v>1723</v>
      </c>
    </row>
    <row r="56" spans="1:11" x14ac:dyDescent="0.25">
      <c r="A56" s="479">
        <f t="shared" si="0"/>
        <v>55</v>
      </c>
      <c r="B56" s="8">
        <v>22</v>
      </c>
      <c r="C56" s="11" t="s">
        <v>105</v>
      </c>
      <c r="D56" s="475" t="s">
        <v>1301</v>
      </c>
      <c r="E56" s="3">
        <v>0</v>
      </c>
      <c r="F56" s="3" t="s">
        <v>604</v>
      </c>
      <c r="G56" s="3" t="s">
        <v>1253</v>
      </c>
      <c r="H56" s="687">
        <v>340</v>
      </c>
      <c r="I56" t="b">
        <v>1</v>
      </c>
      <c r="J56" s="17" t="s">
        <v>1717</v>
      </c>
      <c r="K56" s="17" t="s">
        <v>1723</v>
      </c>
    </row>
    <row r="57" spans="1:11" x14ac:dyDescent="0.25">
      <c r="A57" s="479">
        <f t="shared" si="0"/>
        <v>56</v>
      </c>
      <c r="B57" s="8">
        <v>23</v>
      </c>
      <c r="C57" s="11" t="s">
        <v>106</v>
      </c>
      <c r="D57" s="475" t="s">
        <v>1302</v>
      </c>
      <c r="E57" s="3">
        <v>0</v>
      </c>
      <c r="F57" s="3" t="s">
        <v>604</v>
      </c>
      <c r="G57" s="3" t="s">
        <v>1253</v>
      </c>
      <c r="H57" s="687">
        <v>340</v>
      </c>
      <c r="I57" t="b">
        <v>1</v>
      </c>
      <c r="J57" s="17" t="s">
        <v>1717</v>
      </c>
      <c r="K57" s="17" t="s">
        <v>1723</v>
      </c>
    </row>
    <row r="58" spans="1:11" x14ac:dyDescent="0.25">
      <c r="A58" s="479">
        <f t="shared" si="0"/>
        <v>57</v>
      </c>
      <c r="B58" s="8">
        <v>24</v>
      </c>
      <c r="C58" s="11" t="s">
        <v>107</v>
      </c>
      <c r="D58" t="s">
        <v>108</v>
      </c>
      <c r="E58" s="3">
        <v>85</v>
      </c>
      <c r="F58" s="3" t="s">
        <v>604</v>
      </c>
      <c r="G58" s="3" t="s">
        <v>1253</v>
      </c>
      <c r="H58" s="687">
        <v>30</v>
      </c>
      <c r="I58" t="b">
        <v>0</v>
      </c>
    </row>
    <row r="59" spans="1:11" x14ac:dyDescent="0.25">
      <c r="A59" s="479">
        <f t="shared" si="0"/>
        <v>58</v>
      </c>
      <c r="B59" s="8">
        <v>25</v>
      </c>
      <c r="C59" s="11" t="s">
        <v>109</v>
      </c>
      <c r="D59" t="s">
        <v>110</v>
      </c>
      <c r="E59" s="3">
        <v>0</v>
      </c>
      <c r="F59" s="3" t="s">
        <v>604</v>
      </c>
      <c r="G59" s="3" t="s">
        <v>1253</v>
      </c>
      <c r="H59" s="687">
        <v>340</v>
      </c>
      <c r="I59" t="b">
        <v>0</v>
      </c>
    </row>
    <row r="60" spans="1:11" x14ac:dyDescent="0.25">
      <c r="A60" s="479">
        <f t="shared" si="0"/>
        <v>59</v>
      </c>
      <c r="B60" s="8">
        <v>26</v>
      </c>
      <c r="C60" s="11" t="s">
        <v>111</v>
      </c>
      <c r="D60" t="s">
        <v>112</v>
      </c>
      <c r="E60" s="3">
        <v>0</v>
      </c>
      <c r="F60" s="3" t="s">
        <v>604</v>
      </c>
      <c r="G60" s="3" t="s">
        <v>1253</v>
      </c>
      <c r="H60" s="687">
        <v>340</v>
      </c>
      <c r="I60" t="b">
        <v>0</v>
      </c>
    </row>
    <row r="61" spans="1:11" x14ac:dyDescent="0.25">
      <c r="A61" s="479">
        <f t="shared" si="0"/>
        <v>60</v>
      </c>
      <c r="B61" s="8">
        <v>27</v>
      </c>
      <c r="C61" s="11" t="s">
        <v>113</v>
      </c>
      <c r="D61" t="s">
        <v>114</v>
      </c>
      <c r="E61" s="3">
        <v>85</v>
      </c>
      <c r="F61" s="3" t="s">
        <v>604</v>
      </c>
      <c r="G61" s="3" t="s">
        <v>1253</v>
      </c>
      <c r="H61" s="687">
        <v>340</v>
      </c>
      <c r="I61" t="b">
        <v>0</v>
      </c>
    </row>
    <row r="62" spans="1:11" x14ac:dyDescent="0.25">
      <c r="A62" s="479">
        <f t="shared" si="0"/>
        <v>61</v>
      </c>
      <c r="B62" s="8">
        <v>28</v>
      </c>
      <c r="C62" s="11" t="s">
        <v>115</v>
      </c>
      <c r="D62" s="9" t="s">
        <v>1085</v>
      </c>
      <c r="E62" s="3">
        <v>0</v>
      </c>
      <c r="F62" s="3" t="s">
        <v>604</v>
      </c>
      <c r="G62" s="3" t="s">
        <v>1253</v>
      </c>
      <c r="H62" s="687">
        <v>340</v>
      </c>
      <c r="I62" t="b">
        <v>1</v>
      </c>
      <c r="J62" s="17" t="s">
        <v>1724</v>
      </c>
      <c r="K62" s="17" t="s">
        <v>1725</v>
      </c>
    </row>
    <row r="63" spans="1:11" x14ac:dyDescent="0.25">
      <c r="A63" s="479">
        <f t="shared" si="0"/>
        <v>62</v>
      </c>
      <c r="B63" s="8">
        <v>29</v>
      </c>
      <c r="C63" s="11" t="s">
        <v>116</v>
      </c>
      <c r="D63" s="9" t="s">
        <v>1086</v>
      </c>
      <c r="E63" s="3">
        <v>0</v>
      </c>
      <c r="F63" s="3" t="s">
        <v>604</v>
      </c>
      <c r="G63" s="3" t="s">
        <v>1253</v>
      </c>
      <c r="H63" s="687">
        <v>340</v>
      </c>
      <c r="I63" t="b">
        <v>1</v>
      </c>
      <c r="J63" s="17" t="s">
        <v>1724</v>
      </c>
      <c r="K63" s="17" t="s">
        <v>1725</v>
      </c>
    </row>
    <row r="64" spans="1:11" x14ac:dyDescent="0.25">
      <c r="A64" s="479">
        <f t="shared" si="0"/>
        <v>63</v>
      </c>
      <c r="B64" s="8">
        <v>30</v>
      </c>
      <c r="C64" s="11" t="s">
        <v>117</v>
      </c>
      <c r="D64" s="9" t="s">
        <v>1087</v>
      </c>
      <c r="E64" s="3">
        <v>0</v>
      </c>
      <c r="F64" s="3" t="s">
        <v>604</v>
      </c>
      <c r="G64" s="3" t="s">
        <v>1253</v>
      </c>
      <c r="H64" s="687">
        <v>340</v>
      </c>
      <c r="I64" t="b">
        <v>1</v>
      </c>
      <c r="J64" s="17" t="s">
        <v>1724</v>
      </c>
      <c r="K64" s="17" t="s">
        <v>1725</v>
      </c>
    </row>
    <row r="65" spans="1:11" x14ac:dyDescent="0.25">
      <c r="A65" s="479">
        <f t="shared" si="0"/>
        <v>64</v>
      </c>
      <c r="B65" s="8">
        <v>31</v>
      </c>
      <c r="C65" s="11" t="s">
        <v>119</v>
      </c>
      <c r="D65" t="s">
        <v>1088</v>
      </c>
      <c r="E65" s="3">
        <v>0</v>
      </c>
      <c r="F65" s="3" t="s">
        <v>604</v>
      </c>
      <c r="G65" s="3" t="s">
        <v>1253</v>
      </c>
      <c r="H65" s="687">
        <v>340</v>
      </c>
      <c r="I65" t="b">
        <v>1</v>
      </c>
      <c r="J65" s="17" t="s">
        <v>1724</v>
      </c>
      <c r="K65" s="17" t="s">
        <v>1725</v>
      </c>
    </row>
    <row r="66" spans="1:11" x14ac:dyDescent="0.25">
      <c r="A66" s="479">
        <f t="shared" si="0"/>
        <v>65</v>
      </c>
      <c r="B66" s="8">
        <v>32</v>
      </c>
      <c r="C66" s="11" t="s">
        <v>121</v>
      </c>
      <c r="D66" s="9" t="s">
        <v>118</v>
      </c>
      <c r="E66" s="3">
        <v>0</v>
      </c>
      <c r="F66" s="3" t="s">
        <v>604</v>
      </c>
      <c r="G66" s="3" t="s">
        <v>1253</v>
      </c>
      <c r="H66" s="687">
        <v>340</v>
      </c>
      <c r="I66" t="b">
        <v>0</v>
      </c>
      <c r="J66" s="17" t="s">
        <v>1724</v>
      </c>
      <c r="K66" s="17" t="s">
        <v>1725</v>
      </c>
    </row>
    <row r="67" spans="1:11" x14ac:dyDescent="0.25">
      <c r="A67" s="479">
        <f t="shared" si="0"/>
        <v>66</v>
      </c>
      <c r="B67" s="8">
        <v>33</v>
      </c>
      <c r="C67" s="11" t="s">
        <v>122</v>
      </c>
      <c r="D67" s="9" t="s">
        <v>120</v>
      </c>
      <c r="E67" s="3">
        <v>0</v>
      </c>
      <c r="F67" s="3" t="s">
        <v>604</v>
      </c>
      <c r="G67" s="3" t="s">
        <v>1253</v>
      </c>
      <c r="H67" s="687">
        <v>340</v>
      </c>
      <c r="I67" t="b">
        <v>0</v>
      </c>
      <c r="J67" s="17" t="s">
        <v>1724</v>
      </c>
      <c r="K67" s="17" t="s">
        <v>1725</v>
      </c>
    </row>
    <row r="68" spans="1:11" x14ac:dyDescent="0.25">
      <c r="A68" s="479">
        <f t="shared" si="0"/>
        <v>67</v>
      </c>
      <c r="B68" s="8">
        <v>34</v>
      </c>
      <c r="C68" s="11" t="s">
        <v>124</v>
      </c>
      <c r="D68" s="297" t="s">
        <v>5</v>
      </c>
      <c r="E68" s="3">
        <v>0</v>
      </c>
      <c r="F68" s="3" t="s">
        <v>604</v>
      </c>
      <c r="G68" s="3" t="s">
        <v>1253</v>
      </c>
      <c r="H68" s="687">
        <v>340</v>
      </c>
      <c r="I68" t="b">
        <v>1</v>
      </c>
      <c r="J68" s="17" t="s">
        <v>1724</v>
      </c>
      <c r="K68" s="17" t="s">
        <v>1725</v>
      </c>
    </row>
    <row r="69" spans="1:11" x14ac:dyDescent="0.25">
      <c r="A69" s="479">
        <f t="shared" si="0"/>
        <v>68</v>
      </c>
      <c r="B69" s="5">
        <f>(B68+1)</f>
        <v>35</v>
      </c>
      <c r="C69" s="11" t="s">
        <v>126</v>
      </c>
      <c r="D69" s="297" t="s">
        <v>4</v>
      </c>
      <c r="E69" s="3">
        <v>0</v>
      </c>
      <c r="F69" s="3" t="s">
        <v>604</v>
      </c>
      <c r="G69" s="3" t="s">
        <v>1253</v>
      </c>
      <c r="H69" s="687">
        <v>340</v>
      </c>
      <c r="I69" t="b">
        <v>1</v>
      </c>
      <c r="J69" s="17" t="s">
        <v>1724</v>
      </c>
      <c r="K69" s="17" t="s">
        <v>1725</v>
      </c>
    </row>
    <row r="70" spans="1:11" x14ac:dyDescent="0.25">
      <c r="A70" s="479">
        <f t="shared" si="0"/>
        <v>69</v>
      </c>
      <c r="B70" s="5">
        <f t="shared" ref="B70:B91" si="2">(B69+1)</f>
        <v>36</v>
      </c>
      <c r="C70" s="11" t="s">
        <v>128</v>
      </c>
      <c r="D70" t="s">
        <v>123</v>
      </c>
      <c r="E70" s="3">
        <v>0</v>
      </c>
      <c r="F70" s="3" t="s">
        <v>604</v>
      </c>
      <c r="G70" s="3" t="s">
        <v>1253</v>
      </c>
      <c r="H70" s="687">
        <v>340</v>
      </c>
      <c r="I70" t="b">
        <v>1</v>
      </c>
      <c r="J70" s="17" t="s">
        <v>1726</v>
      </c>
      <c r="K70" s="17" t="s">
        <v>1639</v>
      </c>
    </row>
    <row r="71" spans="1:11" x14ac:dyDescent="0.25">
      <c r="A71" s="479">
        <f t="shared" si="0"/>
        <v>70</v>
      </c>
      <c r="B71" s="5">
        <f t="shared" si="2"/>
        <v>37</v>
      </c>
      <c r="C71" s="11" t="s">
        <v>130</v>
      </c>
      <c r="D71" t="s">
        <v>125</v>
      </c>
      <c r="E71" s="3">
        <v>0</v>
      </c>
      <c r="F71" s="3" t="s">
        <v>604</v>
      </c>
      <c r="G71" s="3" t="s">
        <v>1253</v>
      </c>
      <c r="H71" s="687">
        <v>340</v>
      </c>
      <c r="I71" t="b">
        <v>1</v>
      </c>
      <c r="J71" s="17" t="s">
        <v>1726</v>
      </c>
      <c r="K71" s="17" t="s">
        <v>1639</v>
      </c>
    </row>
    <row r="72" spans="1:11" x14ac:dyDescent="0.25">
      <c r="A72" s="479">
        <f t="shared" ref="A72:A135" si="3">(A71+1)</f>
        <v>71</v>
      </c>
      <c r="B72" s="5">
        <f t="shared" si="2"/>
        <v>38</v>
      </c>
      <c r="C72" s="11" t="s">
        <v>131</v>
      </c>
      <c r="D72" t="s">
        <v>127</v>
      </c>
      <c r="E72" s="3">
        <v>0</v>
      </c>
      <c r="F72" s="3" t="s">
        <v>604</v>
      </c>
      <c r="G72" s="3" t="s">
        <v>1253</v>
      </c>
      <c r="H72" s="687">
        <v>340</v>
      </c>
      <c r="I72" t="b">
        <v>0</v>
      </c>
    </row>
    <row r="73" spans="1:11" x14ac:dyDescent="0.25">
      <c r="A73" s="479">
        <f t="shared" si="3"/>
        <v>72</v>
      </c>
      <c r="B73" s="5">
        <f t="shared" si="2"/>
        <v>39</v>
      </c>
      <c r="C73" s="11" t="s">
        <v>133</v>
      </c>
      <c r="D73" t="s">
        <v>129</v>
      </c>
      <c r="E73" s="3">
        <v>85</v>
      </c>
      <c r="F73" s="3" t="s">
        <v>604</v>
      </c>
      <c r="G73" s="3" t="s">
        <v>1253</v>
      </c>
      <c r="H73" s="687">
        <v>30</v>
      </c>
      <c r="I73" t="b">
        <v>0</v>
      </c>
      <c r="J73" s="17" t="s">
        <v>1655</v>
      </c>
      <c r="K73" s="17" t="s">
        <v>1656</v>
      </c>
    </row>
    <row r="74" spans="1:11" x14ac:dyDescent="0.25">
      <c r="A74" s="479">
        <f t="shared" si="3"/>
        <v>73</v>
      </c>
      <c r="B74" s="5">
        <f t="shared" si="2"/>
        <v>40</v>
      </c>
      <c r="C74" s="11" t="s">
        <v>135</v>
      </c>
      <c r="D74" s="321" t="s">
        <v>1598</v>
      </c>
      <c r="E74" s="3">
        <v>85</v>
      </c>
      <c r="F74" s="3" t="s">
        <v>604</v>
      </c>
      <c r="G74" s="3" t="s">
        <v>1253</v>
      </c>
      <c r="H74" s="687">
        <v>30</v>
      </c>
      <c r="I74" t="b">
        <v>0</v>
      </c>
      <c r="J74" s="17" t="s">
        <v>1655</v>
      </c>
      <c r="K74" s="17" t="s">
        <v>1656</v>
      </c>
    </row>
    <row r="75" spans="1:11" x14ac:dyDescent="0.25">
      <c r="A75" s="479">
        <f t="shared" si="3"/>
        <v>74</v>
      </c>
      <c r="B75" s="5">
        <f t="shared" si="2"/>
        <v>41</v>
      </c>
      <c r="C75" s="11" t="s">
        <v>137</v>
      </c>
      <c r="D75" s="9" t="s">
        <v>132</v>
      </c>
      <c r="E75" s="3">
        <v>0</v>
      </c>
      <c r="F75" s="3" t="s">
        <v>604</v>
      </c>
      <c r="G75" s="3" t="s">
        <v>1253</v>
      </c>
      <c r="H75" s="687">
        <v>340</v>
      </c>
      <c r="I75" t="b">
        <v>0</v>
      </c>
    </row>
    <row r="76" spans="1:11" x14ac:dyDescent="0.25">
      <c r="A76" s="479">
        <f t="shared" si="3"/>
        <v>75</v>
      </c>
      <c r="B76" s="5">
        <f t="shared" si="2"/>
        <v>42</v>
      </c>
      <c r="C76" s="11" t="s">
        <v>138</v>
      </c>
      <c r="D76" t="s">
        <v>134</v>
      </c>
      <c r="E76" s="3">
        <v>0</v>
      </c>
      <c r="F76" s="3" t="s">
        <v>604</v>
      </c>
      <c r="G76" s="3" t="s">
        <v>1253</v>
      </c>
      <c r="H76" s="687">
        <v>340</v>
      </c>
      <c r="I76" t="b">
        <v>0</v>
      </c>
      <c r="J76" s="17" t="s">
        <v>1727</v>
      </c>
      <c r="K76" s="17" t="s">
        <v>1647</v>
      </c>
    </row>
    <row r="77" spans="1:11" x14ac:dyDescent="0.25">
      <c r="A77" s="479">
        <f t="shared" si="3"/>
        <v>76</v>
      </c>
      <c r="B77" s="5">
        <f t="shared" si="2"/>
        <v>43</v>
      </c>
      <c r="C77" s="11" t="s">
        <v>140</v>
      </c>
      <c r="D77" t="s">
        <v>136</v>
      </c>
      <c r="E77" s="3">
        <v>0</v>
      </c>
      <c r="F77" s="3" t="s">
        <v>604</v>
      </c>
      <c r="G77" s="3" t="s">
        <v>1253</v>
      </c>
      <c r="H77" s="687">
        <v>340</v>
      </c>
      <c r="I77" t="b">
        <v>0</v>
      </c>
      <c r="J77" s="17" t="s">
        <v>1727</v>
      </c>
      <c r="K77" s="17" t="s">
        <v>1647</v>
      </c>
    </row>
    <row r="78" spans="1:11" x14ac:dyDescent="0.25">
      <c r="A78" s="479">
        <f t="shared" si="3"/>
        <v>77</v>
      </c>
      <c r="B78" s="5">
        <f t="shared" si="2"/>
        <v>44</v>
      </c>
      <c r="C78" s="11" t="s">
        <v>142</v>
      </c>
      <c r="D78" s="321" t="s">
        <v>1767</v>
      </c>
      <c r="E78" s="3">
        <v>0</v>
      </c>
      <c r="F78" s="3" t="s">
        <v>604</v>
      </c>
      <c r="G78" s="3" t="s">
        <v>1253</v>
      </c>
      <c r="H78" s="687">
        <v>340</v>
      </c>
      <c r="I78" t="b">
        <v>1</v>
      </c>
      <c r="J78" s="17" t="s">
        <v>1728</v>
      </c>
      <c r="K78" s="17" t="s">
        <v>1729</v>
      </c>
    </row>
    <row r="79" spans="1:11" x14ac:dyDescent="0.25">
      <c r="A79" s="479">
        <f t="shared" si="3"/>
        <v>78</v>
      </c>
      <c r="B79" s="5">
        <f t="shared" si="2"/>
        <v>45</v>
      </c>
      <c r="C79" s="11" t="s">
        <v>144</v>
      </c>
      <c r="D79" s="9" t="s">
        <v>139</v>
      </c>
      <c r="E79" s="3">
        <v>0</v>
      </c>
      <c r="F79" s="3" t="s">
        <v>604</v>
      </c>
      <c r="G79" s="3" t="s">
        <v>1253</v>
      </c>
      <c r="H79" s="687">
        <v>340</v>
      </c>
      <c r="I79" t="b">
        <v>1</v>
      </c>
      <c r="J79" s="17" t="s">
        <v>1728</v>
      </c>
      <c r="K79" s="17" t="s">
        <v>1729</v>
      </c>
    </row>
    <row r="80" spans="1:11" x14ac:dyDescent="0.25">
      <c r="A80" s="479">
        <f t="shared" si="3"/>
        <v>79</v>
      </c>
      <c r="B80" s="5">
        <f t="shared" si="2"/>
        <v>46</v>
      </c>
      <c r="C80" s="11" t="s">
        <v>146</v>
      </c>
      <c r="D80" s="9" t="s">
        <v>141</v>
      </c>
      <c r="E80" s="3">
        <v>0</v>
      </c>
      <c r="F80" s="3" t="s">
        <v>604</v>
      </c>
      <c r="G80" s="3" t="s">
        <v>1253</v>
      </c>
      <c r="H80" s="687">
        <v>340</v>
      </c>
      <c r="I80" t="b">
        <v>0</v>
      </c>
      <c r="J80" s="17" t="s">
        <v>1593</v>
      </c>
      <c r="K80" s="17" t="s">
        <v>1601</v>
      </c>
    </row>
    <row r="81" spans="1:13" x14ac:dyDescent="0.25">
      <c r="A81" s="479">
        <f t="shared" si="3"/>
        <v>80</v>
      </c>
      <c r="B81" s="5">
        <f t="shared" si="2"/>
        <v>47</v>
      </c>
      <c r="C81" s="11" t="s">
        <v>148</v>
      </c>
      <c r="D81" s="9" t="s">
        <v>143</v>
      </c>
      <c r="E81" s="3">
        <v>90</v>
      </c>
      <c r="F81" s="3" t="s">
        <v>604</v>
      </c>
      <c r="G81" s="3" t="s">
        <v>1253</v>
      </c>
      <c r="H81" s="687">
        <v>0</v>
      </c>
      <c r="I81" t="b">
        <v>1</v>
      </c>
      <c r="J81" s="17" t="s">
        <v>1602</v>
      </c>
      <c r="K81" s="17" t="s">
        <v>303</v>
      </c>
    </row>
    <row r="82" spans="1:13" x14ac:dyDescent="0.25">
      <c r="A82" s="479">
        <f t="shared" si="3"/>
        <v>81</v>
      </c>
      <c r="B82" s="5">
        <f t="shared" si="2"/>
        <v>48</v>
      </c>
      <c r="C82" s="11" t="s">
        <v>150</v>
      </c>
      <c r="D82" s="9" t="s">
        <v>145</v>
      </c>
      <c r="E82" s="3">
        <v>90</v>
      </c>
      <c r="F82" s="3" t="s">
        <v>604</v>
      </c>
      <c r="G82" s="3" t="s">
        <v>1253</v>
      </c>
      <c r="H82" s="687">
        <v>0</v>
      </c>
      <c r="I82" t="b">
        <v>1</v>
      </c>
      <c r="J82" s="17" t="s">
        <v>1602</v>
      </c>
      <c r="K82" s="17" t="s">
        <v>303</v>
      </c>
    </row>
    <row r="83" spans="1:13" x14ac:dyDescent="0.25">
      <c r="A83" s="479">
        <f t="shared" si="3"/>
        <v>82</v>
      </c>
      <c r="B83" s="5">
        <f t="shared" si="2"/>
        <v>49</v>
      </c>
      <c r="C83" s="11" t="s">
        <v>152</v>
      </c>
      <c r="D83" s="9" t="s">
        <v>147</v>
      </c>
      <c r="E83" s="3">
        <v>0</v>
      </c>
      <c r="F83" s="3" t="s">
        <v>604</v>
      </c>
      <c r="G83" s="3" t="s">
        <v>1253</v>
      </c>
      <c r="H83" s="687">
        <v>340</v>
      </c>
      <c r="I83" t="b">
        <v>1</v>
      </c>
      <c r="J83" s="17" t="s">
        <v>1604</v>
      </c>
      <c r="K83" s="17" t="s">
        <v>1605</v>
      </c>
    </row>
    <row r="84" spans="1:13" x14ac:dyDescent="0.25">
      <c r="A84" s="479">
        <f t="shared" si="3"/>
        <v>83</v>
      </c>
      <c r="B84" s="5">
        <f t="shared" si="2"/>
        <v>50</v>
      </c>
      <c r="C84" s="11" t="s">
        <v>154</v>
      </c>
      <c r="D84" t="s">
        <v>149</v>
      </c>
      <c r="E84" s="3">
        <v>0</v>
      </c>
      <c r="F84" s="3" t="s">
        <v>604</v>
      </c>
      <c r="G84" s="3" t="s">
        <v>1253</v>
      </c>
      <c r="H84" s="687">
        <v>340</v>
      </c>
      <c r="I84" t="b">
        <v>1</v>
      </c>
      <c r="J84" s="17" t="s">
        <v>1604</v>
      </c>
      <c r="K84" s="17" t="s">
        <v>1606</v>
      </c>
    </row>
    <row r="85" spans="1:13" x14ac:dyDescent="0.25">
      <c r="A85" s="479">
        <f t="shared" si="3"/>
        <v>84</v>
      </c>
      <c r="B85" s="5">
        <f t="shared" si="2"/>
        <v>51</v>
      </c>
      <c r="C85" s="11" t="s">
        <v>156</v>
      </c>
      <c r="D85" t="s">
        <v>151</v>
      </c>
      <c r="E85" s="3">
        <v>0</v>
      </c>
      <c r="F85" s="3" t="s">
        <v>604</v>
      </c>
      <c r="G85" s="3" t="s">
        <v>1253</v>
      </c>
      <c r="H85" s="687">
        <v>340</v>
      </c>
      <c r="I85" t="b">
        <v>1</v>
      </c>
      <c r="J85" s="17" t="s">
        <v>1604</v>
      </c>
      <c r="K85" s="17" t="s">
        <v>1606</v>
      </c>
    </row>
    <row r="86" spans="1:13" x14ac:dyDescent="0.25">
      <c r="A86" s="479">
        <f t="shared" si="3"/>
        <v>85</v>
      </c>
      <c r="B86" s="5">
        <f t="shared" si="2"/>
        <v>52</v>
      </c>
      <c r="C86" s="11" t="s">
        <v>158</v>
      </c>
      <c r="D86" t="s">
        <v>153</v>
      </c>
      <c r="E86" s="3">
        <v>0</v>
      </c>
      <c r="F86" s="3" t="s">
        <v>604</v>
      </c>
      <c r="G86" s="3" t="s">
        <v>1253</v>
      </c>
      <c r="H86" s="687">
        <v>340</v>
      </c>
      <c r="I86" t="b">
        <v>0</v>
      </c>
    </row>
    <row r="87" spans="1:13" x14ac:dyDescent="0.25">
      <c r="A87" s="479">
        <f t="shared" si="3"/>
        <v>86</v>
      </c>
      <c r="B87" s="5">
        <f t="shared" si="2"/>
        <v>53</v>
      </c>
      <c r="C87" s="11" t="s">
        <v>160</v>
      </c>
      <c r="D87" t="s">
        <v>155</v>
      </c>
      <c r="E87" s="3">
        <v>0</v>
      </c>
      <c r="F87" s="3" t="s">
        <v>604</v>
      </c>
      <c r="G87" s="3" t="s">
        <v>1253</v>
      </c>
      <c r="H87" s="687">
        <v>340</v>
      </c>
      <c r="I87" t="b">
        <v>0</v>
      </c>
    </row>
    <row r="88" spans="1:13" x14ac:dyDescent="0.25">
      <c r="A88" s="479">
        <f t="shared" si="3"/>
        <v>87</v>
      </c>
      <c r="B88" s="5">
        <f t="shared" si="2"/>
        <v>54</v>
      </c>
      <c r="C88" s="11" t="s">
        <v>162</v>
      </c>
      <c r="D88" t="s">
        <v>157</v>
      </c>
      <c r="E88" s="3">
        <v>0</v>
      </c>
      <c r="F88" s="3" t="s">
        <v>604</v>
      </c>
      <c r="G88" s="3" t="s">
        <v>1253</v>
      </c>
      <c r="H88" s="687">
        <v>340</v>
      </c>
      <c r="I88" t="b">
        <v>0</v>
      </c>
    </row>
    <row r="89" spans="1:13" x14ac:dyDescent="0.25">
      <c r="A89" s="479">
        <f t="shared" si="3"/>
        <v>88</v>
      </c>
      <c r="B89" s="5">
        <f t="shared" si="2"/>
        <v>55</v>
      </c>
      <c r="C89" s="11" t="s">
        <v>1089</v>
      </c>
      <c r="D89" t="s">
        <v>159</v>
      </c>
      <c r="E89" s="3">
        <v>0</v>
      </c>
      <c r="F89" s="3" t="s">
        <v>604</v>
      </c>
      <c r="G89" s="3" t="s">
        <v>1253</v>
      </c>
      <c r="H89" s="687">
        <v>340</v>
      </c>
      <c r="I89" t="b">
        <v>0</v>
      </c>
    </row>
    <row r="90" spans="1:13" x14ac:dyDescent="0.25">
      <c r="A90" s="479">
        <f t="shared" si="3"/>
        <v>89</v>
      </c>
      <c r="B90" s="5">
        <f t="shared" si="2"/>
        <v>56</v>
      </c>
      <c r="C90" s="11" t="s">
        <v>1090</v>
      </c>
      <c r="D90" s="9" t="s">
        <v>161</v>
      </c>
      <c r="E90" s="3">
        <v>0</v>
      </c>
      <c r="F90" s="3" t="s">
        <v>604</v>
      </c>
      <c r="G90" s="3" t="s">
        <v>1253</v>
      </c>
      <c r="H90" s="687">
        <v>340</v>
      </c>
      <c r="I90" t="b">
        <v>1</v>
      </c>
      <c r="J90" s="17" t="s">
        <v>1730</v>
      </c>
    </row>
    <row r="91" spans="1:13" x14ac:dyDescent="0.25">
      <c r="A91" s="479">
        <f t="shared" si="3"/>
        <v>90</v>
      </c>
      <c r="B91" s="5">
        <f t="shared" si="2"/>
        <v>57</v>
      </c>
      <c r="C91" s="710" t="s">
        <v>1494</v>
      </c>
      <c r="D91" s="9" t="s">
        <v>163</v>
      </c>
      <c r="E91" s="3">
        <v>0</v>
      </c>
      <c r="F91" s="3" t="s">
        <v>604</v>
      </c>
      <c r="G91" s="3" t="s">
        <v>1253</v>
      </c>
      <c r="H91" s="687">
        <v>340</v>
      </c>
      <c r="I91" t="b">
        <v>1</v>
      </c>
      <c r="J91" s="17" t="s">
        <v>1730</v>
      </c>
    </row>
    <row r="92" spans="1:13" x14ac:dyDescent="0.25">
      <c r="A92" s="479">
        <f t="shared" si="3"/>
        <v>91</v>
      </c>
      <c r="B92" s="8">
        <v>1</v>
      </c>
      <c r="C92" s="11" t="s">
        <v>164</v>
      </c>
      <c r="D92" s="9" t="s">
        <v>165</v>
      </c>
      <c r="E92" s="3">
        <v>0</v>
      </c>
      <c r="F92" s="3" t="s">
        <v>604</v>
      </c>
      <c r="G92" s="3" t="s">
        <v>1253</v>
      </c>
      <c r="H92" s="687">
        <v>340</v>
      </c>
      <c r="I92" t="b">
        <v>0</v>
      </c>
      <c r="J92" t="s">
        <v>69</v>
      </c>
      <c r="K92" t="s">
        <v>1647</v>
      </c>
      <c r="M92" s="3"/>
    </row>
    <row r="93" spans="1:13" x14ac:dyDescent="0.25">
      <c r="A93" s="479">
        <f t="shared" si="3"/>
        <v>92</v>
      </c>
      <c r="B93" s="8">
        <v>2</v>
      </c>
      <c r="C93" s="11" t="s">
        <v>166</v>
      </c>
      <c r="D93" s="9" t="s">
        <v>167</v>
      </c>
      <c r="E93" s="3">
        <v>0</v>
      </c>
      <c r="F93" s="3" t="s">
        <v>604</v>
      </c>
      <c r="G93" s="3" t="s">
        <v>1253</v>
      </c>
      <c r="H93" s="687">
        <v>340</v>
      </c>
      <c r="I93" t="b">
        <v>0</v>
      </c>
      <c r="M93" s="3"/>
    </row>
    <row r="94" spans="1:13" x14ac:dyDescent="0.25">
      <c r="A94" s="479">
        <f t="shared" si="3"/>
        <v>93</v>
      </c>
      <c r="B94" s="8">
        <v>3</v>
      </c>
      <c r="C94" s="11" t="s">
        <v>168</v>
      </c>
      <c r="D94" t="s">
        <v>169</v>
      </c>
      <c r="E94" s="3">
        <v>0</v>
      </c>
      <c r="F94" s="3" t="s">
        <v>1029</v>
      </c>
      <c r="G94" s="3" t="s">
        <v>1253</v>
      </c>
      <c r="H94" s="687">
        <v>340</v>
      </c>
      <c r="I94" t="b">
        <v>1</v>
      </c>
      <c r="M94" s="3"/>
    </row>
    <row r="95" spans="1:13" x14ac:dyDescent="0.25">
      <c r="A95" s="479">
        <f t="shared" si="3"/>
        <v>94</v>
      </c>
      <c r="B95" s="8">
        <v>4</v>
      </c>
      <c r="C95" s="11" t="s">
        <v>170</v>
      </c>
      <c r="D95" t="s">
        <v>171</v>
      </c>
      <c r="E95" s="3">
        <v>100</v>
      </c>
      <c r="F95" s="3" t="s">
        <v>1029</v>
      </c>
      <c r="G95" s="3" t="s">
        <v>1253</v>
      </c>
      <c r="H95" s="687">
        <v>0</v>
      </c>
      <c r="I95" t="b">
        <v>0</v>
      </c>
      <c r="J95" t="s">
        <v>1764</v>
      </c>
      <c r="K95" t="s">
        <v>1647</v>
      </c>
      <c r="M95" s="3"/>
    </row>
    <row r="96" spans="1:13" x14ac:dyDescent="0.25">
      <c r="A96" s="479">
        <f t="shared" si="3"/>
        <v>95</v>
      </c>
      <c r="B96" s="8">
        <v>5</v>
      </c>
      <c r="C96" s="11" t="s">
        <v>172</v>
      </c>
      <c r="D96" t="s">
        <v>173</v>
      </c>
      <c r="E96" s="3">
        <v>0</v>
      </c>
      <c r="F96" s="3" t="s">
        <v>604</v>
      </c>
      <c r="G96" s="3" t="s">
        <v>1253</v>
      </c>
      <c r="H96" s="687">
        <v>340</v>
      </c>
      <c r="I96" t="b">
        <v>1</v>
      </c>
      <c r="M96" s="3"/>
    </row>
    <row r="97" spans="1:13" x14ac:dyDescent="0.25">
      <c r="A97" s="479">
        <f t="shared" si="3"/>
        <v>96</v>
      </c>
      <c r="B97" s="8">
        <v>6</v>
      </c>
      <c r="C97" s="11" t="s">
        <v>174</v>
      </c>
      <c r="D97" t="s">
        <v>175</v>
      </c>
      <c r="E97" s="3">
        <v>50</v>
      </c>
      <c r="F97" s="3" t="s">
        <v>604</v>
      </c>
      <c r="G97" s="3" t="s">
        <v>1253</v>
      </c>
      <c r="H97" s="687">
        <v>340</v>
      </c>
      <c r="I97" t="b">
        <v>1</v>
      </c>
      <c r="M97" s="3"/>
    </row>
    <row r="98" spans="1:13" x14ac:dyDescent="0.25">
      <c r="A98" s="479">
        <f t="shared" si="3"/>
        <v>97</v>
      </c>
      <c r="B98" s="8">
        <v>7</v>
      </c>
      <c r="C98" s="11" t="s">
        <v>176</v>
      </c>
      <c r="D98" s="9" t="s">
        <v>1262</v>
      </c>
      <c r="E98" s="3">
        <v>0</v>
      </c>
      <c r="F98" s="3" t="s">
        <v>1029</v>
      </c>
      <c r="G98" s="3" t="s">
        <v>1253</v>
      </c>
      <c r="H98" s="687">
        <v>340</v>
      </c>
      <c r="I98" t="b">
        <v>1</v>
      </c>
      <c r="M98" s="3"/>
    </row>
    <row r="99" spans="1:13" x14ac:dyDescent="0.25">
      <c r="A99" s="479">
        <f t="shared" si="3"/>
        <v>98</v>
      </c>
      <c r="B99" s="8">
        <v>8</v>
      </c>
      <c r="C99" s="11" t="s">
        <v>177</v>
      </c>
      <c r="D99" s="9" t="s">
        <v>1263</v>
      </c>
      <c r="E99" s="3">
        <v>0</v>
      </c>
      <c r="F99" s="3" t="s">
        <v>1029</v>
      </c>
      <c r="G99" s="3" t="s">
        <v>1253</v>
      </c>
      <c r="H99" s="687">
        <v>340</v>
      </c>
      <c r="I99" t="b">
        <v>1</v>
      </c>
      <c r="M99" s="3"/>
    </row>
    <row r="100" spans="1:13" x14ac:dyDescent="0.25">
      <c r="A100" s="479">
        <f t="shared" si="3"/>
        <v>99</v>
      </c>
      <c r="B100" s="8">
        <v>9</v>
      </c>
      <c r="C100" s="11" t="s">
        <v>178</v>
      </c>
      <c r="D100" s="9" t="s">
        <v>179</v>
      </c>
      <c r="E100" s="3">
        <v>0</v>
      </c>
      <c r="F100" s="3" t="s">
        <v>604</v>
      </c>
      <c r="G100" s="3" t="s">
        <v>1253</v>
      </c>
      <c r="H100" s="687">
        <v>340</v>
      </c>
      <c r="I100" t="b">
        <v>1</v>
      </c>
      <c r="M100" s="3"/>
    </row>
    <row r="101" spans="1:13" x14ac:dyDescent="0.25">
      <c r="A101" s="479">
        <f t="shared" si="3"/>
        <v>100</v>
      </c>
      <c r="B101" s="8">
        <v>10</v>
      </c>
      <c r="C101" s="11" t="s">
        <v>180</v>
      </c>
      <c r="D101" s="9" t="s">
        <v>181</v>
      </c>
      <c r="E101" s="3">
        <v>0</v>
      </c>
      <c r="F101" s="3" t="s">
        <v>1029</v>
      </c>
      <c r="G101" s="3" t="s">
        <v>1253</v>
      </c>
      <c r="H101" s="687">
        <v>340</v>
      </c>
      <c r="I101" t="b">
        <v>1</v>
      </c>
      <c r="M101" s="3"/>
    </row>
    <row r="102" spans="1:13" x14ac:dyDescent="0.25">
      <c r="A102" s="479">
        <f t="shared" si="3"/>
        <v>101</v>
      </c>
      <c r="B102" s="8">
        <v>11</v>
      </c>
      <c r="C102" s="11" t="s">
        <v>182</v>
      </c>
      <c r="D102" s="9" t="s">
        <v>183</v>
      </c>
      <c r="E102" s="3">
        <v>0</v>
      </c>
      <c r="F102" s="3" t="s">
        <v>1029</v>
      </c>
      <c r="G102" s="3" t="s">
        <v>1253</v>
      </c>
      <c r="H102" s="687">
        <v>340</v>
      </c>
      <c r="I102" t="b">
        <v>1</v>
      </c>
      <c r="M102" s="3"/>
    </row>
    <row r="103" spans="1:13" x14ac:dyDescent="0.25">
      <c r="A103" s="479">
        <f t="shared" si="3"/>
        <v>102</v>
      </c>
      <c r="B103" s="8">
        <v>12</v>
      </c>
      <c r="C103" s="11" t="s">
        <v>184</v>
      </c>
      <c r="D103" t="s">
        <v>185</v>
      </c>
      <c r="E103" s="3">
        <v>0</v>
      </c>
      <c r="F103" s="3" t="s">
        <v>604</v>
      </c>
      <c r="G103" s="3" t="s">
        <v>1253</v>
      </c>
      <c r="H103" s="687">
        <v>340</v>
      </c>
      <c r="I103" t="b">
        <v>1</v>
      </c>
      <c r="M103" s="3"/>
    </row>
    <row r="104" spans="1:13" x14ac:dyDescent="0.25">
      <c r="A104" s="479">
        <f t="shared" si="3"/>
        <v>103</v>
      </c>
      <c r="B104" s="8">
        <v>13</v>
      </c>
      <c r="C104" s="11" t="s">
        <v>186</v>
      </c>
      <c r="D104" s="9" t="s">
        <v>187</v>
      </c>
      <c r="E104" s="3">
        <v>0</v>
      </c>
      <c r="F104" s="3" t="s">
        <v>604</v>
      </c>
      <c r="G104" s="3" t="s">
        <v>1253</v>
      </c>
      <c r="H104" s="687">
        <v>340</v>
      </c>
      <c r="I104" t="b">
        <v>1</v>
      </c>
      <c r="M104" s="3"/>
    </row>
    <row r="105" spans="1:13" x14ac:dyDescent="0.25">
      <c r="A105" s="479">
        <f t="shared" si="3"/>
        <v>104</v>
      </c>
      <c r="B105" s="8">
        <v>14</v>
      </c>
      <c r="C105" s="11" t="s">
        <v>188</v>
      </c>
      <c r="D105" s="9" t="s">
        <v>189</v>
      </c>
      <c r="E105" s="3">
        <v>0</v>
      </c>
      <c r="F105" s="3" t="s">
        <v>604</v>
      </c>
      <c r="G105" s="3" t="s">
        <v>1253</v>
      </c>
      <c r="H105" s="687">
        <v>340</v>
      </c>
      <c r="I105" t="b">
        <v>1</v>
      </c>
      <c r="M105" s="3"/>
    </row>
    <row r="106" spans="1:13" x14ac:dyDescent="0.25">
      <c r="A106" s="479">
        <f t="shared" si="3"/>
        <v>105</v>
      </c>
      <c r="B106" s="8">
        <v>15</v>
      </c>
      <c r="C106" s="11" t="s">
        <v>190</v>
      </c>
      <c r="D106" s="9" t="s">
        <v>191</v>
      </c>
      <c r="E106" s="3">
        <v>0</v>
      </c>
      <c r="F106" s="3" t="s">
        <v>604</v>
      </c>
      <c r="G106" s="3" t="s">
        <v>1253</v>
      </c>
      <c r="H106" s="687">
        <v>340</v>
      </c>
      <c r="I106" t="b">
        <v>1</v>
      </c>
      <c r="M106" s="3"/>
    </row>
    <row r="107" spans="1:13" x14ac:dyDescent="0.25">
      <c r="A107" s="479">
        <f t="shared" si="3"/>
        <v>106</v>
      </c>
      <c r="B107" s="8">
        <v>16</v>
      </c>
      <c r="C107" s="11" t="s">
        <v>192</v>
      </c>
      <c r="D107" t="s">
        <v>193</v>
      </c>
      <c r="E107" s="3">
        <v>0</v>
      </c>
      <c r="F107" s="3" t="s">
        <v>1029</v>
      </c>
      <c r="G107" s="3" t="s">
        <v>1253</v>
      </c>
      <c r="H107" s="687">
        <v>340</v>
      </c>
      <c r="I107" t="b">
        <v>1</v>
      </c>
      <c r="M107" s="3"/>
    </row>
    <row r="108" spans="1:13" x14ac:dyDescent="0.25">
      <c r="A108" s="479">
        <f t="shared" si="3"/>
        <v>107</v>
      </c>
      <c r="B108" s="8">
        <v>17</v>
      </c>
      <c r="C108" s="11" t="s">
        <v>194</v>
      </c>
      <c r="D108" t="s">
        <v>195</v>
      </c>
      <c r="E108" s="3">
        <v>0</v>
      </c>
      <c r="F108" s="3" t="s">
        <v>604</v>
      </c>
      <c r="G108" s="3" t="s">
        <v>1253</v>
      </c>
      <c r="H108" s="687">
        <v>340</v>
      </c>
      <c r="I108" t="b">
        <v>1</v>
      </c>
      <c r="M108" s="3"/>
    </row>
    <row r="109" spans="1:13" x14ac:dyDescent="0.25">
      <c r="A109" s="479">
        <f t="shared" si="3"/>
        <v>108</v>
      </c>
      <c r="B109" s="8">
        <v>18</v>
      </c>
      <c r="C109" s="11" t="s">
        <v>196</v>
      </c>
      <c r="D109" s="9" t="s">
        <v>197</v>
      </c>
      <c r="E109" s="3">
        <v>0</v>
      </c>
      <c r="F109" s="3" t="s">
        <v>1029</v>
      </c>
      <c r="G109" s="3" t="s">
        <v>1253</v>
      </c>
      <c r="H109" s="687">
        <v>340</v>
      </c>
      <c r="I109" t="b">
        <v>0</v>
      </c>
      <c r="M109" s="3"/>
    </row>
    <row r="110" spans="1:13" x14ac:dyDescent="0.25">
      <c r="A110" s="479">
        <f t="shared" si="3"/>
        <v>109</v>
      </c>
      <c r="B110" s="8">
        <v>19</v>
      </c>
      <c r="C110" s="11" t="s">
        <v>198</v>
      </c>
      <c r="D110" s="9" t="s">
        <v>199</v>
      </c>
      <c r="E110" s="3">
        <v>50</v>
      </c>
      <c r="F110" s="3" t="s">
        <v>1029</v>
      </c>
      <c r="G110" s="3" t="s">
        <v>1253</v>
      </c>
      <c r="H110" s="687">
        <v>340</v>
      </c>
      <c r="I110" t="b">
        <v>0</v>
      </c>
      <c r="M110" s="3"/>
    </row>
    <row r="111" spans="1:13" x14ac:dyDescent="0.25">
      <c r="A111" s="479">
        <f t="shared" si="3"/>
        <v>110</v>
      </c>
      <c r="B111" s="8">
        <v>20</v>
      </c>
      <c r="C111" s="11" t="s">
        <v>200</v>
      </c>
      <c r="D111" s="321" t="s">
        <v>1781</v>
      </c>
      <c r="E111" s="3">
        <v>50</v>
      </c>
      <c r="F111" s="3" t="s">
        <v>1029</v>
      </c>
      <c r="G111" s="3" t="s">
        <v>1253</v>
      </c>
      <c r="H111" s="687">
        <v>340</v>
      </c>
      <c r="I111" t="b">
        <v>0</v>
      </c>
      <c r="M111" s="3"/>
    </row>
    <row r="112" spans="1:13" x14ac:dyDescent="0.25">
      <c r="A112" s="479">
        <f t="shared" si="3"/>
        <v>111</v>
      </c>
      <c r="B112" s="8">
        <v>21</v>
      </c>
      <c r="C112" s="11" t="s">
        <v>202</v>
      </c>
      <c r="D112" s="321" t="s">
        <v>1787</v>
      </c>
      <c r="E112" s="3">
        <v>50</v>
      </c>
      <c r="F112" s="3" t="s">
        <v>1029</v>
      </c>
      <c r="G112" s="3" t="s">
        <v>1253</v>
      </c>
      <c r="H112" s="687">
        <v>340</v>
      </c>
      <c r="I112" t="b">
        <v>0</v>
      </c>
      <c r="M112" s="3"/>
    </row>
    <row r="113" spans="1:13" x14ac:dyDescent="0.25">
      <c r="A113" s="479">
        <f t="shared" si="3"/>
        <v>112</v>
      </c>
      <c r="B113" s="8">
        <v>22</v>
      </c>
      <c r="C113" s="11" t="s">
        <v>204</v>
      </c>
      <c r="D113" s="321" t="s">
        <v>1782</v>
      </c>
      <c r="E113" s="3">
        <v>50</v>
      </c>
      <c r="F113" s="3" t="s">
        <v>1029</v>
      </c>
      <c r="G113" s="3" t="s">
        <v>1253</v>
      </c>
      <c r="H113" s="687">
        <v>340</v>
      </c>
      <c r="I113" t="b">
        <v>0</v>
      </c>
      <c r="M113" s="3"/>
    </row>
    <row r="114" spans="1:13" x14ac:dyDescent="0.25">
      <c r="A114" s="479">
        <f t="shared" si="3"/>
        <v>113</v>
      </c>
      <c r="B114" s="8">
        <v>23</v>
      </c>
      <c r="C114" s="11" t="s">
        <v>205</v>
      </c>
      <c r="D114" s="321" t="s">
        <v>1783</v>
      </c>
      <c r="E114" s="3">
        <v>50</v>
      </c>
      <c r="F114" s="3" t="s">
        <v>1029</v>
      </c>
      <c r="G114" s="3" t="s">
        <v>1253</v>
      </c>
      <c r="H114" s="687">
        <v>340</v>
      </c>
      <c r="I114" t="b">
        <v>0</v>
      </c>
      <c r="K114" s="17"/>
      <c r="M114" s="3"/>
    </row>
    <row r="115" spans="1:13" x14ac:dyDescent="0.25">
      <c r="A115" s="479">
        <f t="shared" si="3"/>
        <v>114</v>
      </c>
      <c r="B115" s="8">
        <v>24</v>
      </c>
      <c r="C115" s="11" t="s">
        <v>207</v>
      </c>
      <c r="D115" s="9" t="s">
        <v>201</v>
      </c>
      <c r="E115" s="3">
        <v>0</v>
      </c>
      <c r="F115" s="3" t="s">
        <v>1029</v>
      </c>
      <c r="G115" s="3" t="s">
        <v>1253</v>
      </c>
      <c r="H115" s="687">
        <v>340</v>
      </c>
      <c r="I115" t="b">
        <v>0</v>
      </c>
      <c r="M115" s="3"/>
    </row>
    <row r="116" spans="1:13" x14ac:dyDescent="0.25">
      <c r="A116" s="479">
        <f t="shared" si="3"/>
        <v>115</v>
      </c>
      <c r="B116" s="8">
        <v>25</v>
      </c>
      <c r="C116" s="11" t="s">
        <v>209</v>
      </c>
      <c r="D116" s="9" t="s">
        <v>203</v>
      </c>
      <c r="E116" s="3">
        <v>30</v>
      </c>
      <c r="F116" s="3" t="s">
        <v>1029</v>
      </c>
      <c r="G116" s="3" t="s">
        <v>1253</v>
      </c>
      <c r="H116" s="687">
        <v>340</v>
      </c>
      <c r="I116" t="b">
        <v>0</v>
      </c>
      <c r="M116" s="3"/>
    </row>
    <row r="117" spans="1:13" x14ac:dyDescent="0.25">
      <c r="A117" s="479">
        <f t="shared" si="3"/>
        <v>116</v>
      </c>
      <c r="B117" s="8">
        <v>26</v>
      </c>
      <c r="C117" s="11" t="s">
        <v>211</v>
      </c>
      <c r="D117" t="s">
        <v>1080</v>
      </c>
      <c r="E117" s="3">
        <v>0</v>
      </c>
      <c r="F117" s="3" t="s">
        <v>1029</v>
      </c>
      <c r="G117" s="3" t="s">
        <v>1253</v>
      </c>
      <c r="H117" s="687">
        <v>340</v>
      </c>
      <c r="I117" t="b">
        <v>0</v>
      </c>
      <c r="M117" s="3"/>
    </row>
    <row r="118" spans="1:13" x14ac:dyDescent="0.25">
      <c r="A118" s="479">
        <f t="shared" si="3"/>
        <v>117</v>
      </c>
      <c r="B118" s="8">
        <v>27</v>
      </c>
      <c r="C118" s="11" t="s">
        <v>1778</v>
      </c>
      <c r="D118" s="9" t="s">
        <v>206</v>
      </c>
      <c r="E118" s="3">
        <v>0</v>
      </c>
      <c r="F118" s="3" t="s">
        <v>1029</v>
      </c>
      <c r="G118" s="3" t="s">
        <v>1253</v>
      </c>
      <c r="H118" s="687">
        <v>340</v>
      </c>
      <c r="I118" t="b">
        <v>0</v>
      </c>
    </row>
    <row r="119" spans="1:13" x14ac:dyDescent="0.25">
      <c r="A119" s="479">
        <f t="shared" si="3"/>
        <v>118</v>
      </c>
      <c r="B119" s="8">
        <v>28</v>
      </c>
      <c r="C119" s="11" t="s">
        <v>1784</v>
      </c>
      <c r="D119" s="9" t="s">
        <v>208</v>
      </c>
      <c r="E119" s="3">
        <v>0</v>
      </c>
      <c r="F119" s="3" t="s">
        <v>1029</v>
      </c>
      <c r="G119" s="3" t="s">
        <v>1253</v>
      </c>
      <c r="H119" s="687">
        <v>340</v>
      </c>
      <c r="I119" t="b">
        <v>0</v>
      </c>
    </row>
    <row r="120" spans="1:13" x14ac:dyDescent="0.25">
      <c r="A120" s="479">
        <f t="shared" si="3"/>
        <v>119</v>
      </c>
      <c r="B120" s="8">
        <v>29</v>
      </c>
      <c r="C120" s="11" t="s">
        <v>1785</v>
      </c>
      <c r="D120" s="9" t="s">
        <v>210</v>
      </c>
      <c r="E120" s="3">
        <v>0</v>
      </c>
      <c r="F120" s="3" t="s">
        <v>604</v>
      </c>
      <c r="G120" s="3" t="s">
        <v>1253</v>
      </c>
      <c r="H120" s="687">
        <v>340</v>
      </c>
      <c r="I120" t="b">
        <v>1</v>
      </c>
    </row>
    <row r="121" spans="1:13" x14ac:dyDescent="0.25">
      <c r="A121" s="479">
        <f t="shared" si="3"/>
        <v>120</v>
      </c>
      <c r="B121" s="8">
        <v>30</v>
      </c>
      <c r="C121" s="11" t="s">
        <v>1786</v>
      </c>
      <c r="D121" s="9" t="s">
        <v>212</v>
      </c>
      <c r="E121" s="3">
        <v>0</v>
      </c>
      <c r="F121" s="3" t="s">
        <v>604</v>
      </c>
      <c r="G121" s="3" t="s">
        <v>1253</v>
      </c>
      <c r="H121" s="687">
        <v>340</v>
      </c>
      <c r="I121" t="b">
        <v>1</v>
      </c>
    </row>
    <row r="122" spans="1:13" x14ac:dyDescent="0.25">
      <c r="A122" s="479">
        <f t="shared" si="3"/>
        <v>121</v>
      </c>
      <c r="B122" s="8">
        <v>1</v>
      </c>
      <c r="C122" s="479" t="str">
        <f>_xlfn.CONCAT("O",B122)</f>
        <v>O1</v>
      </c>
      <c r="D122" s="9" t="s">
        <v>213</v>
      </c>
      <c r="E122" s="3">
        <v>0</v>
      </c>
      <c r="F122" s="3" t="s">
        <v>604</v>
      </c>
      <c r="G122" s="3" t="s">
        <v>1253</v>
      </c>
      <c r="H122" s="687">
        <v>340</v>
      </c>
      <c r="I122" t="b">
        <v>0</v>
      </c>
      <c r="J122" s="17" t="s">
        <v>1625</v>
      </c>
      <c r="K122" s="17" t="s">
        <v>1656</v>
      </c>
    </row>
    <row r="123" spans="1:13" x14ac:dyDescent="0.25">
      <c r="A123" s="479">
        <f t="shared" si="3"/>
        <v>122</v>
      </c>
      <c r="B123" s="8">
        <v>2</v>
      </c>
      <c r="C123" s="479" t="str">
        <f t="shared" ref="C123:C188" si="4">_xlfn.CONCAT("O",B123)</f>
        <v>O2</v>
      </c>
      <c r="D123" s="9" t="s">
        <v>214</v>
      </c>
      <c r="E123" s="3">
        <v>0</v>
      </c>
      <c r="F123" s="3" t="s">
        <v>1029</v>
      </c>
      <c r="G123" s="3" t="s">
        <v>1253</v>
      </c>
      <c r="H123" s="687">
        <v>340</v>
      </c>
      <c r="I123" t="b">
        <v>0</v>
      </c>
      <c r="J123" s="17" t="s">
        <v>1731</v>
      </c>
      <c r="K123" s="17" t="s">
        <v>1732</v>
      </c>
    </row>
    <row r="124" spans="1:13" x14ac:dyDescent="0.25">
      <c r="A124" s="479">
        <f t="shared" si="3"/>
        <v>123</v>
      </c>
      <c r="B124" s="8">
        <v>3</v>
      </c>
      <c r="C124" s="479" t="str">
        <f t="shared" si="4"/>
        <v>O3</v>
      </c>
      <c r="D124" s="9" t="s">
        <v>1790</v>
      </c>
      <c r="E124" s="3">
        <v>0</v>
      </c>
      <c r="F124" s="3" t="s">
        <v>1029</v>
      </c>
      <c r="G124" s="3" t="s">
        <v>1253</v>
      </c>
      <c r="H124" s="687">
        <v>340</v>
      </c>
      <c r="I124" t="b">
        <v>0</v>
      </c>
      <c r="J124" s="17" t="s">
        <v>1731</v>
      </c>
      <c r="K124" s="17" t="s">
        <v>1732</v>
      </c>
    </row>
    <row r="125" spans="1:13" x14ac:dyDescent="0.25">
      <c r="A125" s="479">
        <f t="shared" si="3"/>
        <v>124</v>
      </c>
      <c r="B125" s="8">
        <v>4</v>
      </c>
      <c r="C125" s="479" t="str">
        <f t="shared" si="4"/>
        <v>O4</v>
      </c>
      <c r="D125" s="321" t="s">
        <v>1501</v>
      </c>
      <c r="E125" s="3">
        <v>0</v>
      </c>
      <c r="F125" s="3" t="s">
        <v>604</v>
      </c>
      <c r="G125" s="3" t="s">
        <v>1253</v>
      </c>
      <c r="H125" s="687">
        <v>340</v>
      </c>
      <c r="I125" t="b">
        <v>0</v>
      </c>
      <c r="J125" s="17" t="s">
        <v>1733</v>
      </c>
      <c r="K125" s="17" t="s">
        <v>1734</v>
      </c>
    </row>
    <row r="126" spans="1:13" x14ac:dyDescent="0.25">
      <c r="A126" s="479">
        <f t="shared" si="3"/>
        <v>125</v>
      </c>
      <c r="B126" s="8">
        <v>5</v>
      </c>
      <c r="C126" s="479" t="str">
        <f t="shared" si="4"/>
        <v>O5</v>
      </c>
      <c r="D126" s="476" t="s">
        <v>1502</v>
      </c>
      <c r="E126" s="3">
        <v>0</v>
      </c>
      <c r="F126" s="53" t="s">
        <v>604</v>
      </c>
      <c r="G126" s="53" t="s">
        <v>1253</v>
      </c>
      <c r="H126" s="687">
        <v>340</v>
      </c>
      <c r="I126" t="b">
        <v>0</v>
      </c>
      <c r="J126" s="17" t="s">
        <v>1733</v>
      </c>
      <c r="K126" s="17" t="s">
        <v>1734</v>
      </c>
    </row>
    <row r="127" spans="1:13" x14ac:dyDescent="0.25">
      <c r="A127" s="479">
        <f t="shared" si="3"/>
        <v>126</v>
      </c>
      <c r="B127" s="8">
        <v>6</v>
      </c>
      <c r="C127" s="479" t="str">
        <f t="shared" si="4"/>
        <v>O6</v>
      </c>
      <c r="D127" s="17" t="s">
        <v>1530</v>
      </c>
      <c r="E127" s="3">
        <v>0</v>
      </c>
      <c r="F127" s="3" t="s">
        <v>604</v>
      </c>
      <c r="G127" s="3" t="s">
        <v>1253</v>
      </c>
      <c r="H127" s="687">
        <v>340</v>
      </c>
      <c r="I127" t="b">
        <v>0</v>
      </c>
      <c r="J127" s="17" t="s">
        <v>1714</v>
      </c>
      <c r="K127" s="17" t="s">
        <v>1735</v>
      </c>
    </row>
    <row r="128" spans="1:13" x14ac:dyDescent="0.25">
      <c r="A128" s="479">
        <f t="shared" si="3"/>
        <v>127</v>
      </c>
      <c r="B128" s="8">
        <v>7</v>
      </c>
      <c r="C128" s="479" t="str">
        <f t="shared" si="4"/>
        <v>O7</v>
      </c>
      <c r="D128" s="516" t="s">
        <v>1531</v>
      </c>
      <c r="E128" s="3">
        <v>0</v>
      </c>
      <c r="F128" s="53" t="s">
        <v>604</v>
      </c>
      <c r="G128" s="53" t="s">
        <v>1253</v>
      </c>
      <c r="H128" s="687">
        <v>340</v>
      </c>
      <c r="I128" t="b">
        <v>0</v>
      </c>
      <c r="J128" s="17" t="s">
        <v>1714</v>
      </c>
      <c r="K128" s="17" t="s">
        <v>1735</v>
      </c>
    </row>
    <row r="129" spans="1:11" x14ac:dyDescent="0.25">
      <c r="A129" s="479">
        <f t="shared" si="3"/>
        <v>128</v>
      </c>
      <c r="B129" s="8">
        <v>8</v>
      </c>
      <c r="C129" s="479" t="str">
        <f t="shared" si="4"/>
        <v>O8</v>
      </c>
      <c r="D129" s="321" t="s">
        <v>1533</v>
      </c>
      <c r="E129" s="3">
        <v>0</v>
      </c>
      <c r="F129" s="3" t="s">
        <v>604</v>
      </c>
      <c r="G129" s="3" t="s">
        <v>1253</v>
      </c>
      <c r="H129" s="687">
        <v>340</v>
      </c>
      <c r="I129" t="b">
        <v>0</v>
      </c>
      <c r="J129" s="17" t="s">
        <v>1714</v>
      </c>
      <c r="K129" s="17" t="s">
        <v>1735</v>
      </c>
    </row>
    <row r="130" spans="1:11" x14ac:dyDescent="0.25">
      <c r="A130" s="479">
        <f t="shared" si="3"/>
        <v>129</v>
      </c>
      <c r="B130" s="8">
        <v>9</v>
      </c>
      <c r="C130" s="479" t="str">
        <f t="shared" si="4"/>
        <v>O9</v>
      </c>
      <c r="D130" s="476" t="s">
        <v>1534</v>
      </c>
      <c r="E130" s="3">
        <v>0</v>
      </c>
      <c r="F130" s="3" t="s">
        <v>604</v>
      </c>
      <c r="G130" s="3" t="s">
        <v>1253</v>
      </c>
      <c r="H130" s="687">
        <v>340</v>
      </c>
      <c r="I130" t="b">
        <v>0</v>
      </c>
      <c r="J130" s="17" t="s">
        <v>1714</v>
      </c>
      <c r="K130" s="17" t="s">
        <v>1735</v>
      </c>
    </row>
    <row r="131" spans="1:11" x14ac:dyDescent="0.25">
      <c r="A131" s="479">
        <f t="shared" si="3"/>
        <v>130</v>
      </c>
      <c r="B131" s="8">
        <v>10</v>
      </c>
      <c r="C131" s="479" t="str">
        <f t="shared" si="4"/>
        <v>O10</v>
      </c>
      <c r="D131" s="321" t="s">
        <v>1677</v>
      </c>
      <c r="E131" s="3">
        <v>0</v>
      </c>
      <c r="F131" s="3" t="s">
        <v>604</v>
      </c>
      <c r="G131" s="3" t="s">
        <v>1253</v>
      </c>
      <c r="H131" s="687">
        <v>340</v>
      </c>
      <c r="I131" t="b">
        <v>0</v>
      </c>
      <c r="J131" s="17" t="s">
        <v>1593</v>
      </c>
      <c r="K131" s="17" t="s">
        <v>1743</v>
      </c>
    </row>
    <row r="132" spans="1:11" x14ac:dyDescent="0.25">
      <c r="A132" s="479">
        <f t="shared" si="3"/>
        <v>131</v>
      </c>
      <c r="B132" s="8">
        <v>11</v>
      </c>
      <c r="C132" s="479" t="str">
        <f t="shared" si="4"/>
        <v>O11</v>
      </c>
      <c r="D132" s="17" t="s">
        <v>1547</v>
      </c>
      <c r="E132" s="3">
        <v>0</v>
      </c>
      <c r="F132" s="3" t="s">
        <v>604</v>
      </c>
      <c r="G132" s="3" t="s">
        <v>1253</v>
      </c>
      <c r="H132" s="687">
        <v>340</v>
      </c>
      <c r="I132" t="b">
        <v>0</v>
      </c>
      <c r="J132" s="17" t="s">
        <v>1593</v>
      </c>
      <c r="K132" s="17" t="s">
        <v>1745</v>
      </c>
    </row>
    <row r="133" spans="1:11" x14ac:dyDescent="0.25">
      <c r="A133" s="479">
        <f t="shared" si="3"/>
        <v>132</v>
      </c>
      <c r="B133" s="8">
        <v>12</v>
      </c>
      <c r="C133" s="479" t="str">
        <f t="shared" si="4"/>
        <v>O12</v>
      </c>
      <c r="D133" s="516" t="s">
        <v>1539</v>
      </c>
      <c r="E133" s="3">
        <v>0</v>
      </c>
      <c r="F133" s="3" t="s">
        <v>604</v>
      </c>
      <c r="G133" s="3" t="s">
        <v>1253</v>
      </c>
      <c r="H133" s="687">
        <v>340</v>
      </c>
      <c r="I133" t="b">
        <v>0</v>
      </c>
      <c r="J133" s="17" t="s">
        <v>1593</v>
      </c>
      <c r="K133" s="17" t="s">
        <v>1745</v>
      </c>
    </row>
    <row r="134" spans="1:11" x14ac:dyDescent="0.25">
      <c r="A134" s="479">
        <f t="shared" si="3"/>
        <v>133</v>
      </c>
      <c r="B134" s="8">
        <v>13</v>
      </c>
      <c r="C134" s="479" t="str">
        <f t="shared" si="4"/>
        <v>O13</v>
      </c>
      <c r="D134" s="17" t="s">
        <v>1548</v>
      </c>
      <c r="E134" s="3">
        <v>0</v>
      </c>
      <c r="F134" s="3" t="s">
        <v>604</v>
      </c>
      <c r="G134" s="3" t="s">
        <v>1253</v>
      </c>
      <c r="H134" s="687">
        <v>340</v>
      </c>
      <c r="I134" t="b">
        <v>0</v>
      </c>
      <c r="J134" s="17" t="s">
        <v>1593</v>
      </c>
      <c r="K134" s="17" t="s">
        <v>1744</v>
      </c>
    </row>
    <row r="135" spans="1:11" x14ac:dyDescent="0.25">
      <c r="A135" s="479">
        <f t="shared" si="3"/>
        <v>134</v>
      </c>
      <c r="B135" s="8">
        <v>14</v>
      </c>
      <c r="C135" s="479" t="str">
        <f t="shared" si="4"/>
        <v>O14</v>
      </c>
      <c r="D135" s="516" t="s">
        <v>1540</v>
      </c>
      <c r="E135" s="3">
        <v>0</v>
      </c>
      <c r="F135" s="3" t="s">
        <v>604</v>
      </c>
      <c r="G135" s="3" t="s">
        <v>1253</v>
      </c>
      <c r="H135" s="687">
        <v>340</v>
      </c>
      <c r="I135" t="b">
        <v>0</v>
      </c>
      <c r="J135" s="17" t="s">
        <v>1593</v>
      </c>
      <c r="K135" s="17" t="s">
        <v>1744</v>
      </c>
    </row>
    <row r="136" spans="1:11" x14ac:dyDescent="0.25">
      <c r="A136" s="479">
        <f t="shared" ref="A136:A199" si="5">(A135+1)</f>
        <v>135</v>
      </c>
      <c r="B136" s="8">
        <v>15</v>
      </c>
      <c r="C136" s="479" t="str">
        <f t="shared" si="4"/>
        <v>O15</v>
      </c>
      <c r="D136" s="9" t="s">
        <v>215</v>
      </c>
      <c r="E136" s="3">
        <v>0</v>
      </c>
      <c r="F136" s="3" t="s">
        <v>1029</v>
      </c>
      <c r="G136" s="3" t="s">
        <v>1253</v>
      </c>
      <c r="H136" s="687">
        <v>340</v>
      </c>
      <c r="I136" t="b">
        <v>0</v>
      </c>
    </row>
    <row r="137" spans="1:11" x14ac:dyDescent="0.25">
      <c r="A137" s="479">
        <f t="shared" si="5"/>
        <v>136</v>
      </c>
      <c r="B137" s="8">
        <v>16</v>
      </c>
      <c r="C137" s="479" t="str">
        <f t="shared" si="4"/>
        <v>O16</v>
      </c>
      <c r="D137" s="321" t="s">
        <v>1535</v>
      </c>
      <c r="E137" s="3">
        <v>0</v>
      </c>
      <c r="F137" s="3" t="s">
        <v>604</v>
      </c>
      <c r="G137" s="3" t="s">
        <v>1253</v>
      </c>
      <c r="H137" s="687">
        <v>340</v>
      </c>
      <c r="I137" t="b">
        <v>0</v>
      </c>
      <c r="J137" s="17" t="s">
        <v>1736</v>
      </c>
      <c r="K137" s="17" t="s">
        <v>1737</v>
      </c>
    </row>
    <row r="138" spans="1:11" x14ac:dyDescent="0.25">
      <c r="A138" s="479">
        <f t="shared" si="5"/>
        <v>137</v>
      </c>
      <c r="B138" s="8">
        <v>17</v>
      </c>
      <c r="C138" s="479" t="str">
        <f t="shared" si="4"/>
        <v>O17</v>
      </c>
      <c r="D138" s="321" t="s">
        <v>1536</v>
      </c>
      <c r="E138" s="3">
        <v>0</v>
      </c>
      <c r="F138" s="3" t="s">
        <v>604</v>
      </c>
      <c r="G138" s="3" t="s">
        <v>1253</v>
      </c>
      <c r="H138" s="687">
        <v>340</v>
      </c>
      <c r="I138" t="b">
        <v>0</v>
      </c>
    </row>
    <row r="139" spans="1:11" x14ac:dyDescent="0.25">
      <c r="A139" s="479">
        <f t="shared" si="5"/>
        <v>138</v>
      </c>
      <c r="B139" s="8">
        <v>18</v>
      </c>
      <c r="C139" s="479" t="str">
        <f t="shared" si="4"/>
        <v>O18</v>
      </c>
      <c r="D139" t="s">
        <v>216</v>
      </c>
      <c r="E139" s="3">
        <v>0</v>
      </c>
      <c r="F139" s="3" t="s">
        <v>604</v>
      </c>
      <c r="G139" s="3" t="s">
        <v>1253</v>
      </c>
      <c r="H139" s="687">
        <v>340</v>
      </c>
      <c r="I139" t="b">
        <v>0</v>
      </c>
      <c r="J139" s="17" t="s">
        <v>1738</v>
      </c>
      <c r="K139" s="17" t="s">
        <v>1739</v>
      </c>
    </row>
    <row r="140" spans="1:11" x14ac:dyDescent="0.25">
      <c r="A140" s="479">
        <f t="shared" si="5"/>
        <v>139</v>
      </c>
      <c r="B140" s="8">
        <v>19</v>
      </c>
      <c r="C140" s="479" t="str">
        <f t="shared" si="4"/>
        <v>O19</v>
      </c>
      <c r="D140" s="321" t="s">
        <v>1541</v>
      </c>
      <c r="E140" s="3">
        <v>0</v>
      </c>
      <c r="F140" s="3" t="s">
        <v>604</v>
      </c>
      <c r="G140" s="3" t="s">
        <v>1253</v>
      </c>
      <c r="H140" s="687">
        <v>340</v>
      </c>
      <c r="I140" t="b">
        <v>0</v>
      </c>
      <c r="J140" s="17" t="s">
        <v>1593</v>
      </c>
      <c r="K140" s="17" t="s">
        <v>1740</v>
      </c>
    </row>
    <row r="141" spans="1:11" x14ac:dyDescent="0.25">
      <c r="A141" s="479">
        <f t="shared" si="5"/>
        <v>140</v>
      </c>
      <c r="B141" s="8">
        <v>20</v>
      </c>
      <c r="C141" s="479" t="str">
        <f t="shared" si="4"/>
        <v>O20</v>
      </c>
      <c r="D141" s="476" t="s">
        <v>1538</v>
      </c>
      <c r="E141" s="3">
        <v>0</v>
      </c>
      <c r="F141" s="53" t="s">
        <v>604</v>
      </c>
      <c r="G141" s="53" t="s">
        <v>1253</v>
      </c>
      <c r="H141" s="687">
        <v>340</v>
      </c>
      <c r="I141" t="b">
        <v>0</v>
      </c>
      <c r="J141" s="17" t="s">
        <v>1593</v>
      </c>
      <c r="K141" s="17" t="s">
        <v>1740</v>
      </c>
    </row>
    <row r="142" spans="1:11" x14ac:dyDescent="0.25">
      <c r="A142" s="479">
        <f t="shared" si="5"/>
        <v>141</v>
      </c>
      <c r="B142" s="8">
        <v>21</v>
      </c>
      <c r="C142" s="479" t="str">
        <f t="shared" si="4"/>
        <v>O21</v>
      </c>
      <c r="D142" s="476" t="s">
        <v>1549</v>
      </c>
      <c r="E142" s="3">
        <v>0</v>
      </c>
      <c r="F142" s="53" t="s">
        <v>604</v>
      </c>
      <c r="G142" s="53" t="s">
        <v>1253</v>
      </c>
      <c r="H142" s="687">
        <v>340</v>
      </c>
      <c r="I142" t="b">
        <v>0</v>
      </c>
      <c r="J142" s="17" t="s">
        <v>1593</v>
      </c>
      <c r="K142" s="17" t="s">
        <v>1740</v>
      </c>
    </row>
    <row r="143" spans="1:11" x14ac:dyDescent="0.25">
      <c r="A143" s="479">
        <f t="shared" si="5"/>
        <v>142</v>
      </c>
      <c r="B143" s="8">
        <v>22</v>
      </c>
      <c r="C143" s="479" t="str">
        <f t="shared" si="4"/>
        <v>O22</v>
      </c>
      <c r="D143" s="476" t="s">
        <v>1550</v>
      </c>
      <c r="E143" s="3">
        <v>0</v>
      </c>
      <c r="F143" s="53" t="s">
        <v>604</v>
      </c>
      <c r="G143" s="53" t="s">
        <v>1253</v>
      </c>
      <c r="H143" s="687">
        <v>340</v>
      </c>
      <c r="I143" t="b">
        <v>0</v>
      </c>
      <c r="J143" s="17" t="s">
        <v>1593</v>
      </c>
      <c r="K143" s="17" t="s">
        <v>1740</v>
      </c>
    </row>
    <row r="144" spans="1:11" x14ac:dyDescent="0.25">
      <c r="A144" s="479">
        <f t="shared" si="5"/>
        <v>143</v>
      </c>
      <c r="B144" s="8">
        <v>23</v>
      </c>
      <c r="C144" s="479" t="str">
        <f t="shared" si="4"/>
        <v>O23</v>
      </c>
      <c r="D144" s="321" t="s">
        <v>1676</v>
      </c>
      <c r="E144" s="3">
        <v>0</v>
      </c>
      <c r="F144" s="3" t="s">
        <v>604</v>
      </c>
      <c r="G144" s="3" t="s">
        <v>1253</v>
      </c>
      <c r="H144" s="687">
        <v>340</v>
      </c>
      <c r="I144" t="b">
        <v>0</v>
      </c>
      <c r="J144" s="17" t="s">
        <v>1593</v>
      </c>
      <c r="K144" s="17" t="s">
        <v>1740</v>
      </c>
    </row>
    <row r="145" spans="1:11" x14ac:dyDescent="0.25">
      <c r="A145" s="479">
        <f t="shared" si="5"/>
        <v>144</v>
      </c>
      <c r="B145" s="8">
        <v>24</v>
      </c>
      <c r="C145" s="479" t="str">
        <f t="shared" si="4"/>
        <v>O24</v>
      </c>
      <c r="D145" s="321" t="s">
        <v>1546</v>
      </c>
      <c r="E145" s="3">
        <v>0</v>
      </c>
      <c r="F145" s="3" t="s">
        <v>604</v>
      </c>
      <c r="G145" s="3" t="s">
        <v>1253</v>
      </c>
      <c r="H145" s="687">
        <v>340</v>
      </c>
      <c r="I145" t="b">
        <v>0</v>
      </c>
      <c r="J145" s="17" t="s">
        <v>1649</v>
      </c>
      <c r="K145" s="17" t="s">
        <v>1747</v>
      </c>
    </row>
    <row r="146" spans="1:11" x14ac:dyDescent="0.25">
      <c r="A146" s="479">
        <f t="shared" si="5"/>
        <v>145</v>
      </c>
      <c r="B146" s="8">
        <v>25</v>
      </c>
      <c r="C146" s="479" t="str">
        <f t="shared" si="4"/>
        <v>O25</v>
      </c>
      <c r="D146" s="476" t="s">
        <v>1545</v>
      </c>
      <c r="E146" s="3">
        <v>0</v>
      </c>
      <c r="F146" s="3" t="s">
        <v>604</v>
      </c>
      <c r="G146" s="3" t="s">
        <v>1253</v>
      </c>
      <c r="H146" s="687">
        <v>340</v>
      </c>
      <c r="I146" t="b">
        <v>0</v>
      </c>
      <c r="J146" s="17" t="s">
        <v>1649</v>
      </c>
      <c r="K146" s="17" t="s">
        <v>1747</v>
      </c>
    </row>
    <row r="147" spans="1:11" x14ac:dyDescent="0.25">
      <c r="A147" s="479">
        <f t="shared" si="5"/>
        <v>146</v>
      </c>
      <c r="B147" s="8">
        <v>26</v>
      </c>
      <c r="C147" s="479" t="str">
        <f t="shared" si="4"/>
        <v>O26</v>
      </c>
      <c r="D147" s="321" t="s">
        <v>1542</v>
      </c>
      <c r="E147" s="3">
        <v>0</v>
      </c>
      <c r="F147" s="3" t="s">
        <v>604</v>
      </c>
      <c r="G147" s="3" t="s">
        <v>1253</v>
      </c>
      <c r="H147" s="687">
        <v>340</v>
      </c>
      <c r="I147" t="b">
        <v>0</v>
      </c>
      <c r="J147" s="17" t="s">
        <v>1623</v>
      </c>
      <c r="K147" s="17" t="s">
        <v>1624</v>
      </c>
    </row>
    <row r="148" spans="1:11" x14ac:dyDescent="0.25">
      <c r="A148" s="479">
        <f t="shared" si="5"/>
        <v>147</v>
      </c>
      <c r="B148" s="8">
        <v>27</v>
      </c>
      <c r="C148" s="479" t="str">
        <f t="shared" si="4"/>
        <v>O27</v>
      </c>
      <c r="D148" s="476" t="s">
        <v>1543</v>
      </c>
      <c r="E148" s="3">
        <v>0</v>
      </c>
      <c r="F148" s="3" t="s">
        <v>604</v>
      </c>
      <c r="G148" s="3" t="s">
        <v>1253</v>
      </c>
      <c r="H148" s="687">
        <v>340</v>
      </c>
      <c r="I148" t="b">
        <v>0</v>
      </c>
      <c r="J148" s="17" t="s">
        <v>1623</v>
      </c>
      <c r="K148" s="17" t="s">
        <v>1748</v>
      </c>
    </row>
    <row r="149" spans="1:11" s="741" customFormat="1" x14ac:dyDescent="0.25">
      <c r="A149" s="479">
        <f t="shared" si="5"/>
        <v>148</v>
      </c>
      <c r="B149" s="8">
        <v>28</v>
      </c>
      <c r="C149" s="479" t="str">
        <f t="shared" si="4"/>
        <v>O28</v>
      </c>
      <c r="D149" s="476" t="s">
        <v>1544</v>
      </c>
      <c r="E149" s="3">
        <v>0</v>
      </c>
      <c r="F149" s="3" t="s">
        <v>604</v>
      </c>
      <c r="G149" s="3" t="s">
        <v>1253</v>
      </c>
      <c r="H149" s="687">
        <v>340</v>
      </c>
      <c r="I149" t="b">
        <v>0</v>
      </c>
      <c r="J149" s="17" t="s">
        <v>1623</v>
      </c>
      <c r="K149" s="17" t="s">
        <v>1748</v>
      </c>
    </row>
    <row r="150" spans="1:11" x14ac:dyDescent="0.25">
      <c r="A150" s="479">
        <f t="shared" si="5"/>
        <v>149</v>
      </c>
      <c r="B150" s="8">
        <v>29</v>
      </c>
      <c r="C150" s="479" t="str">
        <f t="shared" si="4"/>
        <v>O29</v>
      </c>
      <c r="D150" s="9" t="s">
        <v>1789</v>
      </c>
      <c r="E150" s="3">
        <v>0</v>
      </c>
      <c r="F150" s="3" t="s">
        <v>604</v>
      </c>
      <c r="G150" s="3" t="s">
        <v>1253</v>
      </c>
      <c r="H150" s="687">
        <v>340</v>
      </c>
      <c r="I150" t="b">
        <v>0</v>
      </c>
      <c r="J150" s="17" t="s">
        <v>1625</v>
      </c>
      <c r="K150" s="17" t="s">
        <v>1626</v>
      </c>
    </row>
    <row r="151" spans="1:11" x14ac:dyDescent="0.25">
      <c r="A151" s="479">
        <f t="shared" si="5"/>
        <v>150</v>
      </c>
      <c r="B151" s="8">
        <v>30</v>
      </c>
      <c r="C151" s="743" t="str">
        <f>_xlfn.CONCAT("O",B151)</f>
        <v>O30</v>
      </c>
      <c r="D151" s="742" t="s">
        <v>1780</v>
      </c>
      <c r="E151" s="743">
        <v>0</v>
      </c>
      <c r="F151" s="744" t="s">
        <v>604</v>
      </c>
      <c r="G151" s="744" t="s">
        <v>1253</v>
      </c>
      <c r="H151" s="745">
        <v>340</v>
      </c>
      <c r="I151" s="741" t="b">
        <v>0</v>
      </c>
      <c r="J151" s="742" t="s">
        <v>1625</v>
      </c>
      <c r="K151" s="742" t="s">
        <v>1626</v>
      </c>
    </row>
    <row r="152" spans="1:11" x14ac:dyDescent="0.25">
      <c r="A152" s="479">
        <f t="shared" si="5"/>
        <v>151</v>
      </c>
      <c r="B152" s="8">
        <v>31</v>
      </c>
      <c r="C152" s="479" t="str">
        <f t="shared" ref="C152:C153" si="6">_xlfn.CONCAT("O",B152)</f>
        <v>O31</v>
      </c>
      <c r="D152" s="9" t="s">
        <v>217</v>
      </c>
      <c r="E152" s="3">
        <v>0</v>
      </c>
      <c r="F152" s="3" t="s">
        <v>604</v>
      </c>
      <c r="G152" s="3" t="s">
        <v>1253</v>
      </c>
      <c r="H152" s="687">
        <v>340</v>
      </c>
      <c r="I152" t="b">
        <v>0</v>
      </c>
      <c r="J152" s="17" t="s">
        <v>1627</v>
      </c>
      <c r="K152" s="17" t="s">
        <v>1628</v>
      </c>
    </row>
    <row r="153" spans="1:11" x14ac:dyDescent="0.25">
      <c r="A153" s="479">
        <f t="shared" si="5"/>
        <v>152</v>
      </c>
      <c r="B153" s="8">
        <v>32</v>
      </c>
      <c r="C153" s="479" t="str">
        <f t="shared" si="6"/>
        <v>O32</v>
      </c>
      <c r="D153" s="321" t="s">
        <v>1552</v>
      </c>
      <c r="E153" s="3">
        <v>0</v>
      </c>
      <c r="F153" s="3" t="s">
        <v>604</v>
      </c>
      <c r="G153" s="3" t="s">
        <v>1253</v>
      </c>
      <c r="H153" s="687">
        <v>340</v>
      </c>
      <c r="I153" t="b">
        <v>0</v>
      </c>
      <c r="J153" s="17" t="s">
        <v>1623</v>
      </c>
      <c r="K153" s="17" t="s">
        <v>1629</v>
      </c>
    </row>
    <row r="154" spans="1:11" x14ac:dyDescent="0.25">
      <c r="A154" s="479">
        <f t="shared" si="5"/>
        <v>153</v>
      </c>
      <c r="B154" s="8">
        <v>33</v>
      </c>
      <c r="C154" s="479" t="str">
        <f t="shared" si="4"/>
        <v>O33</v>
      </c>
      <c r="D154" s="476" t="s">
        <v>1553</v>
      </c>
      <c r="E154" s="3">
        <v>0</v>
      </c>
      <c r="F154" s="3" t="s">
        <v>604</v>
      </c>
      <c r="G154" s="3" t="s">
        <v>1253</v>
      </c>
      <c r="H154" s="687">
        <v>340</v>
      </c>
      <c r="I154" t="b">
        <v>0</v>
      </c>
      <c r="J154" s="17" t="s">
        <v>1623</v>
      </c>
      <c r="K154" s="17" t="s">
        <v>1629</v>
      </c>
    </row>
    <row r="155" spans="1:11" x14ac:dyDescent="0.25">
      <c r="A155" s="479">
        <f t="shared" si="5"/>
        <v>154</v>
      </c>
      <c r="B155" s="8">
        <v>34</v>
      </c>
      <c r="C155" s="479" t="str">
        <f t="shared" si="4"/>
        <v>O34</v>
      </c>
      <c r="D155" s="476" t="s">
        <v>1551</v>
      </c>
      <c r="E155" s="3">
        <v>75</v>
      </c>
      <c r="F155" s="3" t="s">
        <v>604</v>
      </c>
      <c r="G155" s="3" t="s">
        <v>1253</v>
      </c>
      <c r="H155" s="687">
        <v>75</v>
      </c>
      <c r="I155" t="b">
        <v>0</v>
      </c>
      <c r="J155" s="17" t="s">
        <v>1632</v>
      </c>
      <c r="K155" s="17" t="s">
        <v>1633</v>
      </c>
    </row>
    <row r="156" spans="1:11" x14ac:dyDescent="0.25">
      <c r="A156" s="479">
        <f t="shared" si="5"/>
        <v>155</v>
      </c>
      <c r="B156" s="8">
        <v>35</v>
      </c>
      <c r="C156" s="479" t="str">
        <f t="shared" si="4"/>
        <v>O35</v>
      </c>
      <c r="D156" t="s">
        <v>1251</v>
      </c>
      <c r="E156" s="3">
        <v>80</v>
      </c>
      <c r="F156" s="3" t="s">
        <v>604</v>
      </c>
      <c r="G156" s="3" t="s">
        <v>1253</v>
      </c>
      <c r="H156" s="687">
        <v>75</v>
      </c>
      <c r="I156" t="b">
        <v>0</v>
      </c>
      <c r="J156" s="17" t="s">
        <v>1632</v>
      </c>
      <c r="K156" s="17" t="s">
        <v>1633</v>
      </c>
    </row>
    <row r="157" spans="1:11" x14ac:dyDescent="0.25">
      <c r="A157" s="479">
        <f t="shared" si="5"/>
        <v>156</v>
      </c>
      <c r="B157" s="8">
        <v>36</v>
      </c>
      <c r="C157" s="479" t="str">
        <f t="shared" si="4"/>
        <v>O36</v>
      </c>
      <c r="D157" s="9" t="s">
        <v>218</v>
      </c>
      <c r="E157" s="3">
        <v>80</v>
      </c>
      <c r="F157" s="3" t="s">
        <v>604</v>
      </c>
      <c r="G157" s="3" t="s">
        <v>1253</v>
      </c>
      <c r="H157" s="687">
        <v>75</v>
      </c>
      <c r="I157" t="b">
        <v>0</v>
      </c>
      <c r="J157" s="17" t="s">
        <v>1632</v>
      </c>
      <c r="K157" s="17" t="s">
        <v>1633</v>
      </c>
    </row>
    <row r="158" spans="1:11" x14ac:dyDescent="0.25">
      <c r="A158" s="479">
        <f t="shared" si="5"/>
        <v>157</v>
      </c>
      <c r="B158" s="8">
        <v>37</v>
      </c>
      <c r="C158" s="479" t="str">
        <f t="shared" si="4"/>
        <v>O37</v>
      </c>
      <c r="D158" s="321" t="s">
        <v>1635</v>
      </c>
      <c r="E158" s="3">
        <v>85</v>
      </c>
      <c r="F158" s="3" t="s">
        <v>604</v>
      </c>
      <c r="G158" s="3" t="s">
        <v>1253</v>
      </c>
      <c r="H158" s="687">
        <v>40</v>
      </c>
      <c r="I158" t="b">
        <v>0</v>
      </c>
      <c r="J158" s="17" t="s">
        <v>1636</v>
      </c>
      <c r="K158" s="17" t="s">
        <v>1637</v>
      </c>
    </row>
    <row r="159" spans="1:11" x14ac:dyDescent="0.25">
      <c r="A159" s="479">
        <f t="shared" si="5"/>
        <v>158</v>
      </c>
      <c r="B159" s="8">
        <v>38</v>
      </c>
      <c r="C159" s="479" t="str">
        <f t="shared" si="4"/>
        <v>O38</v>
      </c>
      <c r="D159" s="9" t="s">
        <v>219</v>
      </c>
      <c r="E159" s="3">
        <v>0</v>
      </c>
      <c r="F159" s="3" t="s">
        <v>604</v>
      </c>
      <c r="G159" s="3" t="s">
        <v>1253</v>
      </c>
      <c r="H159" s="687">
        <v>340</v>
      </c>
      <c r="I159" t="b">
        <v>0</v>
      </c>
      <c r="J159" s="17" t="s">
        <v>1638</v>
      </c>
      <c r="K159" s="17" t="s">
        <v>1639</v>
      </c>
    </row>
    <row r="160" spans="1:11" ht="14.25" customHeight="1" x14ac:dyDescent="0.25">
      <c r="A160" s="479">
        <f t="shared" si="5"/>
        <v>159</v>
      </c>
      <c r="B160" s="8">
        <v>39</v>
      </c>
      <c r="C160" s="479" t="str">
        <f t="shared" si="4"/>
        <v>O39</v>
      </c>
      <c r="D160" t="s">
        <v>220</v>
      </c>
      <c r="E160" s="3">
        <v>0</v>
      </c>
      <c r="F160" s="3" t="s">
        <v>604</v>
      </c>
      <c r="G160" s="3" t="s">
        <v>1253</v>
      </c>
      <c r="H160" s="687">
        <v>340</v>
      </c>
      <c r="I160" t="b">
        <v>0</v>
      </c>
      <c r="J160" s="17" t="s">
        <v>1641</v>
      </c>
      <c r="K160" s="28" t="s">
        <v>1642</v>
      </c>
    </row>
    <row r="161" spans="1:11" x14ac:dyDescent="0.25">
      <c r="A161" s="479">
        <f t="shared" si="5"/>
        <v>160</v>
      </c>
      <c r="B161" s="8">
        <v>40</v>
      </c>
      <c r="C161" s="479" t="str">
        <f t="shared" si="4"/>
        <v>O40</v>
      </c>
      <c r="D161" s="9" t="s">
        <v>221</v>
      </c>
      <c r="E161" s="3">
        <v>0</v>
      </c>
      <c r="F161" s="3" t="s">
        <v>604</v>
      </c>
      <c r="G161" s="3" t="s">
        <v>1253</v>
      </c>
      <c r="H161" s="687">
        <v>340</v>
      </c>
      <c r="I161" t="b">
        <v>0</v>
      </c>
      <c r="J161" s="17" t="s">
        <v>1648</v>
      </c>
      <c r="K161" s="17" t="s">
        <v>1647</v>
      </c>
    </row>
    <row r="162" spans="1:11" x14ac:dyDescent="0.25">
      <c r="A162" s="479">
        <f t="shared" si="5"/>
        <v>161</v>
      </c>
      <c r="B162" s="8">
        <v>41</v>
      </c>
      <c r="C162" s="479" t="str">
        <f t="shared" si="4"/>
        <v>O41</v>
      </c>
      <c r="D162" s="9" t="s">
        <v>222</v>
      </c>
      <c r="E162" s="3">
        <v>0</v>
      </c>
      <c r="F162" s="3" t="s">
        <v>604</v>
      </c>
      <c r="G162" s="36" t="s">
        <v>1255</v>
      </c>
      <c r="H162" s="687">
        <v>340</v>
      </c>
      <c r="I162" t="b">
        <v>0</v>
      </c>
      <c r="J162" s="17" t="s">
        <v>1648</v>
      </c>
      <c r="K162" s="17" t="s">
        <v>1647</v>
      </c>
    </row>
    <row r="163" spans="1:11" x14ac:dyDescent="0.25">
      <c r="A163" s="479">
        <f t="shared" si="5"/>
        <v>162</v>
      </c>
      <c r="B163" s="8">
        <v>42</v>
      </c>
      <c r="C163" s="479" t="str">
        <f t="shared" si="4"/>
        <v>O42</v>
      </c>
      <c r="D163" s="476" t="s">
        <v>1554</v>
      </c>
      <c r="E163" s="3">
        <v>0</v>
      </c>
      <c r="F163" s="3" t="s">
        <v>604</v>
      </c>
      <c r="G163" s="36" t="s">
        <v>1255</v>
      </c>
      <c r="H163" s="687">
        <v>340</v>
      </c>
      <c r="I163" t="b">
        <v>0</v>
      </c>
      <c r="J163" s="17" t="s">
        <v>1643</v>
      </c>
      <c r="K163" s="17" t="s">
        <v>1644</v>
      </c>
    </row>
    <row r="164" spans="1:11" x14ac:dyDescent="0.25">
      <c r="A164" s="479">
        <f t="shared" si="5"/>
        <v>163</v>
      </c>
      <c r="B164" s="8">
        <v>43</v>
      </c>
      <c r="C164" s="479" t="str">
        <f t="shared" si="4"/>
        <v>O43</v>
      </c>
      <c r="D164" s="321" t="s">
        <v>1555</v>
      </c>
      <c r="E164" s="3">
        <v>0</v>
      </c>
      <c r="F164" s="3" t="s">
        <v>604</v>
      </c>
      <c r="G164" s="36" t="s">
        <v>1255</v>
      </c>
      <c r="H164" s="687">
        <v>340</v>
      </c>
      <c r="I164" t="b">
        <v>0</v>
      </c>
      <c r="J164" s="17" t="s">
        <v>1643</v>
      </c>
      <c r="K164" s="17" t="s">
        <v>1644</v>
      </c>
    </row>
    <row r="165" spans="1:11" x14ac:dyDescent="0.25">
      <c r="A165" s="479">
        <f t="shared" si="5"/>
        <v>164</v>
      </c>
      <c r="B165" s="8">
        <v>44</v>
      </c>
      <c r="C165" s="479" t="str">
        <f t="shared" si="4"/>
        <v>O44</v>
      </c>
      <c r="D165" s="9" t="s">
        <v>223</v>
      </c>
      <c r="E165" s="3">
        <v>0</v>
      </c>
      <c r="F165" s="3" t="s">
        <v>604</v>
      </c>
      <c r="G165" s="36" t="s">
        <v>1255</v>
      </c>
      <c r="H165" s="687">
        <v>340</v>
      </c>
      <c r="I165" t="b">
        <v>0</v>
      </c>
      <c r="J165" s="17" t="s">
        <v>1649</v>
      </c>
      <c r="K165" s="17" t="s">
        <v>1650</v>
      </c>
    </row>
    <row r="166" spans="1:11" x14ac:dyDescent="0.25">
      <c r="A166" s="479">
        <f t="shared" si="5"/>
        <v>165</v>
      </c>
      <c r="B166" s="8">
        <v>45</v>
      </c>
      <c r="C166" s="479" t="str">
        <f t="shared" si="4"/>
        <v>O45</v>
      </c>
      <c r="D166" t="s">
        <v>224</v>
      </c>
      <c r="E166" s="3">
        <v>0</v>
      </c>
      <c r="F166" s="3" t="s">
        <v>604</v>
      </c>
      <c r="G166" s="3" t="s">
        <v>1253</v>
      </c>
      <c r="H166" s="687">
        <v>340</v>
      </c>
      <c r="I166" t="b">
        <v>0</v>
      </c>
      <c r="J166" s="17" t="s">
        <v>1643</v>
      </c>
      <c r="K166" s="17" t="s">
        <v>1651</v>
      </c>
    </row>
    <row r="167" spans="1:11" x14ac:dyDescent="0.25">
      <c r="A167" s="479">
        <f t="shared" si="5"/>
        <v>166</v>
      </c>
      <c r="B167" s="8">
        <v>46</v>
      </c>
      <c r="C167" s="479" t="str">
        <f t="shared" si="4"/>
        <v>O46</v>
      </c>
      <c r="D167" s="17" t="s">
        <v>1557</v>
      </c>
      <c r="E167" s="3">
        <v>0</v>
      </c>
      <c r="F167" s="3" t="s">
        <v>604</v>
      </c>
      <c r="G167" s="36" t="s">
        <v>1255</v>
      </c>
      <c r="H167" s="687">
        <v>340</v>
      </c>
      <c r="I167" t="b">
        <v>0</v>
      </c>
      <c r="J167" s="17" t="s">
        <v>1653</v>
      </c>
      <c r="K167" s="17" t="s">
        <v>1654</v>
      </c>
    </row>
    <row r="168" spans="1:11" x14ac:dyDescent="0.25">
      <c r="A168" s="479">
        <f t="shared" si="5"/>
        <v>167</v>
      </c>
      <c r="B168" s="8">
        <v>47</v>
      </c>
      <c r="C168" s="479" t="str">
        <f t="shared" si="4"/>
        <v>O47</v>
      </c>
      <c r="D168" s="321" t="s">
        <v>1556</v>
      </c>
      <c r="E168" s="3">
        <v>0</v>
      </c>
      <c r="F168" s="3" t="s">
        <v>604</v>
      </c>
      <c r="G168" s="3" t="s">
        <v>1253</v>
      </c>
      <c r="H168" s="687">
        <v>340</v>
      </c>
      <c r="I168" t="b">
        <v>0</v>
      </c>
      <c r="J168" s="17" t="s">
        <v>1653</v>
      </c>
      <c r="K168" s="17" t="s">
        <v>1654</v>
      </c>
    </row>
    <row r="169" spans="1:11" x14ac:dyDescent="0.25">
      <c r="A169" s="479">
        <f t="shared" si="5"/>
        <v>168</v>
      </c>
      <c r="B169" s="8">
        <v>48</v>
      </c>
      <c r="C169" s="479" t="str">
        <f t="shared" si="4"/>
        <v>O48</v>
      </c>
      <c r="D169" s="9" t="s">
        <v>225</v>
      </c>
      <c r="E169" s="3">
        <v>0</v>
      </c>
      <c r="F169" s="3" t="s">
        <v>1029</v>
      </c>
      <c r="G169" s="3" t="s">
        <v>1253</v>
      </c>
      <c r="H169" s="687">
        <v>340</v>
      </c>
      <c r="I169" t="b">
        <v>0</v>
      </c>
    </row>
    <row r="170" spans="1:11" x14ac:dyDescent="0.25">
      <c r="A170" s="479">
        <f t="shared" si="5"/>
        <v>169</v>
      </c>
      <c r="B170" s="8">
        <v>49</v>
      </c>
      <c r="C170" s="479" t="str">
        <f t="shared" si="4"/>
        <v>O49</v>
      </c>
      <c r="D170" s="9" t="s">
        <v>1066</v>
      </c>
      <c r="E170" s="3">
        <v>50</v>
      </c>
      <c r="F170" s="3" t="s">
        <v>604</v>
      </c>
      <c r="G170" s="3" t="s">
        <v>1253</v>
      </c>
      <c r="H170" s="687">
        <v>70</v>
      </c>
      <c r="I170" t="b">
        <v>0</v>
      </c>
      <c r="J170" s="17" t="s">
        <v>1655</v>
      </c>
      <c r="K170" s="17" t="s">
        <v>1656</v>
      </c>
    </row>
    <row r="171" spans="1:11" x14ac:dyDescent="0.25">
      <c r="A171" s="479">
        <f t="shared" si="5"/>
        <v>170</v>
      </c>
      <c r="B171" s="8">
        <v>50</v>
      </c>
      <c r="C171" s="479" t="str">
        <f t="shared" si="4"/>
        <v>O50</v>
      </c>
      <c r="D171" s="321" t="s">
        <v>1657</v>
      </c>
      <c r="E171" s="3">
        <v>80</v>
      </c>
      <c r="F171" s="3" t="s">
        <v>604</v>
      </c>
      <c r="G171" s="3" t="s">
        <v>1253</v>
      </c>
      <c r="H171" s="687">
        <v>70</v>
      </c>
      <c r="I171" t="b">
        <v>0</v>
      </c>
      <c r="J171" s="17" t="s">
        <v>1655</v>
      </c>
      <c r="K171" s="17" t="s">
        <v>1656</v>
      </c>
    </row>
    <row r="172" spans="1:11" x14ac:dyDescent="0.25">
      <c r="A172" s="479">
        <f t="shared" si="5"/>
        <v>171</v>
      </c>
      <c r="B172" s="8">
        <v>51</v>
      </c>
      <c r="C172" s="479" t="str">
        <f t="shared" si="4"/>
        <v>O51</v>
      </c>
      <c r="D172" s="321" t="s">
        <v>1672</v>
      </c>
      <c r="E172" s="3">
        <v>0</v>
      </c>
      <c r="F172" s="3" t="s">
        <v>604</v>
      </c>
      <c r="G172" s="3" t="s">
        <v>1253</v>
      </c>
      <c r="H172" s="687">
        <v>340</v>
      </c>
      <c r="I172" t="b">
        <v>0</v>
      </c>
      <c r="J172" s="17" t="s">
        <v>1673</v>
      </c>
      <c r="K172" s="17" t="s">
        <v>1674</v>
      </c>
    </row>
    <row r="173" spans="1:11" x14ac:dyDescent="0.25">
      <c r="A173" s="479">
        <f t="shared" si="5"/>
        <v>172</v>
      </c>
      <c r="B173" s="8">
        <v>52</v>
      </c>
      <c r="C173" s="479" t="str">
        <f t="shared" si="4"/>
        <v>O52</v>
      </c>
      <c r="D173" s="476" t="s">
        <v>1671</v>
      </c>
      <c r="E173" s="3">
        <v>0</v>
      </c>
      <c r="F173" s="3" t="s">
        <v>604</v>
      </c>
      <c r="G173" s="3" t="s">
        <v>1253</v>
      </c>
      <c r="H173" s="687">
        <v>340</v>
      </c>
      <c r="I173" t="b">
        <v>0</v>
      </c>
      <c r="J173" s="17" t="s">
        <v>1673</v>
      </c>
      <c r="K173" s="17" t="s">
        <v>1674</v>
      </c>
    </row>
    <row r="174" spans="1:11" x14ac:dyDescent="0.25">
      <c r="A174" s="479">
        <f t="shared" si="5"/>
        <v>173</v>
      </c>
      <c r="B174" s="8">
        <v>53</v>
      </c>
      <c r="C174" s="479" t="str">
        <f t="shared" si="4"/>
        <v>O53</v>
      </c>
      <c r="D174" t="s">
        <v>226</v>
      </c>
      <c r="E174" s="3">
        <v>0</v>
      </c>
      <c r="F174" s="3" t="s">
        <v>604</v>
      </c>
      <c r="G174" s="3" t="s">
        <v>1253</v>
      </c>
      <c r="H174" s="687">
        <v>340</v>
      </c>
      <c r="I174" t="b">
        <v>0</v>
      </c>
      <c r="J174" s="17" t="s">
        <v>1673</v>
      </c>
      <c r="K174" s="17" t="s">
        <v>1674</v>
      </c>
    </row>
    <row r="175" spans="1:11" x14ac:dyDescent="0.25">
      <c r="A175" s="479">
        <f t="shared" si="5"/>
        <v>174</v>
      </c>
      <c r="B175" s="8">
        <v>54</v>
      </c>
      <c r="C175" s="479" t="str">
        <f t="shared" si="4"/>
        <v>O54</v>
      </c>
      <c r="D175" s="9" t="s">
        <v>227</v>
      </c>
      <c r="E175" s="3">
        <v>0</v>
      </c>
      <c r="F175" s="3" t="s">
        <v>604</v>
      </c>
      <c r="G175" s="36" t="s">
        <v>1255</v>
      </c>
      <c r="H175" s="687">
        <v>340</v>
      </c>
      <c r="I175" t="b">
        <v>0</v>
      </c>
      <c r="J175" s="17" t="s">
        <v>1673</v>
      </c>
      <c r="K175" s="17" t="s">
        <v>1674</v>
      </c>
    </row>
    <row r="176" spans="1:11" x14ac:dyDescent="0.25">
      <c r="A176" s="479">
        <f t="shared" si="5"/>
        <v>175</v>
      </c>
      <c r="B176" s="8">
        <v>55</v>
      </c>
      <c r="C176" s="479" t="str">
        <f t="shared" si="4"/>
        <v>O55</v>
      </c>
      <c r="D176" s="9" t="s">
        <v>228</v>
      </c>
      <c r="E176" s="3">
        <v>0</v>
      </c>
      <c r="F176" s="3" t="s">
        <v>604</v>
      </c>
      <c r="G176" s="3" t="s">
        <v>1253</v>
      </c>
      <c r="H176" s="687">
        <v>340</v>
      </c>
      <c r="I176" t="b">
        <v>0</v>
      </c>
      <c r="J176" s="17" t="s">
        <v>1625</v>
      </c>
      <c r="K176" s="17" t="s">
        <v>1659</v>
      </c>
    </row>
    <row r="177" spans="1:11" x14ac:dyDescent="0.25">
      <c r="A177" s="479">
        <f t="shared" si="5"/>
        <v>176</v>
      </c>
      <c r="B177" s="8">
        <v>56</v>
      </c>
      <c r="C177" s="479" t="str">
        <f t="shared" si="4"/>
        <v>O56</v>
      </c>
      <c r="D177" s="17" t="s">
        <v>1558</v>
      </c>
      <c r="E177" s="3">
        <v>0</v>
      </c>
      <c r="F177" s="3" t="s">
        <v>604</v>
      </c>
      <c r="G177" s="3" t="s">
        <v>1253</v>
      </c>
      <c r="H177" s="687">
        <v>340</v>
      </c>
      <c r="I177" t="b">
        <v>0</v>
      </c>
      <c r="J177" s="17" t="s">
        <v>1749</v>
      </c>
      <c r="K177" s="17" t="s">
        <v>1750</v>
      </c>
    </row>
    <row r="178" spans="1:11" x14ac:dyDescent="0.25">
      <c r="A178" s="479">
        <f t="shared" si="5"/>
        <v>177</v>
      </c>
      <c r="B178" s="8">
        <v>57</v>
      </c>
      <c r="C178" s="479" t="str">
        <f t="shared" si="4"/>
        <v>O57</v>
      </c>
      <c r="D178" s="476" t="s">
        <v>1559</v>
      </c>
      <c r="E178" s="3">
        <v>0</v>
      </c>
      <c r="F178" s="53" t="s">
        <v>604</v>
      </c>
      <c r="G178" s="53" t="s">
        <v>1253</v>
      </c>
      <c r="H178" s="687">
        <v>340</v>
      </c>
      <c r="I178" t="b">
        <v>0</v>
      </c>
      <c r="J178" s="17" t="s">
        <v>1749</v>
      </c>
      <c r="K178" s="17" t="s">
        <v>1750</v>
      </c>
    </row>
    <row r="179" spans="1:11" x14ac:dyDescent="0.25">
      <c r="A179" s="479">
        <f t="shared" si="5"/>
        <v>178</v>
      </c>
      <c r="B179" s="8">
        <v>58</v>
      </c>
      <c r="C179" s="479" t="str">
        <f t="shared" si="4"/>
        <v>O58</v>
      </c>
      <c r="D179" s="321" t="s">
        <v>1678</v>
      </c>
      <c r="E179" s="3">
        <v>0</v>
      </c>
      <c r="F179" s="3" t="s">
        <v>604</v>
      </c>
      <c r="G179" s="3" t="s">
        <v>1253</v>
      </c>
      <c r="H179" s="687">
        <v>340</v>
      </c>
      <c r="I179" t="b">
        <v>0</v>
      </c>
      <c r="J179" s="17" t="s">
        <v>1752</v>
      </c>
      <c r="K179" s="17" t="s">
        <v>1748</v>
      </c>
    </row>
    <row r="180" spans="1:11" x14ac:dyDescent="0.25">
      <c r="A180" s="479">
        <f t="shared" si="5"/>
        <v>179</v>
      </c>
      <c r="B180" s="8">
        <v>59</v>
      </c>
      <c r="C180" s="479" t="str">
        <f t="shared" si="4"/>
        <v>O59</v>
      </c>
      <c r="D180" s="476" t="s">
        <v>1679</v>
      </c>
      <c r="E180" s="3">
        <v>0</v>
      </c>
      <c r="F180" s="3" t="s">
        <v>604</v>
      </c>
      <c r="G180" s="3" t="s">
        <v>1253</v>
      </c>
      <c r="H180" s="687">
        <v>340</v>
      </c>
      <c r="I180" t="b">
        <v>0</v>
      </c>
    </row>
    <row r="181" spans="1:11" x14ac:dyDescent="0.25">
      <c r="A181" s="479">
        <f t="shared" si="5"/>
        <v>180</v>
      </c>
      <c r="B181" s="8">
        <v>60</v>
      </c>
      <c r="C181" s="479" t="str">
        <f t="shared" si="4"/>
        <v>O60</v>
      </c>
      <c r="D181" s="9" t="s">
        <v>229</v>
      </c>
      <c r="E181" s="3">
        <v>0</v>
      </c>
      <c r="F181" s="3" t="s">
        <v>604</v>
      </c>
      <c r="G181" s="3" t="s">
        <v>1253</v>
      </c>
      <c r="H181" s="687">
        <v>340</v>
      </c>
      <c r="I181" t="b">
        <v>0</v>
      </c>
      <c r="J181" s="17" t="s">
        <v>1593</v>
      </c>
      <c r="K181" s="17" t="s">
        <v>1660</v>
      </c>
    </row>
    <row r="182" spans="1:11" x14ac:dyDescent="0.25">
      <c r="A182" s="479">
        <f t="shared" si="5"/>
        <v>181</v>
      </c>
      <c r="B182" s="8">
        <v>61</v>
      </c>
      <c r="C182" s="479" t="str">
        <f t="shared" si="4"/>
        <v>O61</v>
      </c>
      <c r="D182" s="9" t="s">
        <v>230</v>
      </c>
      <c r="E182" s="3">
        <v>0</v>
      </c>
      <c r="F182" s="3" t="s">
        <v>604</v>
      </c>
      <c r="G182" s="3" t="s">
        <v>1253</v>
      </c>
      <c r="H182" s="687">
        <v>340</v>
      </c>
      <c r="I182" t="b">
        <v>0</v>
      </c>
      <c r="J182" s="17" t="s">
        <v>1751</v>
      </c>
      <c r="K182" s="17" t="s">
        <v>1747</v>
      </c>
    </row>
    <row r="183" spans="1:11" x14ac:dyDescent="0.25">
      <c r="A183" s="479">
        <f t="shared" si="5"/>
        <v>182</v>
      </c>
      <c r="B183" s="8">
        <v>62</v>
      </c>
      <c r="C183" s="479" t="str">
        <f t="shared" si="4"/>
        <v>O62</v>
      </c>
      <c r="D183" s="476" t="s">
        <v>1560</v>
      </c>
      <c r="E183" s="3">
        <v>0</v>
      </c>
      <c r="F183" s="3" t="s">
        <v>604</v>
      </c>
      <c r="G183" s="3" t="s">
        <v>1253</v>
      </c>
      <c r="H183" s="687">
        <v>340</v>
      </c>
      <c r="I183" t="b">
        <v>0</v>
      </c>
      <c r="J183" s="17" t="s">
        <v>1753</v>
      </c>
      <c r="K183" s="17" t="s">
        <v>1754</v>
      </c>
    </row>
    <row r="184" spans="1:11" x14ac:dyDescent="0.25">
      <c r="A184" s="479">
        <f t="shared" si="5"/>
        <v>183</v>
      </c>
      <c r="B184" s="8">
        <v>63</v>
      </c>
      <c r="C184" s="479" t="str">
        <f t="shared" si="4"/>
        <v>O63</v>
      </c>
      <c r="D184" s="476" t="s">
        <v>1561</v>
      </c>
      <c r="E184" s="3">
        <v>0</v>
      </c>
      <c r="F184" s="3" t="s">
        <v>604</v>
      </c>
      <c r="G184" s="3" t="s">
        <v>1253</v>
      </c>
      <c r="H184" s="687">
        <v>340</v>
      </c>
      <c r="I184" t="b">
        <v>0</v>
      </c>
      <c r="J184" s="17" t="s">
        <v>1753</v>
      </c>
      <c r="K184" s="17" t="s">
        <v>1754</v>
      </c>
    </row>
    <row r="185" spans="1:11" x14ac:dyDescent="0.25">
      <c r="A185" s="479">
        <f t="shared" si="5"/>
        <v>184</v>
      </c>
      <c r="B185" s="8">
        <v>64</v>
      </c>
      <c r="C185" s="479" t="str">
        <f t="shared" si="4"/>
        <v>O64</v>
      </c>
      <c r="D185" s="9" t="s">
        <v>231</v>
      </c>
      <c r="E185" s="3">
        <v>0</v>
      </c>
      <c r="F185" s="3" t="s">
        <v>604</v>
      </c>
      <c r="G185" s="3" t="s">
        <v>1253</v>
      </c>
      <c r="H185" s="687">
        <v>340</v>
      </c>
      <c r="I185" t="b">
        <v>0</v>
      </c>
      <c r="J185" s="17" t="s">
        <v>1625</v>
      </c>
      <c r="K185" s="17" t="s">
        <v>1755</v>
      </c>
    </row>
    <row r="186" spans="1:11" x14ac:dyDescent="0.25">
      <c r="A186" s="479">
        <f t="shared" si="5"/>
        <v>185</v>
      </c>
      <c r="B186" s="8">
        <v>65</v>
      </c>
      <c r="C186" s="479" t="str">
        <f t="shared" si="4"/>
        <v>O65</v>
      </c>
      <c r="D186" s="321" t="s">
        <v>1562</v>
      </c>
      <c r="E186" s="3">
        <v>0</v>
      </c>
      <c r="F186" s="3" t="s">
        <v>604</v>
      </c>
      <c r="G186" s="3" t="s">
        <v>1253</v>
      </c>
      <c r="H186" s="687">
        <v>340</v>
      </c>
      <c r="I186" t="b">
        <v>0</v>
      </c>
      <c r="J186" s="17" t="s">
        <v>1756</v>
      </c>
      <c r="K186" s="17" t="s">
        <v>1757</v>
      </c>
    </row>
    <row r="187" spans="1:11" x14ac:dyDescent="0.25">
      <c r="A187" s="479">
        <f t="shared" si="5"/>
        <v>186</v>
      </c>
      <c r="B187" s="8">
        <v>66</v>
      </c>
      <c r="C187" s="479" t="str">
        <f t="shared" si="4"/>
        <v>O66</v>
      </c>
      <c r="D187" s="321" t="s">
        <v>1563</v>
      </c>
      <c r="E187" s="3">
        <v>0</v>
      </c>
      <c r="F187" s="3" t="s">
        <v>604</v>
      </c>
      <c r="G187" s="3" t="s">
        <v>1253</v>
      </c>
      <c r="H187" s="687">
        <v>340</v>
      </c>
      <c r="I187" t="b">
        <v>0</v>
      </c>
      <c r="J187" s="17" t="s">
        <v>1756</v>
      </c>
      <c r="K187" s="17" t="s">
        <v>1757</v>
      </c>
    </row>
    <row r="188" spans="1:11" x14ac:dyDescent="0.25">
      <c r="A188" s="479">
        <f t="shared" si="5"/>
        <v>187</v>
      </c>
      <c r="B188" s="8">
        <v>67</v>
      </c>
      <c r="C188" s="479" t="str">
        <f t="shared" si="4"/>
        <v>O67</v>
      </c>
      <c r="D188" s="321" t="s">
        <v>1565</v>
      </c>
      <c r="E188" s="3">
        <v>0</v>
      </c>
      <c r="F188" s="3" t="s">
        <v>604</v>
      </c>
      <c r="G188" s="3" t="s">
        <v>1253</v>
      </c>
      <c r="H188" s="687">
        <v>340</v>
      </c>
      <c r="I188" t="b">
        <v>0</v>
      </c>
      <c r="J188" s="17" t="s">
        <v>1758</v>
      </c>
      <c r="K188" s="17" t="s">
        <v>1740</v>
      </c>
    </row>
    <row r="189" spans="1:11" x14ac:dyDescent="0.25">
      <c r="A189" s="479">
        <f t="shared" si="5"/>
        <v>188</v>
      </c>
      <c r="B189" s="8">
        <v>68</v>
      </c>
      <c r="C189" s="479" t="str">
        <f t="shared" ref="C189:C197" si="7">_xlfn.CONCAT("O",B189)</f>
        <v>O68</v>
      </c>
      <c r="D189" s="321" t="s">
        <v>1564</v>
      </c>
      <c r="E189" s="3">
        <v>0</v>
      </c>
      <c r="F189" s="3" t="s">
        <v>604</v>
      </c>
      <c r="G189" s="3" t="s">
        <v>1253</v>
      </c>
      <c r="H189" s="687">
        <v>340</v>
      </c>
      <c r="I189" t="b">
        <v>0</v>
      </c>
      <c r="J189" s="17" t="s">
        <v>1758</v>
      </c>
      <c r="K189" s="17" t="s">
        <v>1740</v>
      </c>
    </row>
    <row r="190" spans="1:11" x14ac:dyDescent="0.25">
      <c r="A190" s="479">
        <f t="shared" si="5"/>
        <v>189</v>
      </c>
      <c r="B190" s="8">
        <v>69</v>
      </c>
      <c r="C190" s="479" t="str">
        <f t="shared" si="7"/>
        <v>O69</v>
      </c>
      <c r="D190" s="321" t="s">
        <v>1680</v>
      </c>
      <c r="E190" s="3">
        <v>0</v>
      </c>
      <c r="F190" s="3" t="s">
        <v>604</v>
      </c>
      <c r="G190" s="3" t="s">
        <v>1253</v>
      </c>
      <c r="H190" s="687">
        <v>340</v>
      </c>
      <c r="I190" t="b">
        <v>0</v>
      </c>
      <c r="J190" s="17" t="s">
        <v>1593</v>
      </c>
      <c r="K190" s="17" t="s">
        <v>1746</v>
      </c>
    </row>
    <row r="191" spans="1:11" x14ac:dyDescent="0.25">
      <c r="A191" s="479">
        <f t="shared" si="5"/>
        <v>190</v>
      </c>
      <c r="B191" s="8">
        <v>70</v>
      </c>
      <c r="C191" s="479" t="str">
        <f t="shared" si="7"/>
        <v>O70</v>
      </c>
      <c r="D191" s="476" t="s">
        <v>1681</v>
      </c>
      <c r="E191" s="3">
        <v>0</v>
      </c>
      <c r="F191" s="53" t="s">
        <v>604</v>
      </c>
      <c r="G191" s="3" t="s">
        <v>1253</v>
      </c>
      <c r="H191" s="687">
        <v>340</v>
      </c>
      <c r="I191" t="b">
        <v>0</v>
      </c>
      <c r="J191" s="17" t="s">
        <v>1593</v>
      </c>
      <c r="K191" s="17" t="s">
        <v>1746</v>
      </c>
    </row>
    <row r="192" spans="1:11" x14ac:dyDescent="0.25">
      <c r="A192" s="479">
        <f t="shared" si="5"/>
        <v>191</v>
      </c>
      <c r="B192" s="8">
        <v>71</v>
      </c>
      <c r="C192" s="479" t="str">
        <f t="shared" si="7"/>
        <v>O71</v>
      </c>
      <c r="D192" s="9" t="s">
        <v>232</v>
      </c>
      <c r="E192" s="3">
        <v>0</v>
      </c>
      <c r="F192" s="3" t="s">
        <v>604</v>
      </c>
      <c r="G192" s="3" t="s">
        <v>1253</v>
      </c>
      <c r="H192" s="687">
        <v>340</v>
      </c>
      <c r="I192" t="b">
        <v>0</v>
      </c>
      <c r="J192" s="17" t="s">
        <v>1593</v>
      </c>
      <c r="K192" s="17" t="s">
        <v>1746</v>
      </c>
    </row>
    <row r="193" spans="1:11" x14ac:dyDescent="0.25">
      <c r="A193" s="479">
        <f t="shared" si="5"/>
        <v>192</v>
      </c>
      <c r="B193" s="8">
        <v>72</v>
      </c>
      <c r="C193" s="479" t="str">
        <f t="shared" si="7"/>
        <v>O72</v>
      </c>
      <c r="D193" s="9" t="s">
        <v>233</v>
      </c>
      <c r="E193" s="3">
        <v>0</v>
      </c>
      <c r="F193" s="3" t="s">
        <v>604</v>
      </c>
      <c r="G193" s="3" t="s">
        <v>1253</v>
      </c>
      <c r="H193" s="687">
        <v>340</v>
      </c>
      <c r="I193" t="b">
        <v>0</v>
      </c>
      <c r="J193" s="17" t="s">
        <v>1759</v>
      </c>
      <c r="K193" s="17" t="s">
        <v>1760</v>
      </c>
    </row>
    <row r="194" spans="1:11" x14ac:dyDescent="0.25">
      <c r="A194" s="479">
        <f t="shared" si="5"/>
        <v>193</v>
      </c>
      <c r="B194" s="8">
        <v>73</v>
      </c>
      <c r="C194" s="479" t="str">
        <f t="shared" si="7"/>
        <v>O73</v>
      </c>
      <c r="D194" s="321" t="s">
        <v>1566</v>
      </c>
      <c r="E194" s="3">
        <v>0</v>
      </c>
      <c r="F194" s="3" t="s">
        <v>604</v>
      </c>
      <c r="G194" s="3" t="s">
        <v>1253</v>
      </c>
      <c r="H194" s="687">
        <v>340</v>
      </c>
      <c r="I194" t="b">
        <v>0</v>
      </c>
      <c r="J194" s="17" t="s">
        <v>1759</v>
      </c>
      <c r="K194" s="17" t="s">
        <v>1761</v>
      </c>
    </row>
    <row r="195" spans="1:11" x14ac:dyDescent="0.25">
      <c r="A195" s="479">
        <f t="shared" si="5"/>
        <v>194</v>
      </c>
      <c r="B195" s="8">
        <v>74</v>
      </c>
      <c r="C195" s="479" t="str">
        <f t="shared" si="7"/>
        <v>O74</v>
      </c>
      <c r="D195" s="476" t="s">
        <v>1567</v>
      </c>
      <c r="E195" s="3">
        <v>0</v>
      </c>
      <c r="F195" s="3" t="s">
        <v>604</v>
      </c>
      <c r="G195" s="3" t="s">
        <v>1253</v>
      </c>
      <c r="H195" s="687">
        <v>340</v>
      </c>
      <c r="I195" t="b">
        <v>0</v>
      </c>
      <c r="J195" s="17" t="s">
        <v>1759</v>
      </c>
      <c r="K195" s="17" t="s">
        <v>1761</v>
      </c>
    </row>
    <row r="196" spans="1:11" x14ac:dyDescent="0.25">
      <c r="A196" s="479">
        <f t="shared" si="5"/>
        <v>195</v>
      </c>
      <c r="B196" s="8">
        <v>75</v>
      </c>
      <c r="C196" s="479" t="str">
        <f t="shared" si="7"/>
        <v>O75</v>
      </c>
      <c r="D196" s="321" t="s">
        <v>1675</v>
      </c>
      <c r="E196" s="3">
        <v>0</v>
      </c>
      <c r="F196" s="3" t="s">
        <v>604</v>
      </c>
      <c r="G196" s="36" t="s">
        <v>1255</v>
      </c>
      <c r="H196" s="687">
        <v>340</v>
      </c>
      <c r="I196" t="b">
        <v>0</v>
      </c>
      <c r="J196" s="17" t="s">
        <v>1759</v>
      </c>
      <c r="K196" s="17" t="s">
        <v>1761</v>
      </c>
    </row>
    <row r="197" spans="1:11" x14ac:dyDescent="0.25">
      <c r="A197" s="479">
        <f t="shared" si="5"/>
        <v>196</v>
      </c>
      <c r="B197" s="8">
        <v>76</v>
      </c>
      <c r="C197" s="479" t="str">
        <f t="shared" si="7"/>
        <v>O76</v>
      </c>
      <c r="D197" s="476" t="s">
        <v>1568</v>
      </c>
      <c r="E197" s="3">
        <v>0</v>
      </c>
      <c r="F197" s="53" t="s">
        <v>604</v>
      </c>
      <c r="G197" s="53" t="s">
        <v>1255</v>
      </c>
      <c r="H197" s="687">
        <v>340</v>
      </c>
      <c r="I197" t="b">
        <v>0</v>
      </c>
      <c r="J197" s="17" t="s">
        <v>1759</v>
      </c>
      <c r="K197" s="17" t="s">
        <v>1761</v>
      </c>
    </row>
    <row r="198" spans="1:11" x14ac:dyDescent="0.25">
      <c r="A198" s="479">
        <f t="shared" si="5"/>
        <v>197</v>
      </c>
      <c r="B198" s="8">
        <v>1</v>
      </c>
      <c r="C198" s="11" t="s">
        <v>624</v>
      </c>
      <c r="D198" s="9" t="s">
        <v>995</v>
      </c>
      <c r="E198" s="3">
        <v>0</v>
      </c>
      <c r="F198" s="3" t="s">
        <v>604</v>
      </c>
      <c r="G198" s="3" t="s">
        <v>1253</v>
      </c>
      <c r="H198" s="687">
        <v>340</v>
      </c>
      <c r="I198" t="b">
        <v>0</v>
      </c>
    </row>
    <row r="199" spans="1:11" x14ac:dyDescent="0.25">
      <c r="A199" s="479">
        <f t="shared" si="5"/>
        <v>198</v>
      </c>
      <c r="B199" s="8">
        <v>2</v>
      </c>
      <c r="C199" s="11" t="s">
        <v>987</v>
      </c>
      <c r="D199" s="9" t="s">
        <v>998</v>
      </c>
      <c r="E199" s="3">
        <v>0</v>
      </c>
      <c r="F199" s="3" t="s">
        <v>604</v>
      </c>
      <c r="G199" s="3" t="s">
        <v>1253</v>
      </c>
      <c r="H199" s="687">
        <v>340</v>
      </c>
      <c r="I199" t="b">
        <v>0</v>
      </c>
    </row>
    <row r="200" spans="1:11" x14ac:dyDescent="0.25">
      <c r="A200" s="479">
        <f t="shared" ref="A200:A235" si="8">(A199+1)</f>
        <v>199</v>
      </c>
      <c r="B200" s="8">
        <v>3</v>
      </c>
      <c r="C200" s="11" t="s">
        <v>988</v>
      </c>
      <c r="D200" s="9" t="s">
        <v>999</v>
      </c>
      <c r="E200" s="3">
        <v>0</v>
      </c>
      <c r="F200" s="3" t="s">
        <v>604</v>
      </c>
      <c r="G200" s="3" t="s">
        <v>1253</v>
      </c>
      <c r="H200" s="687">
        <v>340</v>
      </c>
      <c r="I200" t="b">
        <v>0</v>
      </c>
    </row>
    <row r="201" spans="1:11" x14ac:dyDescent="0.25">
      <c r="A201" s="479">
        <f t="shared" si="8"/>
        <v>200</v>
      </c>
      <c r="B201" s="8">
        <v>4</v>
      </c>
      <c r="C201" s="11" t="s">
        <v>989</v>
      </c>
      <c r="D201" s="9" t="s">
        <v>646</v>
      </c>
      <c r="E201" s="3">
        <v>0</v>
      </c>
      <c r="F201" s="3" t="s">
        <v>604</v>
      </c>
      <c r="G201" s="3" t="s">
        <v>1253</v>
      </c>
      <c r="H201" s="687">
        <v>340</v>
      </c>
      <c r="I201" t="b">
        <v>0</v>
      </c>
    </row>
    <row r="202" spans="1:11" x14ac:dyDescent="0.25">
      <c r="A202" s="479">
        <f t="shared" si="8"/>
        <v>201</v>
      </c>
      <c r="B202" s="8">
        <v>5</v>
      </c>
      <c r="C202" s="11" t="s">
        <v>990</v>
      </c>
      <c r="D202" s="9" t="s">
        <v>1006</v>
      </c>
      <c r="E202" s="3">
        <v>0</v>
      </c>
      <c r="F202" s="3" t="s">
        <v>604</v>
      </c>
      <c r="G202" s="3" t="s">
        <v>1253</v>
      </c>
      <c r="H202" s="687">
        <v>340</v>
      </c>
      <c r="I202" t="b">
        <v>0</v>
      </c>
    </row>
    <row r="203" spans="1:11" x14ac:dyDescent="0.25">
      <c r="A203" s="479">
        <f t="shared" si="8"/>
        <v>202</v>
      </c>
      <c r="B203" s="8">
        <v>6</v>
      </c>
      <c r="C203" s="11" t="s">
        <v>996</v>
      </c>
      <c r="D203" s="9" t="s">
        <v>1008</v>
      </c>
      <c r="E203" s="3">
        <v>0</v>
      </c>
      <c r="F203" s="3" t="s">
        <v>604</v>
      </c>
      <c r="G203" s="3" t="s">
        <v>1253</v>
      </c>
      <c r="H203" s="687">
        <v>340</v>
      </c>
      <c r="I203" t="b">
        <v>0</v>
      </c>
    </row>
    <row r="204" spans="1:11" x14ac:dyDescent="0.25">
      <c r="A204" s="479">
        <f t="shared" si="8"/>
        <v>203</v>
      </c>
      <c r="B204" s="8">
        <v>7</v>
      </c>
      <c r="C204" s="11" t="s">
        <v>997</v>
      </c>
      <c r="D204" s="9" t="s">
        <v>991</v>
      </c>
      <c r="E204" s="3">
        <v>0</v>
      </c>
      <c r="F204" s="3" t="s">
        <v>604</v>
      </c>
      <c r="G204" s="3" t="s">
        <v>1253</v>
      </c>
      <c r="H204" s="687">
        <v>340</v>
      </c>
      <c r="I204" t="b">
        <v>0</v>
      </c>
    </row>
    <row r="205" spans="1:11" x14ac:dyDescent="0.25">
      <c r="A205" s="479">
        <f t="shared" si="8"/>
        <v>204</v>
      </c>
      <c r="B205" s="8">
        <v>8</v>
      </c>
      <c r="C205" s="11" t="s">
        <v>1001</v>
      </c>
      <c r="D205" s="9" t="s">
        <v>992</v>
      </c>
      <c r="E205" s="3">
        <v>0</v>
      </c>
      <c r="F205" s="3" t="s">
        <v>604</v>
      </c>
      <c r="G205" s="3" t="s">
        <v>1253</v>
      </c>
      <c r="H205" s="687">
        <v>340</v>
      </c>
      <c r="I205" t="b">
        <v>0</v>
      </c>
    </row>
    <row r="206" spans="1:11" x14ac:dyDescent="0.25">
      <c r="A206" s="479">
        <f t="shared" si="8"/>
        <v>205</v>
      </c>
      <c r="B206" s="8">
        <v>9</v>
      </c>
      <c r="C206" s="11" t="s">
        <v>1002</v>
      </c>
      <c r="D206" s="9" t="s">
        <v>1091</v>
      </c>
      <c r="E206" s="3">
        <v>0</v>
      </c>
      <c r="F206" s="3" t="s">
        <v>604</v>
      </c>
      <c r="G206" s="3" t="s">
        <v>1253</v>
      </c>
      <c r="H206" s="687">
        <v>340</v>
      </c>
      <c r="I206" t="b">
        <v>0</v>
      </c>
      <c r="J206" t="s">
        <v>1763</v>
      </c>
      <c r="K206" t="s">
        <v>1656</v>
      </c>
    </row>
    <row r="207" spans="1:11" x14ac:dyDescent="0.25">
      <c r="A207" s="479">
        <f t="shared" si="8"/>
        <v>206</v>
      </c>
      <c r="B207" s="8">
        <v>10</v>
      </c>
      <c r="C207" s="11" t="s">
        <v>1003</v>
      </c>
      <c r="D207" s="9" t="s">
        <v>1010</v>
      </c>
      <c r="E207" s="3">
        <v>100</v>
      </c>
      <c r="F207" s="3" t="s">
        <v>1029</v>
      </c>
      <c r="G207" s="3" t="s">
        <v>1253</v>
      </c>
      <c r="H207" s="687">
        <v>340</v>
      </c>
      <c r="I207" t="b">
        <v>0</v>
      </c>
      <c r="J207" t="s">
        <v>1764</v>
      </c>
      <c r="K207" t="s">
        <v>1647</v>
      </c>
    </row>
    <row r="208" spans="1:11" x14ac:dyDescent="0.25">
      <c r="A208" s="479">
        <f t="shared" si="8"/>
        <v>207</v>
      </c>
      <c r="B208" s="8">
        <v>11</v>
      </c>
      <c r="C208" s="11" t="s">
        <v>1004</v>
      </c>
      <c r="D208" s="9" t="s">
        <v>1012</v>
      </c>
      <c r="E208" s="3">
        <v>0</v>
      </c>
      <c r="F208" s="3" t="s">
        <v>604</v>
      </c>
      <c r="G208" s="3" t="s">
        <v>1253</v>
      </c>
      <c r="H208" s="687">
        <v>340</v>
      </c>
      <c r="I208" t="b">
        <v>0</v>
      </c>
      <c r="J208" s="17" t="s">
        <v>1638</v>
      </c>
      <c r="K208" s="17" t="s">
        <v>1639</v>
      </c>
    </row>
    <row r="209" spans="1:11" x14ac:dyDescent="0.25">
      <c r="A209" s="479">
        <f t="shared" si="8"/>
        <v>208</v>
      </c>
      <c r="B209" s="8">
        <v>12</v>
      </c>
      <c r="C209" s="11" t="s">
        <v>1005</v>
      </c>
      <c r="D209" s="321" t="s">
        <v>1682</v>
      </c>
      <c r="E209" s="3">
        <v>0</v>
      </c>
      <c r="F209" s="3" t="s">
        <v>604</v>
      </c>
      <c r="G209" s="3" t="s">
        <v>1253</v>
      </c>
      <c r="H209" s="687">
        <v>340</v>
      </c>
      <c r="I209" t="b">
        <v>0</v>
      </c>
      <c r="J209" s="17" t="s">
        <v>1717</v>
      </c>
      <c r="K209" s="17" t="s">
        <v>1722</v>
      </c>
    </row>
    <row r="210" spans="1:11" x14ac:dyDescent="0.25">
      <c r="A210" s="479">
        <f t="shared" si="8"/>
        <v>209</v>
      </c>
      <c r="B210" s="8">
        <v>13</v>
      </c>
      <c r="C210" s="11" t="s">
        <v>1007</v>
      </c>
      <c r="D210" s="321" t="s">
        <v>1683</v>
      </c>
      <c r="E210" s="3">
        <v>0</v>
      </c>
      <c r="F210" s="3" t="s">
        <v>604</v>
      </c>
      <c r="G210" s="3" t="s">
        <v>1253</v>
      </c>
      <c r="H210" s="687">
        <v>340</v>
      </c>
      <c r="I210" t="b">
        <v>0</v>
      </c>
      <c r="J210" s="17" t="s">
        <v>1717</v>
      </c>
      <c r="K210" s="17" t="s">
        <v>1723</v>
      </c>
    </row>
    <row r="211" spans="1:11" x14ac:dyDescent="0.25">
      <c r="A211" s="479">
        <f t="shared" si="8"/>
        <v>210</v>
      </c>
      <c r="B211" s="8">
        <v>14</v>
      </c>
      <c r="C211" s="11" t="s">
        <v>1009</v>
      </c>
      <c r="D211" s="321" t="s">
        <v>1684</v>
      </c>
      <c r="E211" s="3">
        <v>0</v>
      </c>
      <c r="F211" s="3" t="s">
        <v>604</v>
      </c>
      <c r="G211" s="3" t="s">
        <v>1253</v>
      </c>
      <c r="H211" s="687">
        <v>340</v>
      </c>
      <c r="I211" t="b">
        <v>0</v>
      </c>
      <c r="J211" s="17" t="s">
        <v>1720</v>
      </c>
      <c r="K211" s="17" t="s">
        <v>1721</v>
      </c>
    </row>
    <row r="212" spans="1:11" x14ac:dyDescent="0.25">
      <c r="A212" s="479">
        <f t="shared" si="8"/>
        <v>211</v>
      </c>
      <c r="B212" s="8">
        <v>15</v>
      </c>
      <c r="C212" s="11" t="s">
        <v>1011</v>
      </c>
      <c r="D212" s="9" t="s">
        <v>1013</v>
      </c>
      <c r="E212" s="3">
        <v>0</v>
      </c>
      <c r="F212" s="3" t="s">
        <v>604</v>
      </c>
      <c r="G212" s="3" t="s">
        <v>1253</v>
      </c>
      <c r="H212" s="687">
        <v>340</v>
      </c>
      <c r="I212" t="b">
        <v>0</v>
      </c>
      <c r="J212" s="17" t="s">
        <v>1648</v>
      </c>
      <c r="K212" s="17" t="s">
        <v>1647</v>
      </c>
    </row>
    <row r="213" spans="1:11" x14ac:dyDescent="0.25">
      <c r="A213" s="479">
        <f t="shared" si="8"/>
        <v>212</v>
      </c>
      <c r="B213" s="8">
        <v>16</v>
      </c>
      <c r="C213" s="11" t="s">
        <v>1015</v>
      </c>
      <c r="D213" s="321" t="s">
        <v>1687</v>
      </c>
      <c r="E213" s="3">
        <v>0</v>
      </c>
      <c r="F213" s="3" t="s">
        <v>604</v>
      </c>
      <c r="G213" s="3" t="s">
        <v>1253</v>
      </c>
      <c r="H213" s="687">
        <v>340</v>
      </c>
      <c r="I213" t="b">
        <v>0</v>
      </c>
      <c r="J213" s="17" t="s">
        <v>1726</v>
      </c>
      <c r="K213" s="17" t="s">
        <v>1639</v>
      </c>
    </row>
    <row r="214" spans="1:11" x14ac:dyDescent="0.25">
      <c r="A214" s="479">
        <f t="shared" si="8"/>
        <v>213</v>
      </c>
      <c r="B214" s="8">
        <v>17</v>
      </c>
      <c r="C214" s="11" t="s">
        <v>1016</v>
      </c>
      <c r="D214" s="321" t="s">
        <v>1688</v>
      </c>
      <c r="E214" s="3">
        <v>0</v>
      </c>
      <c r="F214" s="3" t="s">
        <v>604</v>
      </c>
      <c r="G214" s="3" t="s">
        <v>1253</v>
      </c>
      <c r="H214" s="687">
        <v>80</v>
      </c>
      <c r="I214" t="b">
        <v>0</v>
      </c>
      <c r="J214" s="17" t="s">
        <v>1655</v>
      </c>
      <c r="K214" s="17" t="s">
        <v>1656</v>
      </c>
    </row>
    <row r="215" spans="1:11" x14ac:dyDescent="0.25">
      <c r="A215" s="479">
        <f t="shared" si="8"/>
        <v>214</v>
      </c>
      <c r="B215" s="8">
        <v>18</v>
      </c>
      <c r="C215" s="11" t="s">
        <v>1017</v>
      </c>
      <c r="D215" s="9" t="s">
        <v>1018</v>
      </c>
      <c r="E215" s="3">
        <v>0</v>
      </c>
      <c r="F215" s="3" t="s">
        <v>604</v>
      </c>
      <c r="G215" s="3" t="s">
        <v>1253</v>
      </c>
      <c r="H215" s="687">
        <v>340</v>
      </c>
      <c r="I215" t="b">
        <v>0</v>
      </c>
      <c r="J215" s="17" t="s">
        <v>1749</v>
      </c>
      <c r="K215" s="17" t="s">
        <v>1750</v>
      </c>
    </row>
    <row r="216" spans="1:11" x14ac:dyDescent="0.25">
      <c r="A216" s="479">
        <f t="shared" si="8"/>
        <v>215</v>
      </c>
      <c r="B216" s="8">
        <v>19</v>
      </c>
      <c r="C216" s="11" t="s">
        <v>1079</v>
      </c>
      <c r="D216" s="9" t="s">
        <v>1019</v>
      </c>
      <c r="E216" s="3">
        <v>0</v>
      </c>
      <c r="F216" s="3" t="s">
        <v>604</v>
      </c>
      <c r="G216" s="3" t="s">
        <v>1253</v>
      </c>
      <c r="H216" s="687">
        <v>340</v>
      </c>
      <c r="I216" t="b">
        <v>0</v>
      </c>
      <c r="J216" s="17" t="s">
        <v>1751</v>
      </c>
      <c r="K216" s="17" t="s">
        <v>1747</v>
      </c>
    </row>
    <row r="217" spans="1:11" x14ac:dyDescent="0.25">
      <c r="A217" s="479">
        <f t="shared" si="8"/>
        <v>216</v>
      </c>
      <c r="B217" s="8">
        <v>20</v>
      </c>
      <c r="C217" s="710" t="s">
        <v>1092</v>
      </c>
      <c r="D217" s="321" t="s">
        <v>1766</v>
      </c>
      <c r="E217" s="3">
        <v>0</v>
      </c>
      <c r="F217" s="3" t="s">
        <v>604</v>
      </c>
      <c r="G217" s="3" t="s">
        <v>1253</v>
      </c>
      <c r="H217" s="687">
        <v>340</v>
      </c>
      <c r="I217" t="b">
        <v>0</v>
      </c>
      <c r="J217" s="17" t="s">
        <v>1728</v>
      </c>
      <c r="K217" s="17" t="s">
        <v>1729</v>
      </c>
    </row>
    <row r="218" spans="1:11" x14ac:dyDescent="0.25">
      <c r="A218" s="479">
        <f t="shared" si="8"/>
        <v>217</v>
      </c>
      <c r="B218" s="8">
        <v>21</v>
      </c>
      <c r="C218" s="710" t="s">
        <v>1765</v>
      </c>
      <c r="D218" s="321" t="s">
        <v>1689</v>
      </c>
      <c r="E218" s="3">
        <v>0</v>
      </c>
      <c r="F218" s="3" t="s">
        <v>604</v>
      </c>
      <c r="G218" s="3" t="s">
        <v>1253</v>
      </c>
      <c r="H218" s="687">
        <v>0</v>
      </c>
      <c r="I218" t="b">
        <v>0</v>
      </c>
      <c r="J218" s="17" t="s">
        <v>1602</v>
      </c>
      <c r="K218" s="17" t="s">
        <v>303</v>
      </c>
    </row>
    <row r="219" spans="1:11" x14ac:dyDescent="0.25">
      <c r="A219" s="479">
        <f t="shared" si="8"/>
        <v>218</v>
      </c>
      <c r="B219" s="8">
        <v>22</v>
      </c>
      <c r="C219" s="710" t="s">
        <v>1768</v>
      </c>
      <c r="D219" s="321" t="s">
        <v>1769</v>
      </c>
      <c r="E219" s="3">
        <v>0</v>
      </c>
      <c r="F219" s="3" t="s">
        <v>604</v>
      </c>
      <c r="G219" s="3" t="s">
        <v>1253</v>
      </c>
      <c r="H219" s="687">
        <v>340</v>
      </c>
      <c r="I219" t="b">
        <v>1</v>
      </c>
      <c r="J219" s="17" t="s">
        <v>1730</v>
      </c>
      <c r="K219" s="17"/>
    </row>
    <row r="220" spans="1:11" x14ac:dyDescent="0.25">
      <c r="A220" s="479">
        <f t="shared" si="8"/>
        <v>219</v>
      </c>
      <c r="B220" s="8">
        <v>23</v>
      </c>
      <c r="C220" s="710" t="s">
        <v>1794</v>
      </c>
      <c r="D220" s="321" t="s">
        <v>1793</v>
      </c>
      <c r="E220" s="3">
        <v>50</v>
      </c>
      <c r="F220" s="3" t="s">
        <v>1029</v>
      </c>
      <c r="G220" s="3" t="s">
        <v>1253</v>
      </c>
      <c r="H220" s="687">
        <v>340</v>
      </c>
      <c r="I220" t="b">
        <v>0</v>
      </c>
      <c r="J220" s="17"/>
      <c r="K220" s="17"/>
    </row>
    <row r="221" spans="1:11" x14ac:dyDescent="0.25">
      <c r="A221" s="479">
        <f t="shared" si="8"/>
        <v>220</v>
      </c>
      <c r="B221" s="8">
        <v>1</v>
      </c>
      <c r="C221" s="11" t="s">
        <v>1093</v>
      </c>
      <c r="D221" s="9" t="s">
        <v>1241</v>
      </c>
      <c r="E221" s="3">
        <v>0</v>
      </c>
      <c r="F221" s="3" t="s">
        <v>602</v>
      </c>
      <c r="G221" s="3" t="s">
        <v>1253</v>
      </c>
      <c r="H221" s="687">
        <v>340</v>
      </c>
      <c r="I221" t="b">
        <v>0</v>
      </c>
      <c r="J221" s="17" t="s">
        <v>1714</v>
      </c>
      <c r="K221" s="17" t="s">
        <v>1735</v>
      </c>
    </row>
    <row r="222" spans="1:11" x14ac:dyDescent="0.25">
      <c r="A222" s="479">
        <f t="shared" si="8"/>
        <v>221</v>
      </c>
      <c r="B222" s="8">
        <v>2</v>
      </c>
      <c r="C222" s="11" t="s">
        <v>1094</v>
      </c>
      <c r="D222" s="9" t="s">
        <v>1241</v>
      </c>
      <c r="E222" s="3">
        <v>0</v>
      </c>
      <c r="F222" s="3" t="s">
        <v>602</v>
      </c>
      <c r="G222" s="3" t="s">
        <v>1253</v>
      </c>
      <c r="H222" s="687">
        <v>340</v>
      </c>
      <c r="I222" t="b">
        <v>0</v>
      </c>
      <c r="J222" s="17" t="s">
        <v>1714</v>
      </c>
      <c r="K222" s="17" t="s">
        <v>1735</v>
      </c>
    </row>
    <row r="223" spans="1:11" x14ac:dyDescent="0.25">
      <c r="A223" s="479">
        <f t="shared" si="8"/>
        <v>222</v>
      </c>
      <c r="B223" s="8">
        <v>3</v>
      </c>
      <c r="C223" s="11" t="s">
        <v>1095</v>
      </c>
      <c r="D223" s="9" t="s">
        <v>1242</v>
      </c>
      <c r="E223" s="3">
        <v>0</v>
      </c>
      <c r="F223" s="3" t="s">
        <v>602</v>
      </c>
      <c r="G223" s="36" t="s">
        <v>1255</v>
      </c>
      <c r="H223" s="687">
        <v>340</v>
      </c>
      <c r="I223" t="b">
        <v>0</v>
      </c>
      <c r="J223" s="17" t="s">
        <v>1623</v>
      </c>
      <c r="K223" s="17" t="s">
        <v>1748</v>
      </c>
    </row>
    <row r="224" spans="1:11" x14ac:dyDescent="0.25">
      <c r="A224" s="479">
        <f t="shared" si="8"/>
        <v>223</v>
      </c>
      <c r="B224" s="8">
        <v>4</v>
      </c>
      <c r="C224" s="11" t="s">
        <v>1096</v>
      </c>
      <c r="D224" s="9" t="s">
        <v>1242</v>
      </c>
      <c r="E224" s="3">
        <v>0</v>
      </c>
      <c r="F224" s="3" t="s">
        <v>602</v>
      </c>
      <c r="G224" s="36" t="s">
        <v>1255</v>
      </c>
      <c r="H224" s="687">
        <v>340</v>
      </c>
      <c r="I224" t="b">
        <v>0</v>
      </c>
      <c r="J224" s="17" t="s">
        <v>1623</v>
      </c>
      <c r="K224" s="17" t="s">
        <v>1748</v>
      </c>
    </row>
    <row r="225" spans="1:11" x14ac:dyDescent="0.25">
      <c r="A225" s="479">
        <f t="shared" si="8"/>
        <v>224</v>
      </c>
      <c r="B225" s="8">
        <v>5</v>
      </c>
      <c r="C225" s="11" t="s">
        <v>1098</v>
      </c>
      <c r="D225" s="9" t="s">
        <v>1243</v>
      </c>
      <c r="E225" s="3">
        <v>0</v>
      </c>
      <c r="F225" s="3" t="s">
        <v>602</v>
      </c>
      <c r="G225" s="36" t="s">
        <v>1255</v>
      </c>
      <c r="H225" s="687">
        <v>340</v>
      </c>
      <c r="I225" t="b">
        <v>0</v>
      </c>
      <c r="J225" t="s">
        <v>1593</v>
      </c>
      <c r="K225" t="s">
        <v>1740</v>
      </c>
    </row>
    <row r="226" spans="1:11" x14ac:dyDescent="0.25">
      <c r="A226" s="479">
        <f t="shared" si="8"/>
        <v>225</v>
      </c>
      <c r="B226" s="8">
        <v>6</v>
      </c>
      <c r="C226" s="11" t="s">
        <v>1245</v>
      </c>
      <c r="D226" s="9" t="s">
        <v>1243</v>
      </c>
      <c r="E226" s="3">
        <v>0</v>
      </c>
      <c r="F226" s="3" t="s">
        <v>602</v>
      </c>
      <c r="G226" s="36" t="s">
        <v>1255</v>
      </c>
      <c r="H226" s="687">
        <v>340</v>
      </c>
      <c r="I226" t="b">
        <v>0</v>
      </c>
      <c r="J226" t="s">
        <v>1593</v>
      </c>
      <c r="K226" t="s">
        <v>1740</v>
      </c>
    </row>
    <row r="227" spans="1:11" x14ac:dyDescent="0.25">
      <c r="A227" s="479">
        <f t="shared" si="8"/>
        <v>226</v>
      </c>
      <c r="B227" s="8">
        <v>7</v>
      </c>
      <c r="C227" s="11" t="s">
        <v>1246</v>
      </c>
      <c r="D227" s="9" t="s">
        <v>1244</v>
      </c>
      <c r="E227" s="3">
        <v>0</v>
      </c>
      <c r="F227" s="3" t="s">
        <v>602</v>
      </c>
      <c r="G227" s="36" t="s">
        <v>1255</v>
      </c>
      <c r="H227" s="687">
        <v>340</v>
      </c>
      <c r="I227" t="b">
        <v>0</v>
      </c>
      <c r="J227" s="17" t="s">
        <v>1648</v>
      </c>
      <c r="K227" s="17" t="s">
        <v>1647</v>
      </c>
    </row>
    <row r="228" spans="1:11" x14ac:dyDescent="0.25">
      <c r="A228" s="479">
        <f t="shared" si="8"/>
        <v>227</v>
      </c>
      <c r="B228" s="8">
        <v>8</v>
      </c>
      <c r="C228" s="11" t="s">
        <v>1247</v>
      </c>
      <c r="D228" s="321" t="s">
        <v>1696</v>
      </c>
      <c r="E228" s="3">
        <v>0</v>
      </c>
      <c r="F228" s="3" t="s">
        <v>602</v>
      </c>
      <c r="G228" s="36" t="s">
        <v>1255</v>
      </c>
      <c r="H228" s="687">
        <v>340</v>
      </c>
      <c r="I228" t="b">
        <v>0</v>
      </c>
      <c r="J228" s="17" t="s">
        <v>1648</v>
      </c>
      <c r="K228" s="17" t="s">
        <v>1647</v>
      </c>
    </row>
    <row r="229" spans="1:11" x14ac:dyDescent="0.25">
      <c r="A229" s="479">
        <f t="shared" si="8"/>
        <v>228</v>
      </c>
      <c r="B229" s="8">
        <v>9</v>
      </c>
      <c r="C229" s="11" t="s">
        <v>1248</v>
      </c>
      <c r="D229" s="321" t="s">
        <v>1697</v>
      </c>
      <c r="E229" s="3">
        <v>0</v>
      </c>
      <c r="F229" s="3" t="s">
        <v>602</v>
      </c>
      <c r="G229" s="36" t="s">
        <v>1255</v>
      </c>
      <c r="H229" s="687">
        <v>340</v>
      </c>
      <c r="I229" t="b">
        <v>0</v>
      </c>
      <c r="J229" s="17" t="s">
        <v>1648</v>
      </c>
      <c r="K229" s="17" t="s">
        <v>1647</v>
      </c>
    </row>
    <row r="230" spans="1:11" x14ac:dyDescent="0.25">
      <c r="A230" s="479">
        <f t="shared" si="8"/>
        <v>229</v>
      </c>
      <c r="B230" s="8">
        <v>10</v>
      </c>
      <c r="C230" s="11" t="s">
        <v>1691</v>
      </c>
      <c r="D230" s="321" t="s">
        <v>1690</v>
      </c>
      <c r="E230" s="3">
        <v>0</v>
      </c>
      <c r="F230" s="3" t="s">
        <v>602</v>
      </c>
      <c r="G230" s="36" t="s">
        <v>1255</v>
      </c>
      <c r="H230" s="687">
        <v>340</v>
      </c>
      <c r="I230" t="b">
        <v>0</v>
      </c>
      <c r="J230" s="17" t="s">
        <v>1753</v>
      </c>
      <c r="K230" s="17" t="s">
        <v>1754</v>
      </c>
    </row>
    <row r="231" spans="1:11" x14ac:dyDescent="0.25">
      <c r="A231" s="479">
        <f t="shared" si="8"/>
        <v>230</v>
      </c>
      <c r="B231" s="8">
        <v>11</v>
      </c>
      <c r="C231" s="11" t="s">
        <v>1694</v>
      </c>
      <c r="D231" s="321" t="s">
        <v>1770</v>
      </c>
      <c r="E231" s="3">
        <v>0</v>
      </c>
      <c r="F231" s="3" t="s">
        <v>602</v>
      </c>
      <c r="G231" s="36" t="s">
        <v>1255</v>
      </c>
      <c r="H231" s="687">
        <v>340</v>
      </c>
      <c r="I231" t="b">
        <v>0</v>
      </c>
      <c r="J231" s="17" t="s">
        <v>1753</v>
      </c>
      <c r="K231" s="17" t="s">
        <v>1754</v>
      </c>
    </row>
    <row r="232" spans="1:11" x14ac:dyDescent="0.25">
      <c r="A232" s="479">
        <f t="shared" si="8"/>
        <v>231</v>
      </c>
      <c r="B232" s="8">
        <v>12</v>
      </c>
      <c r="C232" s="11" t="s">
        <v>1695</v>
      </c>
      <c r="D232" s="321" t="s">
        <v>1692</v>
      </c>
      <c r="E232" s="3">
        <v>0</v>
      </c>
      <c r="F232" s="3" t="s">
        <v>602</v>
      </c>
      <c r="G232" s="36" t="s">
        <v>1255</v>
      </c>
      <c r="H232" s="687">
        <v>340</v>
      </c>
      <c r="I232" t="b">
        <v>0</v>
      </c>
      <c r="J232" s="17" t="s">
        <v>1758</v>
      </c>
      <c r="K232" s="17" t="s">
        <v>1740</v>
      </c>
    </row>
    <row r="233" spans="1:11" x14ac:dyDescent="0.25">
      <c r="A233" s="479">
        <f t="shared" si="8"/>
        <v>232</v>
      </c>
      <c r="B233" s="8">
        <v>13</v>
      </c>
      <c r="C233" s="11" t="s">
        <v>1795</v>
      </c>
      <c r="D233" s="321" t="s">
        <v>1693</v>
      </c>
      <c r="E233" s="3">
        <v>1</v>
      </c>
      <c r="F233" s="3" t="s">
        <v>602</v>
      </c>
      <c r="G233" s="36" t="s">
        <v>1255</v>
      </c>
      <c r="H233" s="687">
        <v>340</v>
      </c>
      <c r="I233" t="b">
        <v>0</v>
      </c>
      <c r="J233" s="17" t="s">
        <v>1758</v>
      </c>
      <c r="K233" s="17" t="s">
        <v>1740</v>
      </c>
    </row>
    <row r="234" spans="1:11" x14ac:dyDescent="0.25">
      <c r="A234" s="479">
        <f t="shared" si="8"/>
        <v>233</v>
      </c>
      <c r="B234" s="8">
        <v>14</v>
      </c>
      <c r="C234" s="11" t="s">
        <v>1796</v>
      </c>
      <c r="D234" s="9" t="s">
        <v>1097</v>
      </c>
      <c r="E234" s="3">
        <v>0</v>
      </c>
      <c r="F234" s="3" t="s">
        <v>602</v>
      </c>
      <c r="G234" s="36" t="s">
        <v>1255</v>
      </c>
      <c r="H234" s="687">
        <v>340</v>
      </c>
      <c r="I234" t="b">
        <v>0</v>
      </c>
      <c r="J234" s="17" t="s">
        <v>1097</v>
      </c>
      <c r="K234" s="17" t="s">
        <v>1762</v>
      </c>
    </row>
    <row r="235" spans="1:11" x14ac:dyDescent="0.25">
      <c r="A235" s="479">
        <f t="shared" si="8"/>
        <v>234</v>
      </c>
      <c r="B235" s="8">
        <v>15</v>
      </c>
      <c r="C235" s="11" t="s">
        <v>1797</v>
      </c>
      <c r="D235" s="9" t="s">
        <v>1099</v>
      </c>
      <c r="E235" s="3">
        <v>0</v>
      </c>
      <c r="F235" s="3" t="s">
        <v>602</v>
      </c>
      <c r="G235" s="36" t="s">
        <v>1255</v>
      </c>
      <c r="H235" s="687">
        <v>340</v>
      </c>
      <c r="I235" t="b">
        <v>0</v>
      </c>
    </row>
    <row r="237" spans="1:11" ht="40.799999999999997" x14ac:dyDescent="0.25">
      <c r="A237" t="s">
        <v>23</v>
      </c>
      <c r="B237" s="296" t="s">
        <v>1000</v>
      </c>
      <c r="C237" s="7" t="s">
        <v>24</v>
      </c>
      <c r="D237" t="s">
        <v>240</v>
      </c>
      <c r="E237" s="688" t="s">
        <v>515</v>
      </c>
      <c r="F237" s="689" t="s">
        <v>858</v>
      </c>
      <c r="G237" s="688" t="s">
        <v>1254</v>
      </c>
      <c r="H237" s="690" t="s">
        <v>1485</v>
      </c>
      <c r="I237" s="691" t="s">
        <v>1312</v>
      </c>
    </row>
    <row r="238" spans="1:11" x14ac:dyDescent="0.25">
      <c r="A238" s="5">
        <f>(Gruppo!F9+Codici!G2)</f>
        <v>50</v>
      </c>
      <c r="B238" s="5">
        <f>DGET($A$1:$E$235,2,$A$237:$A$238)</f>
        <v>17</v>
      </c>
      <c r="C238" s="5" t="str">
        <f>DGET($A$1:$E$235,3,$A$237:$A$238)</f>
        <v>E17</v>
      </c>
      <c r="D238" s="2" t="str">
        <f>DGET($A$1:$D$235,4,$A$237:$A$238)</f>
        <v>Grano duro (pianta intera)</v>
      </c>
      <c r="E238" s="5">
        <f>DGET($A$1:$E$235,5,$A$237:$A$238)</f>
        <v>0</v>
      </c>
      <c r="F238" s="5" t="str">
        <f>DGET($A$1:$F$235,6,$A$237:$A$238)</f>
        <v>m</v>
      </c>
      <c r="G238" s="5" t="str">
        <f>DGET($A$1:$G$235,7,$A$237:$A$238)</f>
        <v>pieno campo</v>
      </c>
      <c r="H238" s="5">
        <f>DGET($A$1:$H$235,8,$A$237:$A$238)</f>
        <v>340</v>
      </c>
      <c r="I238" s="5" t="b">
        <f>DGET($A$1:$I$235,9,$A$237:$A$238)</f>
        <v>1</v>
      </c>
    </row>
    <row r="239" spans="1:11" x14ac:dyDescent="0.25">
      <c r="G239" s="549" t="s">
        <v>1360</v>
      </c>
    </row>
    <row r="240" spans="1:11" x14ac:dyDescent="0.25">
      <c r="G240" s="462" t="b">
        <f>IF(G238=M22,TRUE,FALSE)</f>
        <v>1</v>
      </c>
    </row>
    <row r="241" spans="5:7" ht="79.2" x14ac:dyDescent="0.25">
      <c r="E241" s="517" t="str">
        <f>IF(E238=0,"Non pertinente, coltura senza azoto fissazione", " ")</f>
        <v>Non pertinente, coltura senza azoto fissazione</v>
      </c>
      <c r="G241" s="517" t="str">
        <f>IF(G240=TRUE," ","modalità non usuale")</f>
        <v xml:space="preserve"> </v>
      </c>
    </row>
  </sheetData>
  <sheetProtection algorithmName="SHA-512" hashValue="yLhiIevezTHYwKh7vGnODkTMkvQ5KpNzx9PrE/n3b8b60kIhDonMjcE0T/ipj2DokW6ACESAp2kD5FlrwZsjHw==" saltValue="zbPBvlwYerdG8gjnpju2IA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2"/>
  <dimension ref="A1:G12"/>
  <sheetViews>
    <sheetView workbookViewId="0">
      <selection sqref="A1:XFD1048576"/>
    </sheetView>
  </sheetViews>
  <sheetFormatPr defaultRowHeight="13.2" x14ac:dyDescent="0.25"/>
  <cols>
    <col min="1" max="1" width="10.33203125" style="32" bestFit="1" customWidth="1"/>
    <col min="2" max="2" width="10" style="32" bestFit="1" customWidth="1"/>
    <col min="3" max="3" width="8.5546875" style="32" bestFit="1" customWidth="1"/>
    <col min="4" max="4" width="18" style="32" customWidth="1"/>
    <col min="5" max="6" width="12" style="32" customWidth="1"/>
    <col min="7" max="7" width="11" style="32" customWidth="1"/>
    <col min="8" max="8" width="13" style="32" customWidth="1"/>
    <col min="9" max="10" width="3" style="32" bestFit="1" customWidth="1"/>
    <col min="11" max="13" width="8.88671875" style="32"/>
    <col min="14" max="14" width="13.33203125" style="32" customWidth="1"/>
    <col min="15" max="16384" width="8.88671875" style="32"/>
  </cols>
  <sheetData>
    <row r="1" spans="1:7" ht="39.6" x14ac:dyDescent="0.25">
      <c r="A1" s="65" t="s">
        <v>21</v>
      </c>
      <c r="B1" s="1129" t="s">
        <v>14</v>
      </c>
      <c r="C1" s="1129" t="s">
        <v>19</v>
      </c>
      <c r="D1" s="1130" t="s">
        <v>238</v>
      </c>
      <c r="E1" s="1131" t="s">
        <v>1792</v>
      </c>
      <c r="F1" s="1132" t="s">
        <v>1791</v>
      </c>
      <c r="G1" s="1133" t="s">
        <v>1161</v>
      </c>
    </row>
    <row r="2" spans="1:7" x14ac:dyDescent="0.25">
      <c r="A2" s="605">
        <v>1</v>
      </c>
      <c r="B2" s="41" t="s">
        <v>15</v>
      </c>
      <c r="C2" s="41" t="s">
        <v>1840</v>
      </c>
      <c r="D2" s="714" t="s">
        <v>1853</v>
      </c>
      <c r="E2" s="33">
        <v>33</v>
      </c>
      <c r="F2" s="1134">
        <v>0</v>
      </c>
      <c r="G2" s="1135" t="s">
        <v>234</v>
      </c>
    </row>
    <row r="3" spans="1:7" x14ac:dyDescent="0.25">
      <c r="A3" s="605">
        <v>2</v>
      </c>
      <c r="B3" s="41" t="s">
        <v>16</v>
      </c>
      <c r="C3" s="41" t="s">
        <v>235</v>
      </c>
      <c r="D3" s="714" t="s">
        <v>1854</v>
      </c>
      <c r="E3" s="33">
        <v>57</v>
      </c>
      <c r="F3" s="1134">
        <v>33</v>
      </c>
      <c r="G3" s="1135" t="s">
        <v>235</v>
      </c>
    </row>
    <row r="4" spans="1:7" x14ac:dyDescent="0.25">
      <c r="A4" s="605">
        <v>3</v>
      </c>
      <c r="B4" s="41" t="s">
        <v>17</v>
      </c>
      <c r="C4" s="41" t="s">
        <v>236</v>
      </c>
      <c r="D4" s="714" t="s">
        <v>1855</v>
      </c>
      <c r="E4" s="33">
        <v>30</v>
      </c>
      <c r="F4" s="1134">
        <v>90</v>
      </c>
      <c r="G4" s="1135" t="s">
        <v>235</v>
      </c>
    </row>
    <row r="5" spans="1:7" x14ac:dyDescent="0.25">
      <c r="A5" s="605">
        <v>4</v>
      </c>
      <c r="B5" s="41" t="s">
        <v>18</v>
      </c>
      <c r="C5" s="41" t="s">
        <v>237</v>
      </c>
      <c r="D5" s="714" t="s">
        <v>1856</v>
      </c>
      <c r="E5" s="33">
        <v>76</v>
      </c>
      <c r="F5" s="1134">
        <v>120</v>
      </c>
      <c r="G5" s="1135" t="s">
        <v>235</v>
      </c>
    </row>
    <row r="6" spans="1:7" x14ac:dyDescent="0.25">
      <c r="A6" s="605">
        <v>5</v>
      </c>
      <c r="B6" s="41" t="s">
        <v>20</v>
      </c>
      <c r="C6" s="41" t="s">
        <v>1135</v>
      </c>
      <c r="D6" s="714" t="s">
        <v>1857</v>
      </c>
      <c r="E6" s="33">
        <v>23</v>
      </c>
      <c r="F6" s="1134">
        <v>196</v>
      </c>
      <c r="G6" s="1135" t="s">
        <v>235</v>
      </c>
    </row>
    <row r="7" spans="1:7" x14ac:dyDescent="0.25">
      <c r="A7" s="605">
        <v>6</v>
      </c>
      <c r="B7" s="41" t="s">
        <v>1136</v>
      </c>
      <c r="C7" s="41" t="s">
        <v>1137</v>
      </c>
      <c r="D7" s="714" t="s">
        <v>1858</v>
      </c>
      <c r="E7" s="33">
        <v>12</v>
      </c>
      <c r="F7" s="1134">
        <v>219</v>
      </c>
      <c r="G7" s="1135" t="s">
        <v>235</v>
      </c>
    </row>
    <row r="8" spans="1:7" x14ac:dyDescent="0.25">
      <c r="A8" s="1136" t="s">
        <v>22</v>
      </c>
      <c r="B8" s="41"/>
      <c r="C8" s="41"/>
      <c r="E8" s="41"/>
      <c r="F8" s="121"/>
      <c r="G8" s="1137"/>
    </row>
    <row r="9" spans="1:7" ht="13.8" thickBot="1" x14ac:dyDescent="0.3">
      <c r="A9" s="69">
        <f>Codici!F2</f>
        <v>2</v>
      </c>
      <c r="B9" s="1138" t="str">
        <f>VLOOKUP($A9,$A$2:$C$7,2)</f>
        <v>E</v>
      </c>
      <c r="C9" s="1138" t="str">
        <f>VLOOKUP($A9,$A$2:$C$7,3)</f>
        <v>erbacee</v>
      </c>
      <c r="D9" s="1138" t="str">
        <f>VLOOKUP($A9,$A$2:$D$7,4)</f>
        <v>D35:D91</v>
      </c>
      <c r="E9" s="1138">
        <f>VLOOKUP($A9,$A$2:$H$7,5)</f>
        <v>57</v>
      </c>
      <c r="F9" s="1139">
        <f>VLOOKUP($A9,$A$2:$H$7,6)</f>
        <v>33</v>
      </c>
      <c r="G9" s="1140" t="str">
        <f>VLOOKUP($A9,$A$2:$H$7,7)</f>
        <v>erbacee</v>
      </c>
    </row>
    <row r="10" spans="1:7" x14ac:dyDescent="0.25">
      <c r="A10" s="41"/>
      <c r="B10" s="41"/>
      <c r="C10" s="41"/>
    </row>
    <row r="11" spans="1:7" x14ac:dyDescent="0.25">
      <c r="D11" s="32" t="s">
        <v>239</v>
      </c>
    </row>
    <row r="12" spans="1:7" x14ac:dyDescent="0.25">
      <c r="D12" s="1141" t="str">
        <f>CONCATENATE("Coltura","!",D9)</f>
        <v>Coltura!D35:D91</v>
      </c>
    </row>
  </sheetData>
  <sheetProtection algorithmName="SHA-512" hashValue="oSfxD8h4YsQ60HK6Bo4YCS1ztNHZysGvgOiIj21Vz3lHVgGbMsFWqK0rSImXFE7GE6FsvCQzheKWmWRoK2zfmA==" saltValue="1Zx2oxHNxR/Xe8y8KKi/kg==" spinCount="100000" sheet="1" objects="1" scenarios="1"/>
  <phoneticPr fontId="2" type="noConversion"/>
  <pageMargins left="0.75" right="0.75" top="1" bottom="1" header="0.5" footer="0.5"/>
  <pageSetup paperSize="9" scale="15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0">
    <pageSetUpPr fitToPage="1"/>
  </sheetPr>
  <dimension ref="A1:P247"/>
  <sheetViews>
    <sheetView zoomScaleNormal="100" workbookViewId="0">
      <pane ySplit="3" topLeftCell="A4" activePane="bottomLeft" state="frozen"/>
      <selection pane="bottomLeft" sqref="A1:XFD1048576"/>
    </sheetView>
  </sheetViews>
  <sheetFormatPr defaultRowHeight="13.2" x14ac:dyDescent="0.25"/>
  <cols>
    <col min="1" max="2" width="8.88671875" style="32"/>
    <col min="3" max="3" width="55" style="32" bestFit="1" customWidth="1"/>
    <col min="4" max="7" width="8.88671875" style="32"/>
    <col min="8" max="8" width="9.6640625" style="32" bestFit="1" customWidth="1"/>
    <col min="9" max="11" width="11" style="32" customWidth="1"/>
    <col min="12" max="12" width="26.33203125" style="32" customWidth="1"/>
    <col min="13" max="13" width="11.6640625" style="32" customWidth="1"/>
    <col min="14" max="14" width="11.44140625" style="32" customWidth="1"/>
    <col min="15" max="15" width="11.6640625" style="32" customWidth="1"/>
    <col min="16" max="16384" width="8.88671875" style="32"/>
  </cols>
  <sheetData>
    <row r="1" spans="1:15" ht="13.8" thickBot="1" x14ac:dyDescent="0.3">
      <c r="A1" s="30" t="s">
        <v>653</v>
      </c>
      <c r="D1" s="1142" t="s">
        <v>654</v>
      </c>
      <c r="E1" s="1142"/>
      <c r="F1" s="1142"/>
      <c r="G1" s="41" t="s">
        <v>1216</v>
      </c>
      <c r="H1" s="823" t="s">
        <v>1574</v>
      </c>
      <c r="I1" s="1007" t="s">
        <v>1612</v>
      </c>
      <c r="J1" s="1007"/>
      <c r="K1" s="1007"/>
      <c r="L1" s="714" t="s">
        <v>1607</v>
      </c>
      <c r="M1" s="1143" t="s">
        <v>1575</v>
      </c>
      <c r="N1" s="1144"/>
      <c r="O1" s="1145"/>
    </row>
    <row r="2" spans="1:15" x14ac:dyDescent="0.25">
      <c r="A2" s="30"/>
      <c r="D2" s="823" t="s">
        <v>1685</v>
      </c>
      <c r="E2" s="823" t="s">
        <v>1686</v>
      </c>
      <c r="F2" s="823" t="s">
        <v>1686</v>
      </c>
      <c r="G2" s="41"/>
      <c r="H2" s="823"/>
      <c r="I2" s="33" t="s">
        <v>1572</v>
      </c>
      <c r="J2" s="1146" t="s">
        <v>1573</v>
      </c>
      <c r="K2" s="1146"/>
      <c r="L2" s="714"/>
      <c r="M2" s="666"/>
      <c r="N2" s="823"/>
      <c r="O2" s="1147"/>
    </row>
    <row r="3" spans="1:15" x14ac:dyDescent="0.25">
      <c r="A3" s="32" t="s">
        <v>23</v>
      </c>
      <c r="B3" s="88" t="s">
        <v>24</v>
      </c>
      <c r="C3" s="88" t="s">
        <v>25</v>
      </c>
      <c r="D3" s="33" t="s">
        <v>243</v>
      </c>
      <c r="E3" s="33" t="s">
        <v>244</v>
      </c>
      <c r="F3" s="33" t="s">
        <v>245</v>
      </c>
      <c r="G3" s="1148" t="s">
        <v>1217</v>
      </c>
      <c r="H3" s="33" t="s">
        <v>1571</v>
      </c>
      <c r="I3" s="1149" t="s">
        <v>1609</v>
      </c>
      <c r="J3" s="1150" t="s">
        <v>1610</v>
      </c>
      <c r="K3" s="1150" t="s">
        <v>1611</v>
      </c>
      <c r="L3" s="33" t="s">
        <v>1608</v>
      </c>
      <c r="M3" s="1151" t="s">
        <v>243</v>
      </c>
      <c r="N3" s="94" t="s">
        <v>244</v>
      </c>
      <c r="O3" s="141" t="s">
        <v>245</v>
      </c>
    </row>
    <row r="4" spans="1:15" x14ac:dyDescent="0.25">
      <c r="A4" s="33">
        <v>1</v>
      </c>
      <c r="B4" s="1152" t="str">
        <f>Coltura!C2</f>
        <v>A2</v>
      </c>
      <c r="C4" s="1152" t="str">
        <f>Coltura!D2</f>
        <v>Actinidia polpa verde frutti, legno e foglie</v>
      </c>
      <c r="D4" s="1153">
        <v>0.59</v>
      </c>
      <c r="E4" s="1154">
        <v>0.16</v>
      </c>
      <c r="F4" s="1154">
        <v>0.59</v>
      </c>
      <c r="G4" s="49" t="str">
        <f>IF(AND(D4&gt;0,E4&gt;0,F4&gt;0),"sì","no")</f>
        <v>sì</v>
      </c>
      <c r="H4" s="1155">
        <f>(Standard!E4)</f>
        <v>25</v>
      </c>
      <c r="I4" s="1156">
        <f t="shared" ref="I4:I36" si="0">(D4*$H4)*10</f>
        <v>147.5</v>
      </c>
      <c r="J4" s="1156">
        <f t="shared" ref="J4:J36" si="1">(E4*$H4)*10</f>
        <v>40</v>
      </c>
      <c r="K4" s="1156">
        <f t="shared" ref="K4:K36" si="2">(F4*$H4)*10</f>
        <v>147.5</v>
      </c>
      <c r="L4" s="1157" t="s">
        <v>1583</v>
      </c>
    </row>
    <row r="5" spans="1:15" x14ac:dyDescent="0.25">
      <c r="A5" s="33">
        <v>2</v>
      </c>
      <c r="B5" s="1152" t="str">
        <f>Coltura!C3</f>
        <v>Ab2</v>
      </c>
      <c r="C5" s="1152" t="str">
        <f>Coltura!D3</f>
        <v>Actinidia polpa gialla frutti, legno e foglie</v>
      </c>
      <c r="D5" s="1153">
        <v>0.59</v>
      </c>
      <c r="E5" s="1154">
        <v>0.16</v>
      </c>
      <c r="F5" s="1154">
        <v>0.59</v>
      </c>
      <c r="G5" s="49" t="str">
        <f>IF(AND(D5&gt;0,E5&gt;0,F5&gt;0),"sì","no")</f>
        <v>sì</v>
      </c>
      <c r="H5" s="1155">
        <f>(Standard!E5)</f>
        <v>30</v>
      </c>
      <c r="I5" s="1156">
        <f t="shared" ref="I5" si="3">(D5*$H5)*10</f>
        <v>177</v>
      </c>
      <c r="J5" s="1156">
        <f t="shared" ref="J5" si="4">(E5*$H5)*10</f>
        <v>48</v>
      </c>
      <c r="K5" s="1156">
        <f t="shared" ref="K5" si="5">(F5*$H5)*10</f>
        <v>177</v>
      </c>
      <c r="L5" s="1157" t="s">
        <v>1583</v>
      </c>
    </row>
    <row r="6" spans="1:15" x14ac:dyDescent="0.25">
      <c r="A6" s="49">
        <f>(A5+1)</f>
        <v>3</v>
      </c>
      <c r="B6" s="1152" t="str">
        <f>Coltura!C4</f>
        <v>A4</v>
      </c>
      <c r="C6" s="1152" t="str">
        <f>Coltura!D4</f>
        <v>Albicocco media produzione frutti, legno e foglie</v>
      </c>
      <c r="D6" s="1153">
        <v>0.55000000000000004</v>
      </c>
      <c r="E6" s="1154">
        <v>0.13</v>
      </c>
      <c r="F6" s="1153">
        <v>0.53</v>
      </c>
      <c r="G6" s="49" t="str">
        <f t="shared" ref="G6:G75" si="6">IF(AND(D6&gt;0,E6&gt;0,F6&gt;0),"sì","no")</f>
        <v>sì</v>
      </c>
      <c r="H6" s="1155">
        <f>(Standard!E6)</f>
        <v>13</v>
      </c>
      <c r="I6" s="1156">
        <f t="shared" si="0"/>
        <v>71.5</v>
      </c>
      <c r="J6" s="1156">
        <f t="shared" si="1"/>
        <v>16.899999999999999</v>
      </c>
      <c r="K6" s="1156">
        <f t="shared" si="2"/>
        <v>68.900000000000006</v>
      </c>
      <c r="L6" s="1157" t="s">
        <v>1583</v>
      </c>
    </row>
    <row r="7" spans="1:15" x14ac:dyDescent="0.25">
      <c r="A7" s="49">
        <f t="shared" ref="A7:A74" si="7">(A6+1)</f>
        <v>4</v>
      </c>
      <c r="B7" s="1152" t="str">
        <f>Coltura!C5</f>
        <v>A5</v>
      </c>
      <c r="C7" s="1152" t="str">
        <f>Coltura!D5</f>
        <v>Albicocco  alta produzione frutti, legno e foglie</v>
      </c>
      <c r="D7" s="1153">
        <v>0.55000000000000004</v>
      </c>
      <c r="E7" s="1154">
        <v>0.13</v>
      </c>
      <c r="F7" s="1153">
        <v>0.5</v>
      </c>
      <c r="G7" s="1158" t="s">
        <v>571</v>
      </c>
      <c r="H7" s="1155">
        <f>(Standard!E7)</f>
        <v>18</v>
      </c>
      <c r="I7" s="1156">
        <f t="shared" ref="I7" si="8">(D7*$H7)*10</f>
        <v>99</v>
      </c>
      <c r="J7" s="1156">
        <f t="shared" ref="J7" si="9">(E7*$H7)*10</f>
        <v>23.4</v>
      </c>
      <c r="K7" s="1156">
        <f t="shared" ref="K7" si="10">(F7*$H7)*10</f>
        <v>90</v>
      </c>
      <c r="L7" s="1157" t="s">
        <v>1583</v>
      </c>
    </row>
    <row r="8" spans="1:15" x14ac:dyDescent="0.25">
      <c r="A8" s="49">
        <f t="shared" si="7"/>
        <v>5</v>
      </c>
      <c r="B8" s="1152" t="str">
        <f>Coltura!C6</f>
        <v>A6</v>
      </c>
      <c r="C8" s="1152" t="str">
        <f>Coltura!D6</f>
        <v>Altri fruttiferi frutti, legno e foglie</v>
      </c>
      <c r="D8" s="1153">
        <v>0.33</v>
      </c>
      <c r="E8" s="1159">
        <f>N8</f>
        <v>0.28384615384615386</v>
      </c>
      <c r="F8" s="1159">
        <f>O8</f>
        <v>0.74115384615384605</v>
      </c>
      <c r="G8" s="49" t="str">
        <f t="shared" si="6"/>
        <v>sì</v>
      </c>
      <c r="H8" s="1155" t="str">
        <f>(Standard!E8)</f>
        <v>nd</v>
      </c>
      <c r="L8" s="1157" t="s">
        <v>1583</v>
      </c>
      <c r="N8" s="1160">
        <f>AVERAGE(E4:E6,E9:E20,E24:E30,E33:E36)</f>
        <v>0.28384615384615386</v>
      </c>
      <c r="O8" s="1160">
        <f>AVERAGE(F4:F6,F9:F20,F24:F30,F33:F36)</f>
        <v>0.74115384615384605</v>
      </c>
    </row>
    <row r="9" spans="1:15" x14ac:dyDescent="0.25">
      <c r="A9" s="49">
        <f t="shared" si="7"/>
        <v>6</v>
      </c>
      <c r="B9" s="1152" t="str">
        <f>Coltura!C7</f>
        <v>A8</v>
      </c>
      <c r="C9" s="1152" t="str">
        <f>Coltura!D7</f>
        <v>Arancio frutti, legno e foglie</v>
      </c>
      <c r="D9" s="1154">
        <v>0.28000000000000003</v>
      </c>
      <c r="E9" s="1153">
        <v>0.13</v>
      </c>
      <c r="F9" s="1161">
        <v>0.39</v>
      </c>
      <c r="G9" s="49" t="str">
        <f t="shared" si="6"/>
        <v>sì</v>
      </c>
      <c r="H9" s="1155">
        <f>(Standard!E9)</f>
        <v>30</v>
      </c>
      <c r="I9" s="1156">
        <f t="shared" si="0"/>
        <v>84</v>
      </c>
      <c r="J9" s="1156">
        <f t="shared" si="1"/>
        <v>39</v>
      </c>
      <c r="K9" s="1156">
        <f t="shared" si="2"/>
        <v>117.00000000000001</v>
      </c>
      <c r="L9" s="1157" t="s">
        <v>1583</v>
      </c>
    </row>
    <row r="10" spans="1:15" x14ac:dyDescent="0.25">
      <c r="A10" s="49">
        <f t="shared" si="7"/>
        <v>7</v>
      </c>
      <c r="B10" s="1152" t="str">
        <f>Coltura!C8</f>
        <v>A10</v>
      </c>
      <c r="C10" s="1152" t="str">
        <f>Coltura!D8</f>
        <v>Castagno solo frutti</v>
      </c>
      <c r="D10" s="1153">
        <v>0.84</v>
      </c>
      <c r="E10" s="1153">
        <v>0.33</v>
      </c>
      <c r="F10" s="1153">
        <v>0.86</v>
      </c>
      <c r="G10" s="49" t="str">
        <f t="shared" si="6"/>
        <v>sì</v>
      </c>
      <c r="H10" s="1155" t="str">
        <f>(Standard!E10)</f>
        <v>nd</v>
      </c>
      <c r="L10" s="1157" t="s">
        <v>1583</v>
      </c>
    </row>
    <row r="11" spans="1:15" x14ac:dyDescent="0.25">
      <c r="A11" s="49">
        <f t="shared" si="7"/>
        <v>8</v>
      </c>
      <c r="B11" s="1152" t="str">
        <f>Coltura!C9</f>
        <v>A12</v>
      </c>
      <c r="C11" s="1152" t="str">
        <f>Coltura!D9</f>
        <v>Ciliegio frutti, legno e foglie</v>
      </c>
      <c r="D11" s="1153">
        <v>0.67</v>
      </c>
      <c r="E11" s="1153">
        <v>0.22</v>
      </c>
      <c r="F11" s="1154">
        <v>0.59</v>
      </c>
      <c r="G11" s="49" t="str">
        <f t="shared" si="6"/>
        <v>sì</v>
      </c>
      <c r="H11" s="1155">
        <f>(Standard!E11)</f>
        <v>9</v>
      </c>
      <c r="I11" s="1156">
        <f t="shared" si="0"/>
        <v>60.300000000000004</v>
      </c>
      <c r="J11" s="1156">
        <f t="shared" si="1"/>
        <v>19.8</v>
      </c>
      <c r="K11" s="1156">
        <f t="shared" si="2"/>
        <v>53.099999999999994</v>
      </c>
      <c r="L11" s="1157" t="s">
        <v>1583</v>
      </c>
    </row>
    <row r="12" spans="1:15" x14ac:dyDescent="0.25">
      <c r="A12" s="49">
        <f t="shared" si="7"/>
        <v>9</v>
      </c>
      <c r="B12" s="1152" t="str">
        <f>Coltura!C10</f>
        <v>A14</v>
      </c>
      <c r="C12" s="1152" t="str">
        <f>Coltura!D10</f>
        <v>Clementine frutti, legno e foglie</v>
      </c>
      <c r="D12" s="1153">
        <v>0.28000000000000003</v>
      </c>
      <c r="E12" s="1153">
        <v>0.13</v>
      </c>
      <c r="F12" s="1153">
        <v>0.43</v>
      </c>
      <c r="G12" s="49" t="str">
        <f t="shared" si="6"/>
        <v>sì</v>
      </c>
      <c r="H12" s="1155">
        <f>(Standard!E12)</f>
        <v>25</v>
      </c>
      <c r="I12" s="1156">
        <f t="shared" si="0"/>
        <v>70.000000000000014</v>
      </c>
      <c r="J12" s="1156">
        <f t="shared" si="1"/>
        <v>32.5</v>
      </c>
      <c r="K12" s="1156">
        <f t="shared" si="2"/>
        <v>107.5</v>
      </c>
      <c r="L12" s="1157" t="s">
        <v>1583</v>
      </c>
    </row>
    <row r="13" spans="1:15" x14ac:dyDescent="0.25">
      <c r="A13" s="49">
        <f t="shared" si="7"/>
        <v>10</v>
      </c>
      <c r="B13" s="1152" t="str">
        <f>Coltura!C11</f>
        <v>A15</v>
      </c>
      <c r="C13" s="1152" t="str">
        <f>Coltura!D11</f>
        <v>Cotogno (frutti, legno e foglie)</v>
      </c>
      <c r="D13" s="1162">
        <v>0.33</v>
      </c>
      <c r="E13" s="1163">
        <v>0.08</v>
      </c>
      <c r="F13" s="1163">
        <v>0.33</v>
      </c>
      <c r="G13" s="49" t="str">
        <f t="shared" ref="G13" si="11">IF(AND(D13&gt;0,E13&gt;0,F13&gt;0),"sì","no")</f>
        <v>sì</v>
      </c>
      <c r="H13" s="1164">
        <v>60</v>
      </c>
      <c r="I13" s="1156">
        <f t="shared" si="0"/>
        <v>198</v>
      </c>
      <c r="J13" s="1156">
        <f t="shared" si="1"/>
        <v>48</v>
      </c>
      <c r="K13" s="1156">
        <f t="shared" si="2"/>
        <v>198</v>
      </c>
      <c r="L13" s="1165" t="s">
        <v>1583</v>
      </c>
    </row>
    <row r="14" spans="1:15" x14ac:dyDescent="0.25">
      <c r="A14" s="49">
        <f t="shared" si="7"/>
        <v>11</v>
      </c>
      <c r="B14" s="1152" t="str">
        <f>Coltura!C12</f>
        <v>A16</v>
      </c>
      <c r="C14" s="1152" t="str">
        <f>Coltura!D12</f>
        <v>Fico frutti, legno e foglie</v>
      </c>
      <c r="D14" s="1153">
        <v>1.1399999999999999</v>
      </c>
      <c r="E14" s="1153">
        <v>0.75</v>
      </c>
      <c r="F14" s="1153">
        <v>1</v>
      </c>
      <c r="G14" s="49" t="str">
        <f t="shared" si="6"/>
        <v>sì</v>
      </c>
      <c r="H14" s="1155" t="str">
        <f>(Standard!E14)</f>
        <v>nd</v>
      </c>
      <c r="L14" s="1157" t="s">
        <v>1583</v>
      </c>
    </row>
    <row r="15" spans="1:15" x14ac:dyDescent="0.25">
      <c r="A15" s="49">
        <f t="shared" si="7"/>
        <v>12</v>
      </c>
      <c r="B15" s="1152" t="str">
        <f>Coltura!C13</f>
        <v>A17</v>
      </c>
      <c r="C15" s="1152" t="str">
        <f>Coltura!D13</f>
        <v>Kaki frutti, legno e foglie</v>
      </c>
      <c r="D15" s="1153">
        <v>0.57999999999999996</v>
      </c>
      <c r="E15" s="1153">
        <v>0.2</v>
      </c>
      <c r="F15" s="1153">
        <v>0.6</v>
      </c>
      <c r="G15" s="49" t="str">
        <f t="shared" si="6"/>
        <v>sì</v>
      </c>
      <c r="H15" s="1155">
        <f>(Standard!E15)</f>
        <v>25</v>
      </c>
      <c r="I15" s="1156">
        <f t="shared" si="0"/>
        <v>144.99999999999997</v>
      </c>
      <c r="J15" s="1156">
        <f t="shared" si="1"/>
        <v>50</v>
      </c>
      <c r="K15" s="1156">
        <f t="shared" si="2"/>
        <v>150</v>
      </c>
      <c r="L15" s="1157" t="s">
        <v>1583</v>
      </c>
    </row>
    <row r="16" spans="1:15" x14ac:dyDescent="0.25">
      <c r="A16" s="49">
        <f t="shared" si="7"/>
        <v>13</v>
      </c>
      <c r="B16" s="1152" t="str">
        <f>Coltura!C14</f>
        <v>A18</v>
      </c>
      <c r="C16" s="1152" t="str">
        <f>Coltura!D14</f>
        <v>Limone frutti, legno e foglie</v>
      </c>
      <c r="D16" s="1153">
        <v>0.25</v>
      </c>
      <c r="E16" s="1153">
        <v>0.1</v>
      </c>
      <c r="F16" s="1153">
        <v>0.35</v>
      </c>
      <c r="G16" s="49" t="str">
        <f t="shared" si="6"/>
        <v>sì</v>
      </c>
      <c r="H16" s="1155">
        <f>(Standard!E16)</f>
        <v>30</v>
      </c>
      <c r="I16" s="1156">
        <f t="shared" si="0"/>
        <v>75</v>
      </c>
      <c r="J16" s="1156">
        <f t="shared" si="1"/>
        <v>30</v>
      </c>
      <c r="K16" s="1156">
        <f t="shared" si="2"/>
        <v>105</v>
      </c>
      <c r="L16" s="1157" t="s">
        <v>1583</v>
      </c>
    </row>
    <row r="17" spans="1:12" x14ac:dyDescent="0.25">
      <c r="A17" s="49">
        <f t="shared" si="7"/>
        <v>14</v>
      </c>
      <c r="B17" s="1152" t="str">
        <f>Coltura!C15</f>
        <v>A19</v>
      </c>
      <c r="C17" s="1152" t="str">
        <f>Coltura!D15</f>
        <v>Luppolo (verde)</v>
      </c>
      <c r="D17" s="1153">
        <v>0.86</v>
      </c>
      <c r="E17" s="1153">
        <v>0.43</v>
      </c>
      <c r="F17" s="1153">
        <v>0.71</v>
      </c>
      <c r="G17" s="49" t="str">
        <f t="shared" si="6"/>
        <v>sì</v>
      </c>
      <c r="H17" s="1155">
        <f>(Standard!E17)</f>
        <v>14</v>
      </c>
      <c r="I17" s="1156">
        <f t="shared" ref="I17" si="12">(D17*$H17)*10</f>
        <v>120.39999999999999</v>
      </c>
      <c r="J17" s="1156">
        <f t="shared" ref="J17" si="13">(E17*$H17)*10</f>
        <v>60.199999999999996</v>
      </c>
      <c r="K17" s="1156">
        <f t="shared" ref="K17" si="14">(F17*$H17)*10</f>
        <v>99.399999999999991</v>
      </c>
      <c r="L17" s="1157"/>
    </row>
    <row r="18" spans="1:12" x14ac:dyDescent="0.25">
      <c r="A18" s="49">
        <f t="shared" si="7"/>
        <v>15</v>
      </c>
      <c r="B18" s="1152" t="str">
        <f>Coltura!C16</f>
        <v>A20</v>
      </c>
      <c r="C18" s="1152" t="str">
        <f>Coltura!D16</f>
        <v>Mandarino frutti, legno e foglie</v>
      </c>
      <c r="D18" s="1153">
        <v>0.28000000000000003</v>
      </c>
      <c r="E18" s="1153">
        <v>0.13</v>
      </c>
      <c r="F18" s="1153">
        <v>0.94</v>
      </c>
      <c r="G18" s="49" t="str">
        <f t="shared" si="6"/>
        <v>sì</v>
      </c>
      <c r="H18" s="1155">
        <f>(Standard!E18)</f>
        <v>25</v>
      </c>
      <c r="I18" s="1156">
        <f t="shared" si="0"/>
        <v>70.000000000000014</v>
      </c>
      <c r="J18" s="1156">
        <f t="shared" si="1"/>
        <v>32.5</v>
      </c>
      <c r="K18" s="1156">
        <f t="shared" si="2"/>
        <v>235</v>
      </c>
      <c r="L18" s="1157" t="s">
        <v>1583</v>
      </c>
    </row>
    <row r="19" spans="1:12" x14ac:dyDescent="0.25">
      <c r="A19" s="49">
        <f t="shared" si="7"/>
        <v>16</v>
      </c>
      <c r="B19" s="1152" t="str">
        <f>Coltura!C17</f>
        <v>A21</v>
      </c>
      <c r="C19" s="1152" t="str">
        <f>Coltura!D17</f>
        <v>Mandorlo frutti, legno e foglie</v>
      </c>
      <c r="D19" s="1153">
        <v>0.45</v>
      </c>
      <c r="E19" s="1153">
        <v>0.35</v>
      </c>
      <c r="F19" s="1153">
        <v>0.7</v>
      </c>
      <c r="G19" s="49" t="str">
        <f t="shared" si="6"/>
        <v>sì</v>
      </c>
      <c r="H19" s="1155" t="str">
        <f>(Standard!E19)</f>
        <v>nd</v>
      </c>
      <c r="L19" s="1157" t="s">
        <v>1583</v>
      </c>
    </row>
    <row r="20" spans="1:12" x14ac:dyDescent="0.25">
      <c r="A20" s="49">
        <f t="shared" si="7"/>
        <v>17</v>
      </c>
      <c r="B20" s="1152" t="str">
        <f>Coltura!C18</f>
        <v>A22</v>
      </c>
      <c r="C20" s="1152" t="str">
        <f>Coltura!D18</f>
        <v>Melo frutti, legno e foglie</v>
      </c>
      <c r="D20" s="1153">
        <v>0.28999999999999998</v>
      </c>
      <c r="E20" s="1154">
        <v>0.08</v>
      </c>
      <c r="F20" s="1161">
        <v>0.31</v>
      </c>
      <c r="G20" s="49" t="str">
        <f t="shared" si="6"/>
        <v>sì</v>
      </c>
      <c r="H20" s="1155">
        <f>(Standard!E20)</f>
        <v>40</v>
      </c>
      <c r="I20" s="1156">
        <f t="shared" ref="I20:K21" si="15">(D20*$H20)*10</f>
        <v>116</v>
      </c>
      <c r="J20" s="1156">
        <f t="shared" si="15"/>
        <v>32</v>
      </c>
      <c r="K20" s="1156">
        <f t="shared" si="15"/>
        <v>124</v>
      </c>
      <c r="L20" s="1157" t="s">
        <v>1583</v>
      </c>
    </row>
    <row r="21" spans="1:12" x14ac:dyDescent="0.25">
      <c r="A21" s="49">
        <f t="shared" si="7"/>
        <v>18</v>
      </c>
      <c r="B21" s="1152" t="str">
        <f>Coltura!C19</f>
        <v>A23</v>
      </c>
      <c r="C21" s="1152" t="str">
        <f>Coltura!D19</f>
        <v>Mirtillo</v>
      </c>
      <c r="D21" s="1153">
        <v>0.14000000000000001</v>
      </c>
      <c r="E21" s="1154">
        <v>7.0000000000000007E-2</v>
      </c>
      <c r="F21" s="1161">
        <v>0.1</v>
      </c>
      <c r="G21" s="49" t="str">
        <f t="shared" si="6"/>
        <v>sì</v>
      </c>
      <c r="H21" s="1155">
        <f>(Standard!E21)</f>
        <v>17.5</v>
      </c>
      <c r="I21" s="1156">
        <f t="shared" si="15"/>
        <v>24.5</v>
      </c>
      <c r="J21" s="1156">
        <f t="shared" si="15"/>
        <v>12.25</v>
      </c>
      <c r="K21" s="1156">
        <f t="shared" si="15"/>
        <v>17.5</v>
      </c>
      <c r="L21" s="1157"/>
    </row>
    <row r="22" spans="1:12" x14ac:dyDescent="0.25">
      <c r="A22" s="49">
        <f t="shared" si="7"/>
        <v>19</v>
      </c>
      <c r="B22" s="1152" t="str">
        <f>Coltura!C20</f>
        <v>A24</v>
      </c>
      <c r="C22" s="1152" t="str">
        <f>Coltura!D20</f>
        <v>Nashi frutti, legno e foglie</v>
      </c>
      <c r="D22" s="1153">
        <v>0.6</v>
      </c>
      <c r="E22" s="1153"/>
      <c r="F22" s="1153"/>
      <c r="G22" s="49" t="str">
        <f t="shared" si="6"/>
        <v>no</v>
      </c>
      <c r="H22" s="1155" t="str">
        <f>(Standard!E22)</f>
        <v>nd</v>
      </c>
      <c r="L22" s="1157" t="s">
        <v>1583</v>
      </c>
    </row>
    <row r="23" spans="1:12" x14ac:dyDescent="0.25">
      <c r="A23" s="49">
        <f t="shared" si="7"/>
        <v>20</v>
      </c>
      <c r="B23" s="1152" t="str">
        <f>Coltura!C21</f>
        <v>A25</v>
      </c>
      <c r="C23" s="1152" t="str">
        <f>Coltura!D21</f>
        <v>Nespolo frutti, legno e foglie</v>
      </c>
      <c r="D23" s="1153">
        <v>0.8</v>
      </c>
      <c r="E23" s="1153"/>
      <c r="F23" s="1153"/>
      <c r="G23" s="49" t="str">
        <f t="shared" si="6"/>
        <v>no</v>
      </c>
      <c r="H23" s="1155" t="str">
        <f>(Standard!E23)</f>
        <v>nd</v>
      </c>
      <c r="L23" s="1157" t="s">
        <v>1583</v>
      </c>
    </row>
    <row r="24" spans="1:12" x14ac:dyDescent="0.25">
      <c r="A24" s="49">
        <f t="shared" si="7"/>
        <v>21</v>
      </c>
      <c r="B24" s="1152" t="str">
        <f>Coltura!C22</f>
        <v>A26</v>
      </c>
      <c r="C24" s="1152" t="str">
        <f>Coltura!D22</f>
        <v>Nettarine frutti, legno e foglie</v>
      </c>
      <c r="D24" s="1153">
        <v>0.64</v>
      </c>
      <c r="E24" s="1153">
        <v>0.14000000000000001</v>
      </c>
      <c r="F24" s="1153">
        <v>0.53</v>
      </c>
      <c r="G24" s="49" t="str">
        <f t="shared" si="6"/>
        <v>sì</v>
      </c>
      <c r="H24" s="1155">
        <f>(Standard!E24)</f>
        <v>25</v>
      </c>
      <c r="I24" s="1156">
        <f t="shared" si="0"/>
        <v>160</v>
      </c>
      <c r="J24" s="1156">
        <f t="shared" si="1"/>
        <v>35.000000000000007</v>
      </c>
      <c r="K24" s="1156">
        <f t="shared" si="2"/>
        <v>132.5</v>
      </c>
      <c r="L24" s="1157" t="s">
        <v>1583</v>
      </c>
    </row>
    <row r="25" spans="1:12" x14ac:dyDescent="0.25">
      <c r="A25" s="49">
        <f t="shared" si="7"/>
        <v>22</v>
      </c>
      <c r="B25" s="1152" t="str">
        <f>Coltura!C23</f>
        <v>A27</v>
      </c>
      <c r="C25" s="1152" t="str">
        <f>Coltura!D23</f>
        <v>Nocciolo frutti, legno e foglie</v>
      </c>
      <c r="D25" s="1154">
        <v>3.15</v>
      </c>
      <c r="E25" s="1153">
        <v>1.35</v>
      </c>
      <c r="F25" s="1153">
        <v>2.9</v>
      </c>
      <c r="G25" s="49" t="str">
        <f t="shared" si="6"/>
        <v>sì</v>
      </c>
      <c r="H25" s="1155" t="str">
        <f>(Standard!E25)</f>
        <v>nd</v>
      </c>
      <c r="L25" s="1157" t="s">
        <v>1583</v>
      </c>
    </row>
    <row r="26" spans="1:12" x14ac:dyDescent="0.25">
      <c r="A26" s="49">
        <f t="shared" si="7"/>
        <v>23</v>
      </c>
      <c r="B26" s="1152" t="str">
        <f>Coltura!C24</f>
        <v>A28</v>
      </c>
      <c r="C26" s="1152" t="str">
        <f>Coltura!D24</f>
        <v>Noce da frutto frutti, legno e foglie</v>
      </c>
      <c r="D26" s="1166">
        <v>3.2</v>
      </c>
      <c r="E26" s="1153">
        <v>1</v>
      </c>
      <c r="F26" s="1153">
        <v>1.3</v>
      </c>
      <c r="G26" s="49" t="str">
        <f t="shared" si="6"/>
        <v>sì</v>
      </c>
      <c r="H26" s="1155">
        <f>(Standard!E26)</f>
        <v>4</v>
      </c>
      <c r="I26" s="1156">
        <f t="shared" si="0"/>
        <v>128</v>
      </c>
      <c r="J26" s="1156">
        <f t="shared" si="1"/>
        <v>40</v>
      </c>
      <c r="K26" s="1156">
        <f t="shared" si="2"/>
        <v>52</v>
      </c>
      <c r="L26" s="1157" t="s">
        <v>1583</v>
      </c>
    </row>
    <row r="27" spans="1:12" x14ac:dyDescent="0.25">
      <c r="A27" s="49">
        <f t="shared" si="7"/>
        <v>24</v>
      </c>
      <c r="B27" s="1152" t="str">
        <f>Coltura!C25</f>
        <v>A29</v>
      </c>
      <c r="C27" s="1152" t="str">
        <f>Coltura!D25</f>
        <v>Olivo olive, legno e foglie</v>
      </c>
      <c r="D27" s="1153">
        <v>2.48</v>
      </c>
      <c r="E27" s="1154">
        <v>0.48</v>
      </c>
      <c r="F27" s="1154">
        <v>2</v>
      </c>
      <c r="G27" s="49" t="str">
        <f t="shared" si="6"/>
        <v>sì</v>
      </c>
      <c r="H27" s="1155">
        <f>(Standard!E27)</f>
        <v>4</v>
      </c>
      <c r="I27" s="1156">
        <f t="shared" si="0"/>
        <v>99.2</v>
      </c>
      <c r="J27" s="1156">
        <f t="shared" si="1"/>
        <v>19.2</v>
      </c>
      <c r="K27" s="1156">
        <f t="shared" si="2"/>
        <v>80</v>
      </c>
      <c r="L27" s="1157" t="s">
        <v>1583</v>
      </c>
    </row>
    <row r="28" spans="1:12" s="1169" customFormat="1" x14ac:dyDescent="0.25">
      <c r="A28" s="49">
        <f t="shared" si="7"/>
        <v>25</v>
      </c>
      <c r="B28" s="1167" t="str">
        <f>Coltura!C26</f>
        <v>A30</v>
      </c>
      <c r="C28" s="1167" t="str">
        <f>Coltura!D26</f>
        <v>Pero media produzione frutti, legno e foglie</v>
      </c>
      <c r="D28" s="1162">
        <v>0.33</v>
      </c>
      <c r="E28" s="1163">
        <v>0.08</v>
      </c>
      <c r="F28" s="1163">
        <v>0.33</v>
      </c>
      <c r="G28" s="1168" t="str">
        <f t="shared" si="6"/>
        <v>sì</v>
      </c>
      <c r="H28" s="1164">
        <f>(Standard!E28)</f>
        <v>30</v>
      </c>
      <c r="I28" s="1164">
        <f t="shared" si="0"/>
        <v>99</v>
      </c>
      <c r="J28" s="1164">
        <f t="shared" si="1"/>
        <v>24</v>
      </c>
      <c r="K28" s="1164">
        <f t="shared" si="2"/>
        <v>99</v>
      </c>
      <c r="L28" s="1165" t="s">
        <v>1583</v>
      </c>
    </row>
    <row r="29" spans="1:12" x14ac:dyDescent="0.25">
      <c r="A29" s="49">
        <f t="shared" si="7"/>
        <v>26</v>
      </c>
      <c r="B29" s="1152" t="str">
        <f>Coltura!C27</f>
        <v>A31</v>
      </c>
      <c r="C29" s="1170" t="str">
        <f>Coltura!D27</f>
        <v>Pero alta produzione frutti, legno e foglie</v>
      </c>
      <c r="D29" s="1153">
        <v>0.33</v>
      </c>
      <c r="E29" s="1154">
        <v>0.08</v>
      </c>
      <c r="F29" s="1154">
        <v>0.33</v>
      </c>
      <c r="G29" s="49" t="str">
        <f t="shared" ref="G29" si="16">IF(AND(D29&gt;0,E29&gt;0,F29&gt;0),"sì","no")</f>
        <v>sì</v>
      </c>
      <c r="H29" s="1155">
        <f>(Standard!E29)</f>
        <v>40</v>
      </c>
      <c r="I29" s="1156">
        <f t="shared" si="0"/>
        <v>132</v>
      </c>
      <c r="J29" s="1156">
        <f t="shared" si="1"/>
        <v>32</v>
      </c>
      <c r="K29" s="1156">
        <f t="shared" si="2"/>
        <v>132</v>
      </c>
      <c r="L29" s="1157" t="s">
        <v>1583</v>
      </c>
    </row>
    <row r="30" spans="1:12" x14ac:dyDescent="0.25">
      <c r="A30" s="49">
        <f t="shared" si="7"/>
        <v>27</v>
      </c>
      <c r="B30" s="1152" t="str">
        <f>Coltura!C28</f>
        <v>A32</v>
      </c>
      <c r="C30" s="1152" t="str">
        <f>Coltura!D28</f>
        <v>Pesco frutti, legno e foglie</v>
      </c>
      <c r="D30" s="1153">
        <v>0.57999999999999996</v>
      </c>
      <c r="E30" s="1154">
        <v>0.17</v>
      </c>
      <c r="F30" s="1153">
        <v>0.57999999999999996</v>
      </c>
      <c r="G30" s="49" t="str">
        <f t="shared" si="6"/>
        <v>sì</v>
      </c>
      <c r="H30" s="1155">
        <f>(Standard!E30)</f>
        <v>25</v>
      </c>
      <c r="I30" s="1156">
        <f t="shared" si="0"/>
        <v>144.99999999999997</v>
      </c>
      <c r="J30" s="1156">
        <f t="shared" si="1"/>
        <v>42.5</v>
      </c>
      <c r="K30" s="1156">
        <f t="shared" si="2"/>
        <v>144.99999999999997</v>
      </c>
      <c r="L30" s="1157" t="s">
        <v>1583</v>
      </c>
    </row>
    <row r="31" spans="1:12" x14ac:dyDescent="0.25">
      <c r="A31" s="49">
        <f t="shared" si="7"/>
        <v>28</v>
      </c>
      <c r="B31" s="1152" t="str">
        <f>Coltura!C29</f>
        <v>A33</v>
      </c>
      <c r="C31" s="1152" t="str">
        <f>Coltura!D29</f>
        <v>Pioppo</v>
      </c>
      <c r="D31" s="1153">
        <v>0.55000000000000004</v>
      </c>
      <c r="E31" s="1153"/>
      <c r="F31" s="1153"/>
      <c r="G31" s="49" t="str">
        <f t="shared" si="6"/>
        <v>no</v>
      </c>
      <c r="H31" s="1155" t="str">
        <f>(Standard!E31)</f>
        <v>nd</v>
      </c>
      <c r="L31" s="1157" t="s">
        <v>1584</v>
      </c>
    </row>
    <row r="32" spans="1:12" x14ac:dyDescent="0.25">
      <c r="A32" s="49">
        <f t="shared" si="7"/>
        <v>29</v>
      </c>
      <c r="B32" s="1152" t="str">
        <f>Coltura!C30</f>
        <v>A34</v>
      </c>
      <c r="C32" s="1152" t="str">
        <f>Coltura!D30</f>
        <v>Pioppo da energia</v>
      </c>
      <c r="D32" s="1153">
        <v>0.6</v>
      </c>
      <c r="E32" s="1153"/>
      <c r="F32" s="1153"/>
      <c r="G32" s="49" t="str">
        <f t="shared" si="6"/>
        <v>no</v>
      </c>
      <c r="H32" s="1155" t="str">
        <f>(Standard!E32)</f>
        <v>nd</v>
      </c>
      <c r="L32" s="1157" t="s">
        <v>1584</v>
      </c>
    </row>
    <row r="33" spans="1:12" x14ac:dyDescent="0.25">
      <c r="A33" s="49">
        <f t="shared" si="7"/>
        <v>30</v>
      </c>
      <c r="B33" s="1152" t="str">
        <f>Coltura!C31</f>
        <v>A35</v>
      </c>
      <c r="C33" s="1152" t="str">
        <f>Coltura!D31</f>
        <v>Susino frutti, legno e foglie</v>
      </c>
      <c r="D33" s="1153">
        <v>0.49</v>
      </c>
      <c r="E33" s="1154">
        <v>0.1</v>
      </c>
      <c r="F33" s="1153">
        <v>0.49</v>
      </c>
      <c r="G33" s="49" t="str">
        <f t="shared" si="6"/>
        <v>sì</v>
      </c>
      <c r="H33" s="1155">
        <f>(Standard!E33)</f>
        <v>25</v>
      </c>
      <c r="I33" s="1156">
        <f t="shared" si="0"/>
        <v>122.5</v>
      </c>
      <c r="J33" s="1156">
        <f t="shared" si="1"/>
        <v>25</v>
      </c>
      <c r="K33" s="1156">
        <f t="shared" si="2"/>
        <v>122.5</v>
      </c>
      <c r="L33" s="1157" t="s">
        <v>1583</v>
      </c>
    </row>
    <row r="34" spans="1:12" x14ac:dyDescent="0.25">
      <c r="A34" s="49">
        <f t="shared" si="7"/>
        <v>31</v>
      </c>
      <c r="B34" s="1152" t="str">
        <f>Coltura!C32</f>
        <v>A36</v>
      </c>
      <c r="C34" s="1152" t="str">
        <f>Coltura!D32</f>
        <v>Uva da tavola grappoli, tralci e foglie</v>
      </c>
      <c r="D34" s="1153">
        <v>0.51</v>
      </c>
      <c r="E34" s="1153">
        <v>0.06</v>
      </c>
      <c r="F34" s="1153">
        <v>0.48</v>
      </c>
      <c r="G34" s="49" t="str">
        <f t="shared" si="6"/>
        <v>sì</v>
      </c>
      <c r="H34" s="1155">
        <f>(Standard!E34)</f>
        <v>25</v>
      </c>
      <c r="I34" s="1156">
        <f t="shared" si="0"/>
        <v>127.5</v>
      </c>
      <c r="J34" s="1156">
        <f t="shared" si="1"/>
        <v>15</v>
      </c>
      <c r="K34" s="1156">
        <f t="shared" si="2"/>
        <v>120</v>
      </c>
      <c r="L34" s="1157" t="s">
        <v>1585</v>
      </c>
    </row>
    <row r="35" spans="1:12" x14ac:dyDescent="0.25">
      <c r="A35" s="49">
        <f t="shared" si="7"/>
        <v>32</v>
      </c>
      <c r="B35" s="1152" t="str">
        <f>Coltura!C33</f>
        <v>A37</v>
      </c>
      <c r="C35" s="1152" t="str">
        <f>Coltura!D33</f>
        <v xml:space="preserve">Vite per uva da vino (collina e montagna) grappoli, tralci e foglie </v>
      </c>
      <c r="D35" s="1154">
        <v>0.56999999999999995</v>
      </c>
      <c r="E35" s="1153">
        <v>0.26</v>
      </c>
      <c r="F35" s="1154">
        <v>0.67</v>
      </c>
      <c r="G35" s="49" t="str">
        <f t="shared" si="6"/>
        <v>sì</v>
      </c>
      <c r="H35" s="1155">
        <f>(Standard!E35)</f>
        <v>10</v>
      </c>
      <c r="I35" s="1156">
        <f t="shared" si="0"/>
        <v>56.999999999999993</v>
      </c>
      <c r="J35" s="1156">
        <f t="shared" si="1"/>
        <v>26</v>
      </c>
      <c r="K35" s="1156">
        <f t="shared" si="2"/>
        <v>67</v>
      </c>
      <c r="L35" s="1157" t="s">
        <v>1585</v>
      </c>
    </row>
    <row r="36" spans="1:12" x14ac:dyDescent="0.25">
      <c r="A36" s="49">
        <f t="shared" si="7"/>
        <v>33</v>
      </c>
      <c r="B36" s="1152" t="str">
        <f>Coltura!C34</f>
        <v>A38</v>
      </c>
      <c r="C36" s="1152" t="str">
        <f>Coltura!D34</f>
        <v>Vite per uva da vino (pianura) grappoli, legno e foglie</v>
      </c>
      <c r="D36" s="1154">
        <v>0.62</v>
      </c>
      <c r="E36" s="1154">
        <v>0.28000000000000003</v>
      </c>
      <c r="F36" s="1154">
        <v>0.74</v>
      </c>
      <c r="G36" s="49" t="str">
        <f t="shared" si="6"/>
        <v>sì</v>
      </c>
      <c r="H36" s="1155">
        <f>(Standard!E36)</f>
        <v>20</v>
      </c>
      <c r="I36" s="1156">
        <f t="shared" si="0"/>
        <v>124</v>
      </c>
      <c r="J36" s="1156">
        <f t="shared" si="1"/>
        <v>56.000000000000007</v>
      </c>
      <c r="K36" s="1156">
        <f t="shared" si="2"/>
        <v>148</v>
      </c>
      <c r="L36" s="1157" t="s">
        <v>1585</v>
      </c>
    </row>
    <row r="37" spans="1:12" x14ac:dyDescent="0.25">
      <c r="A37" s="49">
        <f>(A36+1)</f>
        <v>34</v>
      </c>
      <c r="B37" s="1152" t="str">
        <f>Coltura!C35</f>
        <v>E1</v>
      </c>
      <c r="C37" s="1152" t="str">
        <f>Coltura!D35</f>
        <v>Altri cereali a paglia (pianta intera)</v>
      </c>
      <c r="D37" s="1153">
        <f>AVERAGE(D48,D53,D55,D57,D59,D73,D81,D93)*0.8</f>
        <v>2.2250000000000001</v>
      </c>
      <c r="E37" s="1153">
        <f>AVERAGE(E48,E53,E55,E57,E59,E73,E81,E93)*0.8</f>
        <v>0.8580000000000001</v>
      </c>
      <c r="F37" s="1153">
        <f>AVERAGE(F48,F53,F55,F57,F59,F73,F81,F93)*0.8</f>
        <v>1.7670000000000003</v>
      </c>
      <c r="G37" s="49" t="str">
        <f t="shared" si="6"/>
        <v>sì</v>
      </c>
      <c r="H37" s="1155" t="str">
        <f>(Standard!E37)</f>
        <v>nd</v>
      </c>
      <c r="I37" s="1171"/>
      <c r="L37" s="1157" t="s">
        <v>1577</v>
      </c>
    </row>
    <row r="38" spans="1:12" x14ac:dyDescent="0.25">
      <c r="A38" s="49">
        <f t="shared" si="7"/>
        <v>35</v>
      </c>
      <c r="B38" s="1152" t="str">
        <f>Coltura!C36</f>
        <v>E2</v>
      </c>
      <c r="C38" s="1172" t="str">
        <f>Coltura!D36</f>
        <v>Avena</v>
      </c>
      <c r="D38" s="1154">
        <v>2.2400000000000002</v>
      </c>
      <c r="E38" s="1153">
        <v>0.67</v>
      </c>
      <c r="F38" s="1153">
        <v>0.51</v>
      </c>
      <c r="G38" s="49" t="str">
        <f t="shared" si="6"/>
        <v>sì</v>
      </c>
      <c r="H38" s="1155">
        <f>(Standard!E38)</f>
        <v>3.2</v>
      </c>
      <c r="I38" s="1156">
        <f>(D38*$H38)*10</f>
        <v>71.680000000000007</v>
      </c>
      <c r="J38" s="1156">
        <f t="shared" ref="J38:K38" si="17">(E38*$H38)*10</f>
        <v>21.44</v>
      </c>
      <c r="K38" s="1156">
        <f t="shared" si="17"/>
        <v>16.32</v>
      </c>
      <c r="L38" s="714" t="s">
        <v>1576</v>
      </c>
    </row>
    <row r="39" spans="1:12" x14ac:dyDescent="0.25">
      <c r="A39" s="49">
        <f t="shared" si="7"/>
        <v>36</v>
      </c>
      <c r="B39" s="1152" t="str">
        <f>Coltura!C37</f>
        <v>E3</v>
      </c>
      <c r="C39" s="1152" t="str">
        <f>Coltura!D37</f>
        <v>Avena pianta intera</v>
      </c>
      <c r="D39" s="1154">
        <v>2.2400000000000002</v>
      </c>
      <c r="E39" s="1153">
        <v>0.93</v>
      </c>
      <c r="F39" s="1153">
        <v>2.19</v>
      </c>
      <c r="G39" s="49" t="str">
        <f t="shared" si="6"/>
        <v>sì</v>
      </c>
      <c r="H39" s="1155">
        <f>(Standard!E39)</f>
        <v>3.2</v>
      </c>
      <c r="I39" s="1156">
        <f>(D39*$H39)*10</f>
        <v>71.680000000000007</v>
      </c>
      <c r="J39" s="1156">
        <f t="shared" ref="J39" si="18">(E39*$H39)*10</f>
        <v>29.760000000000005</v>
      </c>
      <c r="K39" s="1156">
        <f t="shared" ref="K39" si="19">(F39*$H39)*10</f>
        <v>70.08</v>
      </c>
      <c r="L39" s="714" t="s">
        <v>1577</v>
      </c>
    </row>
    <row r="40" spans="1:12" x14ac:dyDescent="0.25">
      <c r="A40" s="49">
        <f t="shared" si="7"/>
        <v>37</v>
      </c>
      <c r="B40" s="1152" t="str">
        <f>Coltura!C38</f>
        <v>E4</v>
      </c>
      <c r="C40" s="1152" t="str">
        <f>Coltura!D38</f>
        <v>Barbababietola da zucchero (pianta intera)</v>
      </c>
      <c r="D40" s="1153">
        <v>0.31</v>
      </c>
      <c r="E40" s="1154">
        <v>0.16</v>
      </c>
      <c r="F40" s="1153">
        <v>0.33</v>
      </c>
      <c r="G40" s="49" t="str">
        <f t="shared" si="6"/>
        <v>sì</v>
      </c>
      <c r="H40" s="1155">
        <f>(Standard!E40)</f>
        <v>70</v>
      </c>
      <c r="I40" s="1156">
        <f t="shared" ref="I40:I45" si="20">(D40*$H40)*10</f>
        <v>217</v>
      </c>
      <c r="J40" s="1156">
        <f t="shared" ref="J40:J45" si="21">(E40*$H40)*10</f>
        <v>112.00000000000001</v>
      </c>
      <c r="K40" s="1156">
        <f t="shared" ref="K40:K45" si="22">(F40*$H40)*10</f>
        <v>231</v>
      </c>
      <c r="L40" s="1157" t="s">
        <v>1587</v>
      </c>
    </row>
    <row r="41" spans="1:12" x14ac:dyDescent="0.25">
      <c r="A41" s="49">
        <f t="shared" si="7"/>
        <v>38</v>
      </c>
      <c r="B41" s="1152" t="str">
        <f>Coltura!C39</f>
        <v>E5</v>
      </c>
      <c r="C41" s="1152" t="str">
        <f>Coltura!D39</f>
        <v>Barbabietola da zucchero  (radici)</v>
      </c>
      <c r="D41" s="1153">
        <v>0.31</v>
      </c>
      <c r="E41" s="1153">
        <v>0.14000000000000001</v>
      </c>
      <c r="F41" s="1153">
        <v>0.21</v>
      </c>
      <c r="G41" s="49" t="str">
        <f t="shared" si="6"/>
        <v>sì</v>
      </c>
      <c r="H41" s="1155">
        <f>(Standard!E41)</f>
        <v>50</v>
      </c>
      <c r="I41" s="1156">
        <f t="shared" si="20"/>
        <v>155</v>
      </c>
      <c r="J41" s="1156">
        <f t="shared" si="21"/>
        <v>70.000000000000014</v>
      </c>
      <c r="K41" s="1156">
        <f t="shared" si="22"/>
        <v>105</v>
      </c>
      <c r="L41" s="1157" t="s">
        <v>1587</v>
      </c>
    </row>
    <row r="42" spans="1:12" x14ac:dyDescent="0.25">
      <c r="A42" s="49">
        <f t="shared" si="7"/>
        <v>39</v>
      </c>
      <c r="B42" s="1152" t="str">
        <f>Coltura!C40</f>
        <v>E6</v>
      </c>
      <c r="C42" s="1152" t="str">
        <f>Coltura!D40</f>
        <v>Canapa da fibra</v>
      </c>
      <c r="D42" s="1153">
        <v>0.43</v>
      </c>
      <c r="E42" s="1153">
        <v>0.2</v>
      </c>
      <c r="F42" s="1153">
        <v>0.6</v>
      </c>
      <c r="G42" s="49" t="str">
        <f t="shared" si="6"/>
        <v>sì</v>
      </c>
      <c r="H42" s="1155" t="str">
        <f>(Standard!E42)</f>
        <v>nd</v>
      </c>
      <c r="L42" s="1157" t="s">
        <v>1588</v>
      </c>
    </row>
    <row r="43" spans="1:12" x14ac:dyDescent="0.25">
      <c r="A43" s="49">
        <f t="shared" si="7"/>
        <v>40</v>
      </c>
      <c r="B43" s="1152" t="str">
        <f>Coltura!C41</f>
        <v>E7</v>
      </c>
      <c r="C43" s="1152" t="str">
        <f>Coltura!D41</f>
        <v>Cavolo abissino</v>
      </c>
      <c r="D43" s="1153">
        <v>6.91</v>
      </c>
      <c r="E43" s="1153"/>
      <c r="F43" s="1153"/>
      <c r="G43" s="49" t="str">
        <f t="shared" si="6"/>
        <v>no</v>
      </c>
      <c r="H43" s="1155" t="str">
        <f>(Standard!E43)</f>
        <v>nd</v>
      </c>
      <c r="L43" s="1157" t="s">
        <v>1589</v>
      </c>
    </row>
    <row r="44" spans="1:12" x14ac:dyDescent="0.25">
      <c r="A44" s="49">
        <f t="shared" si="7"/>
        <v>41</v>
      </c>
      <c r="B44" s="1152" t="str">
        <f>Coltura!C42</f>
        <v>E8</v>
      </c>
      <c r="C44" s="1152" t="str">
        <f>Coltura!D42</f>
        <v>Cece</v>
      </c>
      <c r="D44" s="1153">
        <v>3.68</v>
      </c>
      <c r="E44" s="1153">
        <v>1.08</v>
      </c>
      <c r="F44" s="1161">
        <v>1.74</v>
      </c>
      <c r="G44" s="49" t="str">
        <f t="shared" si="6"/>
        <v>sì</v>
      </c>
      <c r="H44" s="1155">
        <f>(Standard!E44)</f>
        <v>2</v>
      </c>
      <c r="I44" s="1156">
        <f t="shared" si="20"/>
        <v>73.600000000000009</v>
      </c>
      <c r="J44" s="1156">
        <f t="shared" si="21"/>
        <v>21.6</v>
      </c>
      <c r="K44" s="1156">
        <f t="shared" si="22"/>
        <v>34.799999999999997</v>
      </c>
      <c r="L44" s="1157" t="s">
        <v>1590</v>
      </c>
    </row>
    <row r="45" spans="1:12" x14ac:dyDescent="0.25">
      <c r="A45" s="49">
        <f t="shared" si="7"/>
        <v>42</v>
      </c>
      <c r="B45" s="1152" t="str">
        <f>Coltura!C43</f>
        <v>E9</v>
      </c>
      <c r="C45" s="1152" t="str">
        <f>Coltura!D43</f>
        <v>Colza</v>
      </c>
      <c r="D45" s="1153">
        <v>6.21</v>
      </c>
      <c r="E45" s="1153">
        <v>1.28</v>
      </c>
      <c r="F45" s="1153">
        <v>0.99</v>
      </c>
      <c r="G45" s="49" t="str">
        <f t="shared" si="6"/>
        <v>sì</v>
      </c>
      <c r="H45" s="1155">
        <f>(Standard!E45)</f>
        <v>2.5</v>
      </c>
      <c r="I45" s="1156">
        <f t="shared" si="20"/>
        <v>155.25</v>
      </c>
      <c r="J45" s="1156">
        <f t="shared" si="21"/>
        <v>32</v>
      </c>
      <c r="K45" s="1156">
        <f t="shared" si="22"/>
        <v>24.75</v>
      </c>
      <c r="L45" s="1157" t="s">
        <v>1591</v>
      </c>
    </row>
    <row r="46" spans="1:12" x14ac:dyDescent="0.25">
      <c r="A46" s="49">
        <f t="shared" si="7"/>
        <v>43</v>
      </c>
      <c r="B46" s="1152" t="str">
        <f>Coltura!C44</f>
        <v>E10</v>
      </c>
      <c r="C46" s="1152" t="str">
        <f>Coltura!D44</f>
        <v>Colza pianta intera</v>
      </c>
      <c r="D46" s="1153">
        <v>6.21</v>
      </c>
      <c r="E46" s="1153">
        <v>2.66</v>
      </c>
      <c r="F46" s="1153">
        <v>7.86</v>
      </c>
      <c r="G46" s="49" t="str">
        <f t="shared" si="6"/>
        <v>sì</v>
      </c>
      <c r="H46" s="1155">
        <f>(Standard!E46)</f>
        <v>2.5</v>
      </c>
      <c r="I46" s="1156">
        <f>(D46*$H46)*10</f>
        <v>155.25</v>
      </c>
      <c r="J46" s="1156">
        <f t="shared" ref="J46:K46" si="23">(E46*$H46)*10</f>
        <v>66.5</v>
      </c>
      <c r="K46" s="1156">
        <f t="shared" si="23"/>
        <v>196.50000000000003</v>
      </c>
      <c r="L46" s="714" t="s">
        <v>1578</v>
      </c>
    </row>
    <row r="47" spans="1:12" x14ac:dyDescent="0.25">
      <c r="A47" s="49">
        <f t="shared" si="7"/>
        <v>44</v>
      </c>
      <c r="B47" s="1152" t="str">
        <f>Coltura!C45</f>
        <v>E11</v>
      </c>
      <c r="C47" s="1152" t="str">
        <f>Coltura!D45</f>
        <v>Farro</v>
      </c>
      <c r="D47" s="1153">
        <v>2.7</v>
      </c>
      <c r="E47" s="1153">
        <v>0.87</v>
      </c>
      <c r="F47" s="1153">
        <v>0.52</v>
      </c>
      <c r="G47" s="49" t="str">
        <f t="shared" si="6"/>
        <v>sì</v>
      </c>
      <c r="H47" s="1155">
        <f>(Standard!E47)</f>
        <v>2</v>
      </c>
      <c r="I47" s="1156">
        <f>(D47*$H47)*10</f>
        <v>54</v>
      </c>
      <c r="J47" s="1156">
        <f t="shared" ref="J47" si="24">(E47*$H47)*10</f>
        <v>17.399999999999999</v>
      </c>
      <c r="K47" s="1156">
        <f t="shared" ref="K47" si="25">(F47*$H47)*10</f>
        <v>10.4</v>
      </c>
      <c r="L47" s="714" t="s">
        <v>1576</v>
      </c>
    </row>
    <row r="48" spans="1:12" x14ac:dyDescent="0.25">
      <c r="A48" s="49">
        <f t="shared" si="7"/>
        <v>45</v>
      </c>
      <c r="B48" s="1152" t="str">
        <f>Coltura!C46</f>
        <v>E12</v>
      </c>
      <c r="C48" s="1152" t="str">
        <f>Coltura!D46</f>
        <v>Farro (pianta intera)</v>
      </c>
      <c r="D48" s="1153">
        <v>2.7</v>
      </c>
      <c r="E48" s="1153">
        <v>0.98</v>
      </c>
      <c r="F48" s="1153">
        <v>1.53</v>
      </c>
      <c r="G48" s="49" t="str">
        <f t="shared" si="6"/>
        <v>sì</v>
      </c>
      <c r="H48" s="1155">
        <f>(Standard!E48)</f>
        <v>2</v>
      </c>
      <c r="I48" s="1156">
        <f>(D48*$H48)*10</f>
        <v>54</v>
      </c>
      <c r="J48" s="1156">
        <f t="shared" ref="J48" si="26">(E48*$H48)*10</f>
        <v>19.600000000000001</v>
      </c>
      <c r="K48" s="1156">
        <f t="shared" ref="K48" si="27">(F48*$H48)*10</f>
        <v>30.6</v>
      </c>
      <c r="L48" s="714" t="s">
        <v>1581</v>
      </c>
    </row>
    <row r="49" spans="1:12" x14ac:dyDescent="0.25">
      <c r="A49" s="49">
        <f t="shared" si="7"/>
        <v>46</v>
      </c>
      <c r="B49" s="1152" t="str">
        <f>Coltura!C47</f>
        <v>E13</v>
      </c>
      <c r="C49" s="1152" t="str">
        <f>Coltura!D47</f>
        <v>Favino da granella</v>
      </c>
      <c r="D49" s="1153">
        <v>4.3</v>
      </c>
      <c r="E49" s="1153">
        <v>1</v>
      </c>
      <c r="F49" s="1153">
        <v>4.4000000000000004</v>
      </c>
      <c r="G49" s="49" t="str">
        <f t="shared" si="6"/>
        <v>sì</v>
      </c>
      <c r="H49" s="1155">
        <f>(Standard!E49)</f>
        <v>2</v>
      </c>
      <c r="I49" s="1156">
        <f t="shared" ref="I49:I52" si="28">(D49*$H49)*10</f>
        <v>86</v>
      </c>
      <c r="J49" s="1156">
        <f t="shared" ref="J49:J52" si="29">(E49*$H49)*10</f>
        <v>20</v>
      </c>
      <c r="K49" s="1156">
        <f t="shared" ref="K49:K52" si="30">(F49*$H49)*10</f>
        <v>88</v>
      </c>
      <c r="L49" s="714" t="s">
        <v>1576</v>
      </c>
    </row>
    <row r="50" spans="1:12" x14ac:dyDescent="0.25">
      <c r="A50" s="49">
        <f t="shared" si="7"/>
        <v>47</v>
      </c>
      <c r="B50" s="1152" t="str">
        <f>Coltura!C48</f>
        <v>E14</v>
      </c>
      <c r="C50" s="1152" t="str">
        <f>Coltura!D48</f>
        <v>Girasole (acheni)</v>
      </c>
      <c r="D50" s="1153">
        <v>4.3099999999999996</v>
      </c>
      <c r="E50" s="1153">
        <v>1.24</v>
      </c>
      <c r="F50" s="1153">
        <v>1.1499999999999999</v>
      </c>
      <c r="G50" s="49" t="str">
        <f t="shared" si="6"/>
        <v>sì</v>
      </c>
      <c r="H50" s="1155">
        <f>(Standard!E50)</f>
        <v>3</v>
      </c>
      <c r="I50" s="1156">
        <f t="shared" si="28"/>
        <v>129.30000000000001</v>
      </c>
      <c r="J50" s="1156">
        <f t="shared" si="29"/>
        <v>37.199999999999996</v>
      </c>
      <c r="K50" s="1156">
        <f t="shared" si="30"/>
        <v>34.5</v>
      </c>
      <c r="L50" s="714" t="s">
        <v>1594</v>
      </c>
    </row>
    <row r="51" spans="1:12" x14ac:dyDescent="0.25">
      <c r="A51" s="49">
        <f t="shared" si="7"/>
        <v>48</v>
      </c>
      <c r="B51" s="1152" t="str">
        <f>Coltura!C49</f>
        <v>E15</v>
      </c>
      <c r="C51" s="1152" t="str">
        <f>Coltura!D49</f>
        <v>Girasole (pianta intera)</v>
      </c>
      <c r="D51" s="1153">
        <v>4.3099999999999996</v>
      </c>
      <c r="E51" s="1153">
        <v>1.9</v>
      </c>
      <c r="F51" s="1153">
        <v>8.51</v>
      </c>
      <c r="G51" s="49" t="str">
        <f t="shared" si="6"/>
        <v>sì</v>
      </c>
      <c r="H51" s="1155">
        <f>(Standard!E51)</f>
        <v>3</v>
      </c>
      <c r="I51" s="1156">
        <f t="shared" si="28"/>
        <v>129.30000000000001</v>
      </c>
      <c r="J51" s="1156">
        <f t="shared" si="29"/>
        <v>56.999999999999993</v>
      </c>
      <c r="K51" s="1156">
        <f t="shared" si="30"/>
        <v>255.3</v>
      </c>
      <c r="L51" s="714" t="s">
        <v>1595</v>
      </c>
    </row>
    <row r="52" spans="1:12" x14ac:dyDescent="0.25">
      <c r="A52" s="49">
        <f t="shared" si="7"/>
        <v>49</v>
      </c>
      <c r="B52" s="1152" t="str">
        <f>Coltura!C50</f>
        <v>E16</v>
      </c>
      <c r="C52" s="1152" t="str">
        <f>Coltura!D50</f>
        <v>Grano duro (granella)</v>
      </c>
      <c r="D52" s="1154">
        <v>3.11</v>
      </c>
      <c r="E52" s="1154">
        <v>0.85</v>
      </c>
      <c r="F52" s="1154">
        <v>0.59</v>
      </c>
      <c r="G52" s="49" t="str">
        <f t="shared" si="6"/>
        <v>sì</v>
      </c>
      <c r="H52" s="1155">
        <f>(Standard!E52)</f>
        <v>6</v>
      </c>
      <c r="I52" s="1156">
        <f t="shared" si="28"/>
        <v>186.6</v>
      </c>
      <c r="J52" s="1156">
        <f t="shared" si="29"/>
        <v>51</v>
      </c>
      <c r="K52" s="1156">
        <f t="shared" si="30"/>
        <v>35.4</v>
      </c>
      <c r="L52" s="714" t="s">
        <v>1576</v>
      </c>
    </row>
    <row r="53" spans="1:12" x14ac:dyDescent="0.25">
      <c r="A53" s="49">
        <f t="shared" si="7"/>
        <v>50</v>
      </c>
      <c r="B53" s="1152" t="str">
        <f>Coltura!C51</f>
        <v>E17</v>
      </c>
      <c r="C53" s="1152" t="str">
        <f>Coltura!D51</f>
        <v>Grano duro (pianta intera)</v>
      </c>
      <c r="D53" s="1154">
        <v>3.11</v>
      </c>
      <c r="E53" s="1154">
        <v>1.06</v>
      </c>
      <c r="F53" s="1154">
        <v>1.99</v>
      </c>
      <c r="G53" s="49" t="str">
        <f t="shared" si="6"/>
        <v>sì</v>
      </c>
      <c r="H53" s="1155">
        <f>(Standard!E53)</f>
        <v>6</v>
      </c>
      <c r="I53" s="1156">
        <f>(D53*$H53)*10</f>
        <v>186.6</v>
      </c>
      <c r="J53" s="1156">
        <f t="shared" ref="J53" si="31">(E53*$H53)*10</f>
        <v>63.6</v>
      </c>
      <c r="K53" s="1156">
        <f t="shared" ref="K53" si="32">(F53*$H53)*10</f>
        <v>119.39999999999999</v>
      </c>
      <c r="L53" s="714" t="s">
        <v>1581</v>
      </c>
    </row>
    <row r="54" spans="1:12" x14ac:dyDescent="0.25">
      <c r="A54" s="49">
        <f t="shared" si="7"/>
        <v>51</v>
      </c>
      <c r="B54" s="1152" t="str">
        <f>Coltura!C52</f>
        <v>E18</v>
      </c>
      <c r="C54" s="1152" t="str">
        <f>Coltura!D52</f>
        <v>Grano tenero FP/FPS (granella)</v>
      </c>
      <c r="D54" s="1153">
        <v>2.96</v>
      </c>
      <c r="E54" s="1153">
        <v>0.78</v>
      </c>
      <c r="F54" s="1153">
        <v>0.5</v>
      </c>
      <c r="G54" s="49" t="str">
        <f t="shared" si="6"/>
        <v>sì</v>
      </c>
      <c r="H54" s="1155">
        <f>(Standard!E54)</f>
        <v>6</v>
      </c>
      <c r="I54" s="1156">
        <f t="shared" ref="I54:I56" si="33">(D54*$H54)*10</f>
        <v>177.59999999999997</v>
      </c>
      <c r="J54" s="1156">
        <f t="shared" ref="J54:J56" si="34">(E54*$H54)*10</f>
        <v>46.8</v>
      </c>
      <c r="K54" s="1156">
        <f t="shared" ref="K54:K56" si="35">(F54*$H54)*10</f>
        <v>30</v>
      </c>
      <c r="L54" s="714" t="s">
        <v>1576</v>
      </c>
    </row>
    <row r="55" spans="1:12" x14ac:dyDescent="0.25">
      <c r="A55" s="49">
        <f t="shared" si="7"/>
        <v>52</v>
      </c>
      <c r="B55" s="1152" t="str">
        <f>Coltura!C53</f>
        <v>E19</v>
      </c>
      <c r="C55" s="1152" t="str">
        <f>Coltura!D53</f>
        <v>Grano tenero FP/FPS (pianta intera)</v>
      </c>
      <c r="D55" s="1153">
        <v>2.96</v>
      </c>
      <c r="E55" s="1153">
        <v>0.98</v>
      </c>
      <c r="F55" s="1153">
        <v>1.87</v>
      </c>
      <c r="G55" s="49" t="str">
        <f t="shared" si="6"/>
        <v>sì</v>
      </c>
      <c r="H55" s="1155">
        <f>(Standard!E55)</f>
        <v>6</v>
      </c>
      <c r="I55" s="1156">
        <f t="shared" si="33"/>
        <v>177.59999999999997</v>
      </c>
      <c r="J55" s="1156">
        <f t="shared" si="34"/>
        <v>58.8</v>
      </c>
      <c r="K55" s="1156">
        <f t="shared" si="35"/>
        <v>112.2</v>
      </c>
      <c r="L55" s="714" t="s">
        <v>1581</v>
      </c>
    </row>
    <row r="56" spans="1:12" x14ac:dyDescent="0.25">
      <c r="A56" s="49">
        <f t="shared" si="7"/>
        <v>53</v>
      </c>
      <c r="B56" s="1152" t="str">
        <f>Coltura!C54</f>
        <v>E20</v>
      </c>
      <c r="C56" s="1152" t="str">
        <f>Coltura!D54</f>
        <v>Grano tenero biscottiero  (granella)</v>
      </c>
      <c r="D56" s="1154">
        <v>2.81</v>
      </c>
      <c r="E56" s="1154">
        <v>0.98</v>
      </c>
      <c r="F56" s="1154">
        <v>0.61</v>
      </c>
      <c r="G56" s="49" t="str">
        <f t="shared" si="6"/>
        <v>sì</v>
      </c>
      <c r="H56" s="1155">
        <f>(Standard!E56)</f>
        <v>6</v>
      </c>
      <c r="I56" s="1156">
        <f t="shared" si="33"/>
        <v>168.6</v>
      </c>
      <c r="J56" s="1156">
        <f t="shared" si="34"/>
        <v>58.8</v>
      </c>
      <c r="K56" s="1156">
        <f t="shared" si="35"/>
        <v>36.6</v>
      </c>
      <c r="L56" s="714" t="s">
        <v>1576</v>
      </c>
    </row>
    <row r="57" spans="1:12" x14ac:dyDescent="0.25">
      <c r="A57" s="49">
        <f t="shared" si="7"/>
        <v>54</v>
      </c>
      <c r="B57" s="1152" t="str">
        <f>Coltura!C55</f>
        <v>E21</v>
      </c>
      <c r="C57" s="1152" t="str">
        <f>Coltura!D55</f>
        <v>Grano tenero biscottiero pianta intera</v>
      </c>
      <c r="D57" s="1154">
        <v>2.81</v>
      </c>
      <c r="E57" s="1154">
        <v>1.19</v>
      </c>
      <c r="F57" s="1154">
        <v>2.29</v>
      </c>
      <c r="G57" s="49" t="str">
        <f t="shared" si="6"/>
        <v>sì</v>
      </c>
      <c r="H57" s="1155">
        <f>(Standard!E57)</f>
        <v>6</v>
      </c>
      <c r="I57" s="1156">
        <f>(D57*$H57)*10</f>
        <v>168.6</v>
      </c>
      <c r="J57" s="1156">
        <f t="shared" ref="J57" si="36">(E57*$H57)*10</f>
        <v>71.399999999999991</v>
      </c>
      <c r="K57" s="1156">
        <f t="shared" ref="K57" si="37">(F57*$H57)*10</f>
        <v>137.4</v>
      </c>
      <c r="L57" s="714" t="s">
        <v>1581</v>
      </c>
    </row>
    <row r="58" spans="1:12" x14ac:dyDescent="0.25">
      <c r="A58" s="49">
        <f t="shared" si="7"/>
        <v>55</v>
      </c>
      <c r="B58" s="1152" t="str">
        <f>Coltura!C56</f>
        <v>E22</v>
      </c>
      <c r="C58" s="1152" t="str">
        <f>Coltura!D56</f>
        <v>Grano tenero FF (granella)</v>
      </c>
      <c r="D58" s="1154">
        <v>3.11</v>
      </c>
      <c r="E58" s="1154">
        <v>0.87</v>
      </c>
      <c r="F58" s="1154">
        <v>0.53</v>
      </c>
      <c r="G58" s="49" t="str">
        <f t="shared" si="6"/>
        <v>sì</v>
      </c>
      <c r="H58" s="1155">
        <f>(Standard!E58)</f>
        <v>6</v>
      </c>
      <c r="I58" s="1156">
        <f t="shared" ref="I58:I72" si="38">(D58*$H58)*10</f>
        <v>186.6</v>
      </c>
      <c r="J58" s="1156">
        <f t="shared" ref="J58:J72" si="39">(E58*$H58)*10</f>
        <v>52.199999999999996</v>
      </c>
      <c r="K58" s="1156">
        <f t="shared" ref="K58:K72" si="40">(F58*$H58)*10</f>
        <v>31.8</v>
      </c>
      <c r="L58" s="714" t="s">
        <v>1576</v>
      </c>
    </row>
    <row r="59" spans="1:12" x14ac:dyDescent="0.25">
      <c r="A59" s="49">
        <f t="shared" si="7"/>
        <v>56</v>
      </c>
      <c r="B59" s="1152" t="str">
        <f>Coltura!C57</f>
        <v>E23</v>
      </c>
      <c r="C59" s="1152" t="str">
        <f>Coltura!D57</f>
        <v>Grano tenero FF (pianta intera)</v>
      </c>
      <c r="D59" s="1154">
        <v>3.11</v>
      </c>
      <c r="E59" s="1154">
        <v>1.06</v>
      </c>
      <c r="F59" s="1154">
        <v>1.99</v>
      </c>
      <c r="G59" s="49" t="str">
        <f t="shared" si="6"/>
        <v>sì</v>
      </c>
      <c r="H59" s="1155">
        <f>(Standard!E59)</f>
        <v>6</v>
      </c>
      <c r="I59" s="1156">
        <f t="shared" si="38"/>
        <v>186.6</v>
      </c>
      <c r="J59" s="1156">
        <f t="shared" si="39"/>
        <v>63.6</v>
      </c>
      <c r="K59" s="1156">
        <f t="shared" si="40"/>
        <v>119.39999999999999</v>
      </c>
      <c r="L59" s="714" t="s">
        <v>1581</v>
      </c>
    </row>
    <row r="60" spans="1:12" x14ac:dyDescent="0.25">
      <c r="A60" s="49">
        <f t="shared" si="7"/>
        <v>57</v>
      </c>
      <c r="B60" s="1152" t="str">
        <f>Coltura!C58</f>
        <v>E24</v>
      </c>
      <c r="C60" s="1152" t="str">
        <f>Coltura!D58</f>
        <v>Lenticchia</v>
      </c>
      <c r="D60" s="1153">
        <v>4.21</v>
      </c>
      <c r="E60" s="1153">
        <v>0.95</v>
      </c>
      <c r="F60" s="1153">
        <v>1.22</v>
      </c>
      <c r="G60" s="49" t="str">
        <f t="shared" si="6"/>
        <v>sì</v>
      </c>
      <c r="H60" s="1155" t="str">
        <f>(Standard!E60)</f>
        <v>nd</v>
      </c>
      <c r="L60" s="714" t="s">
        <v>1576</v>
      </c>
    </row>
    <row r="61" spans="1:12" x14ac:dyDescent="0.25">
      <c r="A61" s="49">
        <f t="shared" si="7"/>
        <v>58</v>
      </c>
      <c r="B61" s="1152" t="str">
        <f>Coltura!C59</f>
        <v>E25</v>
      </c>
      <c r="C61" s="1152" t="str">
        <f>Coltura!D59</f>
        <v>Lino  fibra</v>
      </c>
      <c r="D61" s="1153">
        <v>2.59</v>
      </c>
      <c r="E61" s="1153">
        <v>1.8</v>
      </c>
      <c r="F61" s="1153">
        <v>3.2</v>
      </c>
      <c r="G61" s="49" t="str">
        <f t="shared" si="6"/>
        <v>sì</v>
      </c>
      <c r="H61" s="1155" t="str">
        <f>(Standard!E61)</f>
        <v>nd</v>
      </c>
      <c r="L61" s="1157" t="s">
        <v>1588</v>
      </c>
    </row>
    <row r="62" spans="1:12" x14ac:dyDescent="0.25">
      <c r="A62" s="49">
        <f t="shared" si="7"/>
        <v>59</v>
      </c>
      <c r="B62" s="1152" t="str">
        <f>Coltura!C60</f>
        <v>E26</v>
      </c>
      <c r="C62" s="1152" t="str">
        <f>Coltura!D60</f>
        <v>Lino granella</v>
      </c>
      <c r="D62" s="1153">
        <v>3.63</v>
      </c>
      <c r="E62" s="1153">
        <v>1.4</v>
      </c>
      <c r="F62" s="1153">
        <v>1.3</v>
      </c>
      <c r="G62" s="49" t="str">
        <f t="shared" si="6"/>
        <v>sì</v>
      </c>
      <c r="H62" s="1155" t="str">
        <f>(Standard!E62)</f>
        <v>nd</v>
      </c>
      <c r="L62" s="714" t="s">
        <v>1576</v>
      </c>
    </row>
    <row r="63" spans="1:12" x14ac:dyDescent="0.25">
      <c r="A63" s="49">
        <f t="shared" si="7"/>
        <v>60</v>
      </c>
      <c r="B63" s="1152" t="str">
        <f>Coltura!C61</f>
        <v>E27</v>
      </c>
      <c r="C63" s="1152" t="str">
        <f>Coltura!D61</f>
        <v>Lupino</v>
      </c>
      <c r="D63" s="1153">
        <v>4.3</v>
      </c>
      <c r="E63" s="1153">
        <v>1</v>
      </c>
      <c r="F63" s="1153">
        <v>4.4000000000000004</v>
      </c>
      <c r="G63" s="49" t="str">
        <f t="shared" si="6"/>
        <v>sì</v>
      </c>
      <c r="H63" s="1155" t="str">
        <f>(Standard!E63)</f>
        <v>nd</v>
      </c>
      <c r="L63" s="714" t="s">
        <v>1576</v>
      </c>
    </row>
    <row r="64" spans="1:12" x14ac:dyDescent="0.25">
      <c r="A64" s="49">
        <f t="shared" si="7"/>
        <v>61</v>
      </c>
      <c r="B64" s="1152" t="str">
        <f>Coltura!C62</f>
        <v>E28</v>
      </c>
      <c r="C64" s="1152" t="str">
        <f>Coltura!D62</f>
        <v>Mais da granella 300-400 (granella)</v>
      </c>
      <c r="D64" s="1153">
        <v>2.27</v>
      </c>
      <c r="E64" s="1153">
        <v>0.69</v>
      </c>
      <c r="F64" s="1153">
        <v>0.38</v>
      </c>
      <c r="G64" s="49" t="str">
        <f t="shared" si="6"/>
        <v>sì</v>
      </c>
      <c r="H64" s="1155">
        <f>(Standard!E64)</f>
        <v>7</v>
      </c>
      <c r="I64" s="1156">
        <f t="shared" si="38"/>
        <v>158.9</v>
      </c>
      <c r="J64" s="1156">
        <f t="shared" si="39"/>
        <v>48.3</v>
      </c>
      <c r="K64" s="1156">
        <f t="shared" si="40"/>
        <v>26.6</v>
      </c>
      <c r="L64" s="714" t="s">
        <v>1576</v>
      </c>
    </row>
    <row r="65" spans="1:12" x14ac:dyDescent="0.25">
      <c r="A65" s="49">
        <f t="shared" si="7"/>
        <v>62</v>
      </c>
      <c r="B65" s="1152" t="str">
        <f>Coltura!C63</f>
        <v>E29</v>
      </c>
      <c r="C65" s="1152" t="str">
        <f>Coltura!D63</f>
        <v>Mais da granella 300-400 (pianta intera)</v>
      </c>
      <c r="D65" s="1153">
        <v>2.27</v>
      </c>
      <c r="E65" s="1153">
        <v>1</v>
      </c>
      <c r="F65" s="1153">
        <v>2.23</v>
      </c>
      <c r="G65" s="49" t="str">
        <f t="shared" si="6"/>
        <v>sì</v>
      </c>
      <c r="H65" s="1155">
        <f>(Standard!E65)</f>
        <v>7</v>
      </c>
      <c r="I65" s="1156">
        <f t="shared" si="38"/>
        <v>158.9</v>
      </c>
      <c r="J65" s="1156">
        <f t="shared" si="39"/>
        <v>70</v>
      </c>
      <c r="K65" s="1156">
        <f t="shared" si="40"/>
        <v>156.1</v>
      </c>
      <c r="L65" s="714" t="s">
        <v>1581</v>
      </c>
    </row>
    <row r="66" spans="1:12" x14ac:dyDescent="0.25">
      <c r="A66" s="49">
        <f t="shared" si="7"/>
        <v>63</v>
      </c>
      <c r="B66" s="1152" t="str">
        <f>Coltura!C64</f>
        <v>E30</v>
      </c>
      <c r="C66" s="1152" t="str">
        <f>Coltura!D64</f>
        <v>Mais da granella 500-700 (granella)</v>
      </c>
      <c r="D66" s="1166">
        <v>2.27</v>
      </c>
      <c r="E66" s="1166">
        <v>0.69</v>
      </c>
      <c r="F66" s="1166">
        <v>0.38</v>
      </c>
      <c r="G66" s="49" t="str">
        <f t="shared" si="6"/>
        <v>sì</v>
      </c>
      <c r="H66" s="1155">
        <f>(Standard!E66)</f>
        <v>12</v>
      </c>
      <c r="I66" s="1156">
        <f t="shared" si="38"/>
        <v>272.40000000000003</v>
      </c>
      <c r="J66" s="1156">
        <f t="shared" si="39"/>
        <v>82.8</v>
      </c>
      <c r="K66" s="1156">
        <f t="shared" si="40"/>
        <v>45.600000000000009</v>
      </c>
      <c r="L66" s="714" t="s">
        <v>1576</v>
      </c>
    </row>
    <row r="67" spans="1:12" x14ac:dyDescent="0.25">
      <c r="A67" s="49">
        <f t="shared" si="7"/>
        <v>64</v>
      </c>
      <c r="B67" s="1152" t="str">
        <f>Coltura!C65</f>
        <v>E31</v>
      </c>
      <c r="C67" s="1152" t="str">
        <f>Coltura!D65</f>
        <v>Mais da granella 500-700 (pianta intera)</v>
      </c>
      <c r="D67" s="1166">
        <v>2.27</v>
      </c>
      <c r="E67" s="1166">
        <v>1</v>
      </c>
      <c r="F67" s="1166">
        <v>2.23</v>
      </c>
      <c r="G67" s="49" t="str">
        <f t="shared" si="6"/>
        <v>sì</v>
      </c>
      <c r="H67" s="1155">
        <f>(Standard!E67)</f>
        <v>12</v>
      </c>
      <c r="I67" s="1156">
        <f t="shared" si="38"/>
        <v>272.40000000000003</v>
      </c>
      <c r="J67" s="1156">
        <f t="shared" si="39"/>
        <v>120</v>
      </c>
      <c r="K67" s="1156">
        <f t="shared" si="40"/>
        <v>267.59999999999997</v>
      </c>
      <c r="L67" s="714" t="s">
        <v>1581</v>
      </c>
    </row>
    <row r="68" spans="1:12" x14ac:dyDescent="0.25">
      <c r="A68" s="49">
        <f t="shared" si="7"/>
        <v>65</v>
      </c>
      <c r="B68" s="1152" t="str">
        <f>Coltura!C66</f>
        <v>E32</v>
      </c>
      <c r="C68" s="1152" t="str">
        <f>Coltura!D66</f>
        <v>Mais dolce  (spighe)</v>
      </c>
      <c r="D68" s="1153">
        <v>1.42</v>
      </c>
      <c r="E68" s="1153">
        <v>0.42</v>
      </c>
      <c r="F68" s="1153">
        <v>0.23</v>
      </c>
      <c r="G68" s="49" t="str">
        <f t="shared" si="6"/>
        <v>sì</v>
      </c>
      <c r="H68" s="1155">
        <f>(Standard!E68)</f>
        <v>16</v>
      </c>
      <c r="I68" s="1156">
        <f t="shared" si="38"/>
        <v>227.2</v>
      </c>
      <c r="J68" s="1156">
        <f t="shared" si="39"/>
        <v>67.2</v>
      </c>
      <c r="K68" s="1156">
        <f t="shared" si="40"/>
        <v>36.800000000000004</v>
      </c>
      <c r="L68" s="714" t="s">
        <v>1113</v>
      </c>
    </row>
    <row r="69" spans="1:12" x14ac:dyDescent="0.25">
      <c r="A69" s="49">
        <f t="shared" si="7"/>
        <v>66</v>
      </c>
      <c r="B69" s="1152" t="str">
        <f>Coltura!C67</f>
        <v>E33</v>
      </c>
      <c r="C69" s="1152" t="str">
        <f>Coltura!D67</f>
        <v>Mais dolce (pianta intera)</v>
      </c>
      <c r="D69" s="1153">
        <v>1.42</v>
      </c>
      <c r="E69" s="1153">
        <v>0.54</v>
      </c>
      <c r="F69" s="1153">
        <v>0.98</v>
      </c>
      <c r="G69" s="49" t="str">
        <f t="shared" si="6"/>
        <v>sì</v>
      </c>
      <c r="H69" s="1155">
        <f>(Standard!E69)</f>
        <v>16</v>
      </c>
      <c r="I69" s="1156">
        <f t="shared" si="38"/>
        <v>227.2</v>
      </c>
      <c r="J69" s="1156">
        <f t="shared" si="39"/>
        <v>86.4</v>
      </c>
      <c r="K69" s="1156">
        <f t="shared" si="40"/>
        <v>156.80000000000001</v>
      </c>
      <c r="L69" s="714" t="s">
        <v>1596</v>
      </c>
    </row>
    <row r="70" spans="1:12" x14ac:dyDescent="0.25">
      <c r="A70" s="49">
        <f t="shared" si="7"/>
        <v>67</v>
      </c>
      <c r="B70" s="1152" t="str">
        <f>Coltura!C68</f>
        <v>E34</v>
      </c>
      <c r="C70" s="1152" t="str">
        <f>Coltura!D68</f>
        <v>Mais trinciato classe 500</v>
      </c>
      <c r="D70" s="1153">
        <v>0.39</v>
      </c>
      <c r="E70" s="1153">
        <v>0.15</v>
      </c>
      <c r="F70" s="1153">
        <v>0.33</v>
      </c>
      <c r="G70" s="49" t="str">
        <f t="shared" si="6"/>
        <v>sì</v>
      </c>
      <c r="H70" s="1155">
        <f>(Standard!E70)</f>
        <v>45</v>
      </c>
      <c r="I70" s="1156">
        <f t="shared" si="38"/>
        <v>175.5</v>
      </c>
      <c r="J70" s="1156">
        <f t="shared" si="39"/>
        <v>67.5</v>
      </c>
      <c r="K70" s="1156">
        <f t="shared" si="40"/>
        <v>148.5</v>
      </c>
      <c r="L70" s="714" t="s">
        <v>1588</v>
      </c>
    </row>
    <row r="71" spans="1:12" x14ac:dyDescent="0.25">
      <c r="A71" s="49">
        <f t="shared" si="7"/>
        <v>68</v>
      </c>
      <c r="B71" s="1152" t="str">
        <f>Coltura!C69</f>
        <v>E35</v>
      </c>
      <c r="C71" s="1152" t="str">
        <f>Coltura!D69</f>
        <v>Mais trinciato classe 700</v>
      </c>
      <c r="D71" s="1153">
        <v>0.39</v>
      </c>
      <c r="E71" s="1153">
        <v>0.15</v>
      </c>
      <c r="F71" s="1153">
        <v>0.33</v>
      </c>
      <c r="G71" s="49" t="str">
        <f>IF(AND(D71&gt;0,E71&gt;0,F71&gt;0),"sì","no")</f>
        <v>sì</v>
      </c>
      <c r="H71" s="1155">
        <f>(Standard!E71)</f>
        <v>65</v>
      </c>
      <c r="I71" s="1156">
        <f t="shared" si="38"/>
        <v>253.5</v>
      </c>
      <c r="J71" s="1156">
        <f t="shared" si="39"/>
        <v>97.5</v>
      </c>
      <c r="K71" s="1156">
        <f t="shared" si="40"/>
        <v>214.5</v>
      </c>
      <c r="L71" s="714" t="s">
        <v>1588</v>
      </c>
    </row>
    <row r="72" spans="1:12" x14ac:dyDescent="0.25">
      <c r="A72" s="49">
        <f t="shared" si="7"/>
        <v>69</v>
      </c>
      <c r="B72" s="1152" t="str">
        <f>Coltura!C70</f>
        <v>E36</v>
      </c>
      <c r="C72" s="1152" t="str">
        <f>Coltura!D70</f>
        <v>Orzo (granella)</v>
      </c>
      <c r="D72" s="1153">
        <v>2.2400000000000002</v>
      </c>
      <c r="E72" s="1153">
        <v>0.8</v>
      </c>
      <c r="F72" s="1153">
        <v>0.52</v>
      </c>
      <c r="G72" s="49" t="str">
        <f t="shared" si="6"/>
        <v>sì</v>
      </c>
      <c r="H72" s="1155">
        <f>(Standard!E72)</f>
        <v>6.5</v>
      </c>
      <c r="I72" s="1156">
        <f t="shared" si="38"/>
        <v>145.60000000000002</v>
      </c>
      <c r="J72" s="1156">
        <f t="shared" si="39"/>
        <v>52</v>
      </c>
      <c r="K72" s="1156">
        <f t="shared" si="40"/>
        <v>33.799999999999997</v>
      </c>
      <c r="L72" s="714" t="s">
        <v>1576</v>
      </c>
    </row>
    <row r="73" spans="1:12" x14ac:dyDescent="0.25">
      <c r="A73" s="49">
        <f t="shared" si="7"/>
        <v>70</v>
      </c>
      <c r="B73" s="1152" t="str">
        <f>Coltura!C71</f>
        <v>E37</v>
      </c>
      <c r="C73" s="1152" t="str">
        <f>Coltura!D71</f>
        <v>Orzo (pianta intera)</v>
      </c>
      <c r="D73" s="1153">
        <v>2.2400000000000002</v>
      </c>
      <c r="E73" s="1153">
        <v>0.98</v>
      </c>
      <c r="F73" s="1153">
        <v>1.89</v>
      </c>
      <c r="G73" s="49" t="str">
        <f t="shared" si="6"/>
        <v>sì</v>
      </c>
      <c r="H73" s="1155">
        <f>(Standard!E73)</f>
        <v>6.5</v>
      </c>
      <c r="I73" s="1156">
        <f>(D73*$H73)*10</f>
        <v>145.60000000000002</v>
      </c>
      <c r="J73" s="1156">
        <f t="shared" ref="J73" si="41">(E73*$H73)*10</f>
        <v>63.7</v>
      </c>
      <c r="K73" s="1156">
        <f t="shared" ref="K73" si="42">(F73*$H73)*10</f>
        <v>122.85</v>
      </c>
      <c r="L73" s="714" t="s">
        <v>1581</v>
      </c>
    </row>
    <row r="74" spans="1:12" x14ac:dyDescent="0.25">
      <c r="A74" s="49">
        <f t="shared" si="7"/>
        <v>71</v>
      </c>
      <c r="B74" s="1152" t="str">
        <f>Coltura!C72</f>
        <v>E38</v>
      </c>
      <c r="C74" s="1152" t="str">
        <f>Coltura!D72</f>
        <v>Panico</v>
      </c>
      <c r="D74" s="1153">
        <v>1.49</v>
      </c>
      <c r="E74" s="1153">
        <v>0.39</v>
      </c>
      <c r="F74" s="1154">
        <v>1.79</v>
      </c>
      <c r="G74" s="49" t="str">
        <f t="shared" si="6"/>
        <v>sì</v>
      </c>
      <c r="H74" s="1155" t="str">
        <f>(Standard!E74)</f>
        <v>nd</v>
      </c>
      <c r="L74" s="714" t="s">
        <v>1576</v>
      </c>
    </row>
    <row r="75" spans="1:12" x14ac:dyDescent="0.25">
      <c r="A75" s="49">
        <f t="shared" ref="A75:A138" si="43">(A74+1)</f>
        <v>72</v>
      </c>
      <c r="B75" s="1152" t="str">
        <f>Coltura!C73</f>
        <v>E39</v>
      </c>
      <c r="C75" s="1152" t="str">
        <f>Coltura!D73</f>
        <v>Pisello proteico</v>
      </c>
      <c r="D75" s="1153">
        <v>4.55</v>
      </c>
      <c r="E75" s="1153">
        <v>0.88</v>
      </c>
      <c r="F75" s="1153">
        <v>1.28</v>
      </c>
      <c r="G75" s="49" t="str">
        <f t="shared" si="6"/>
        <v>sì</v>
      </c>
      <c r="H75" s="1155">
        <f>(Standard!E75)</f>
        <v>5</v>
      </c>
      <c r="I75" s="1156">
        <f t="shared" ref="I75:I80" si="44">(D75*$H75)*10</f>
        <v>227.5</v>
      </c>
      <c r="J75" s="1156">
        <f t="shared" ref="J75:J80" si="45">(E75*$H75)*10</f>
        <v>44</v>
      </c>
      <c r="K75" s="1156">
        <f t="shared" ref="K75:K80" si="46">(F75*$H75)*10</f>
        <v>64</v>
      </c>
      <c r="L75" s="714" t="s">
        <v>1576</v>
      </c>
    </row>
    <row r="76" spans="1:12" x14ac:dyDescent="0.25">
      <c r="A76" s="49">
        <f t="shared" si="43"/>
        <v>73</v>
      </c>
      <c r="B76" s="1152" t="str">
        <f>Coltura!C74</f>
        <v>E40</v>
      </c>
      <c r="C76" s="1152" t="str">
        <f>Coltura!D74</f>
        <v>Pisello proteico + residui</v>
      </c>
      <c r="D76" s="1153">
        <v>4.55</v>
      </c>
      <c r="E76" s="1153">
        <v>1.1599999999999999</v>
      </c>
      <c r="F76" s="1153">
        <v>4.2300000000000004</v>
      </c>
      <c r="G76" s="49" t="str">
        <f t="shared" ref="G76:G157" si="47">IF(AND(D76&gt;0,E76&gt;0,F76&gt;0),"sì","no")</f>
        <v>sì</v>
      </c>
      <c r="H76" s="1155">
        <f>(Standard!E76)</f>
        <v>5</v>
      </c>
      <c r="I76" s="1156">
        <f t="shared" si="44"/>
        <v>227.5</v>
      </c>
      <c r="J76" s="1156">
        <f t="shared" si="45"/>
        <v>58</v>
      </c>
      <c r="K76" s="1156">
        <f t="shared" si="46"/>
        <v>211.50000000000003</v>
      </c>
      <c r="L76" s="714" t="s">
        <v>1597</v>
      </c>
    </row>
    <row r="77" spans="1:12" x14ac:dyDescent="0.25">
      <c r="A77" s="49">
        <f t="shared" si="43"/>
        <v>74</v>
      </c>
      <c r="B77" s="1152" t="str">
        <f>Coltura!C75</f>
        <v>E41</v>
      </c>
      <c r="C77" s="1152" t="str">
        <f>Coltura!D75</f>
        <v>Rafano (da sovescio)</v>
      </c>
      <c r="D77" s="1153">
        <v>0.13</v>
      </c>
      <c r="E77" s="1153">
        <v>0.09</v>
      </c>
      <c r="F77" s="1153">
        <v>0.44</v>
      </c>
      <c r="G77" s="49" t="str">
        <f t="shared" si="47"/>
        <v>sì</v>
      </c>
      <c r="H77" s="1155" t="str">
        <f>(Standard!E77)</f>
        <v>nd</v>
      </c>
      <c r="L77" s="714" t="s">
        <v>1588</v>
      </c>
    </row>
    <row r="78" spans="1:12" x14ac:dyDescent="0.25">
      <c r="A78" s="49">
        <f t="shared" si="43"/>
        <v>75</v>
      </c>
      <c r="B78" s="1152" t="str">
        <f>Coltura!C76</f>
        <v>E42</v>
      </c>
      <c r="C78" s="1152" t="str">
        <f>Coltura!D76</f>
        <v>Riso (granella)</v>
      </c>
      <c r="D78" s="1153">
        <v>2.0299999999999998</v>
      </c>
      <c r="E78" s="1153">
        <v>0.7</v>
      </c>
      <c r="F78" s="1153">
        <v>0.55000000000000004</v>
      </c>
      <c r="G78" s="49" t="str">
        <f t="shared" si="47"/>
        <v>sì</v>
      </c>
      <c r="H78" s="1155">
        <f>(Standard!E78)</f>
        <v>7</v>
      </c>
      <c r="I78" s="1156">
        <f t="shared" si="44"/>
        <v>142.1</v>
      </c>
      <c r="J78" s="1156">
        <f t="shared" si="45"/>
        <v>48.999999999999993</v>
      </c>
      <c r="K78" s="1156">
        <f t="shared" si="46"/>
        <v>38.500000000000007</v>
      </c>
      <c r="L78" s="714" t="s">
        <v>1576</v>
      </c>
    </row>
    <row r="79" spans="1:12" x14ac:dyDescent="0.25">
      <c r="A79" s="49">
        <f t="shared" si="43"/>
        <v>76</v>
      </c>
      <c r="B79" s="1152" t="str">
        <f>Coltura!C77</f>
        <v>E43</v>
      </c>
      <c r="C79" s="1152" t="str">
        <f>Coltura!D77</f>
        <v>Riso (granella+paglia)</v>
      </c>
      <c r="D79" s="1153">
        <v>2.0299999999999998</v>
      </c>
      <c r="E79" s="1153">
        <v>0.92</v>
      </c>
      <c r="F79" s="1153">
        <v>2.0699999999999998</v>
      </c>
      <c r="G79" s="49" t="str">
        <f t="shared" si="47"/>
        <v>sì</v>
      </c>
      <c r="H79" s="1155">
        <f>(Standard!E79)</f>
        <v>7</v>
      </c>
      <c r="I79" s="1156">
        <f t="shared" si="44"/>
        <v>142.1</v>
      </c>
      <c r="J79" s="1156">
        <f t="shared" si="45"/>
        <v>64.400000000000006</v>
      </c>
      <c r="K79" s="1156">
        <f t="shared" si="46"/>
        <v>144.89999999999998</v>
      </c>
      <c r="L79" s="714" t="s">
        <v>1577</v>
      </c>
    </row>
    <row r="80" spans="1:12" x14ac:dyDescent="0.25">
      <c r="A80" s="49">
        <f t="shared" si="43"/>
        <v>77</v>
      </c>
      <c r="B80" s="1152" t="str">
        <f>Coltura!C78</f>
        <v>E44</v>
      </c>
      <c r="C80" s="1152" t="str">
        <f>Coltura!D78</f>
        <v>Segale (granella)</v>
      </c>
      <c r="D80" s="1153">
        <v>2.78</v>
      </c>
      <c r="E80" s="1153">
        <v>0.7</v>
      </c>
      <c r="F80" s="1153">
        <v>0.5</v>
      </c>
      <c r="G80" s="49" t="str">
        <f t="shared" si="47"/>
        <v>sì</v>
      </c>
      <c r="H80" s="1155">
        <f>(Standard!E80)</f>
        <v>4</v>
      </c>
      <c r="I80" s="1156">
        <f t="shared" si="44"/>
        <v>111.19999999999999</v>
      </c>
      <c r="J80" s="1156">
        <f t="shared" si="45"/>
        <v>28</v>
      </c>
      <c r="K80" s="1156">
        <f t="shared" si="46"/>
        <v>20</v>
      </c>
      <c r="L80" s="714" t="s">
        <v>1576</v>
      </c>
    </row>
    <row r="81" spans="1:15" x14ac:dyDescent="0.25">
      <c r="A81" s="49">
        <f t="shared" si="43"/>
        <v>78</v>
      </c>
      <c r="B81" s="1152" t="str">
        <f>Coltura!C79</f>
        <v>E45</v>
      </c>
      <c r="C81" s="1152" t="str">
        <f>Coltura!D79</f>
        <v>Segale pianta intera</v>
      </c>
      <c r="D81" s="1153">
        <v>2.78</v>
      </c>
      <c r="E81" s="1153">
        <v>1.23</v>
      </c>
      <c r="F81" s="1153">
        <v>3.11</v>
      </c>
      <c r="G81" s="49" t="str">
        <f t="shared" si="47"/>
        <v>sì</v>
      </c>
      <c r="H81" s="1155">
        <f>(Standard!E81)</f>
        <v>4</v>
      </c>
      <c r="I81" s="1156">
        <f>(D81*$H81)*10</f>
        <v>111.19999999999999</v>
      </c>
      <c r="J81" s="1156">
        <f t="shared" ref="J81" si="48">(E81*$H81)*10</f>
        <v>49.2</v>
      </c>
      <c r="K81" s="1156">
        <f t="shared" ref="K81" si="49">(F81*$H81)*10</f>
        <v>124.39999999999999</v>
      </c>
      <c r="L81" s="714" t="s">
        <v>1577</v>
      </c>
    </row>
    <row r="82" spans="1:15" x14ac:dyDescent="0.25">
      <c r="A82" s="49">
        <f t="shared" si="43"/>
        <v>79</v>
      </c>
      <c r="B82" s="1152" t="str">
        <f>Coltura!C80</f>
        <v>E46</v>
      </c>
      <c r="C82" s="1152" t="str">
        <f>Coltura!D80</f>
        <v>Senape indiana</v>
      </c>
      <c r="D82" s="1153">
        <v>6.91</v>
      </c>
      <c r="E82" s="1153"/>
      <c r="F82" s="1153"/>
      <c r="G82" s="49" t="str">
        <f t="shared" si="47"/>
        <v>no</v>
      </c>
      <c r="H82" s="1155" t="str">
        <f>(Standard!E82)</f>
        <v>nd</v>
      </c>
      <c r="L82" s="714" t="s">
        <v>1591</v>
      </c>
    </row>
    <row r="83" spans="1:15" x14ac:dyDescent="0.25">
      <c r="A83" s="49">
        <f t="shared" si="43"/>
        <v>80</v>
      </c>
      <c r="B83" s="1152" t="str">
        <f>Coltura!C81</f>
        <v>E47</v>
      </c>
      <c r="C83" s="1152" t="str">
        <f>Coltura!D81</f>
        <v>Soia (granella)</v>
      </c>
      <c r="D83" s="1173">
        <v>6.3</v>
      </c>
      <c r="E83" s="1153">
        <v>1.36</v>
      </c>
      <c r="F83" s="1153">
        <v>2.0099999999999998</v>
      </c>
      <c r="G83" s="49" t="str">
        <f t="shared" si="47"/>
        <v>sì</v>
      </c>
      <c r="H83" s="1155">
        <f>(Standard!E83)</f>
        <v>3.5</v>
      </c>
      <c r="I83" s="1156">
        <f t="shared" ref="I83:I92" si="50">(D83*$H83)*10</f>
        <v>220.5</v>
      </c>
      <c r="J83" s="1156">
        <f t="shared" ref="J83:J92" si="51">(E83*$H83)*10</f>
        <v>47.600000000000009</v>
      </c>
      <c r="K83" s="1156">
        <f t="shared" ref="K83:K92" si="52">(F83*$H83)*10</f>
        <v>70.349999999999994</v>
      </c>
      <c r="L83" s="714" t="s">
        <v>1576</v>
      </c>
    </row>
    <row r="84" spans="1:15" x14ac:dyDescent="0.25">
      <c r="A84" s="49">
        <f t="shared" si="43"/>
        <v>81</v>
      </c>
      <c r="B84" s="1152" t="str">
        <f>Coltura!C82</f>
        <v>E48</v>
      </c>
      <c r="C84" s="1152" t="str">
        <f>Coltura!D82</f>
        <v>Soia (pianta intera)</v>
      </c>
      <c r="D84" s="1173">
        <v>6.3</v>
      </c>
      <c r="E84" s="1153">
        <v>1.76</v>
      </c>
      <c r="F84" s="1153">
        <v>3.05</v>
      </c>
      <c r="G84" s="49" t="str">
        <f t="shared" si="47"/>
        <v>sì</v>
      </c>
      <c r="H84" s="1155">
        <f>(Standard!E84)</f>
        <v>3.5</v>
      </c>
      <c r="I84" s="1156">
        <f t="shared" si="50"/>
        <v>220.5</v>
      </c>
      <c r="J84" s="1156">
        <f t="shared" si="51"/>
        <v>61.6</v>
      </c>
      <c r="K84" s="1156">
        <f t="shared" si="52"/>
        <v>106.74999999999999</v>
      </c>
      <c r="L84" s="714" t="s">
        <v>1581</v>
      </c>
    </row>
    <row r="85" spans="1:15" x14ac:dyDescent="0.25">
      <c r="A85" s="49">
        <f t="shared" si="43"/>
        <v>82</v>
      </c>
      <c r="B85" s="1152" t="str">
        <f>Coltura!C83</f>
        <v>E49</v>
      </c>
      <c r="C85" s="1152" t="str">
        <f>Coltura!D83</f>
        <v>Sorgo da foraggio</v>
      </c>
      <c r="D85" s="1153">
        <v>0.3</v>
      </c>
      <c r="E85" s="1153">
        <v>0.1</v>
      </c>
      <c r="F85" s="1153">
        <v>0.35</v>
      </c>
      <c r="G85" s="49" t="str">
        <f t="shared" si="47"/>
        <v>sì</v>
      </c>
      <c r="H85" s="1155" t="str">
        <f>(Standard!E85)</f>
        <v>nd</v>
      </c>
      <c r="L85" s="714" t="s">
        <v>1603</v>
      </c>
    </row>
    <row r="86" spans="1:15" x14ac:dyDescent="0.25">
      <c r="A86" s="49">
        <f t="shared" si="43"/>
        <v>83</v>
      </c>
      <c r="B86" s="1152" t="str">
        <f>Coltura!C84</f>
        <v>E50</v>
      </c>
      <c r="C86" s="1152" t="str">
        <f>Coltura!D84</f>
        <v>Sorgo da granella  (solo granella)</v>
      </c>
      <c r="D86" s="1153">
        <v>2.4700000000000002</v>
      </c>
      <c r="E86" s="1153">
        <v>0.73</v>
      </c>
      <c r="F86" s="1153">
        <v>0.43</v>
      </c>
      <c r="G86" s="49" t="str">
        <f t="shared" si="47"/>
        <v>sì</v>
      </c>
      <c r="H86" s="1155">
        <f>(Standard!E86)</f>
        <v>7.5</v>
      </c>
      <c r="I86" s="1156">
        <f t="shared" si="50"/>
        <v>185.25000000000003</v>
      </c>
      <c r="J86" s="1156">
        <f t="shared" si="51"/>
        <v>54.75</v>
      </c>
      <c r="K86" s="1156">
        <f t="shared" si="52"/>
        <v>32.25</v>
      </c>
      <c r="L86" s="714" t="s">
        <v>1576</v>
      </c>
    </row>
    <row r="87" spans="1:15" x14ac:dyDescent="0.25">
      <c r="A87" s="49">
        <f t="shared" si="43"/>
        <v>84</v>
      </c>
      <c r="B87" s="1152" t="str">
        <f>Coltura!C85</f>
        <v>E51</v>
      </c>
      <c r="C87" s="1152" t="str">
        <f>Coltura!D85</f>
        <v>Sorgo da granella (pianta intera)</v>
      </c>
      <c r="D87" s="1153">
        <v>2.4700000000000002</v>
      </c>
      <c r="E87" s="1153">
        <v>0.95</v>
      </c>
      <c r="F87" s="1153">
        <v>1.57</v>
      </c>
      <c r="G87" s="49" t="str">
        <f t="shared" si="47"/>
        <v>sì</v>
      </c>
      <c r="H87" s="1155">
        <f>(Standard!E87)</f>
        <v>7.5</v>
      </c>
      <c r="I87" s="1156">
        <f t="shared" si="50"/>
        <v>185.25000000000003</v>
      </c>
      <c r="J87" s="1156">
        <f t="shared" si="51"/>
        <v>71.25</v>
      </c>
      <c r="K87" s="1156">
        <f t="shared" si="52"/>
        <v>117.75</v>
      </c>
      <c r="L87" s="714" t="s">
        <v>1581</v>
      </c>
    </row>
    <row r="88" spans="1:15" x14ac:dyDescent="0.25">
      <c r="A88" s="49">
        <f t="shared" si="43"/>
        <v>85</v>
      </c>
      <c r="B88" s="1152" t="str">
        <f>Coltura!C86</f>
        <v>E52</v>
      </c>
      <c r="C88" s="1152" t="str">
        <f>Coltura!D86</f>
        <v>Tabacco Bright</v>
      </c>
      <c r="D88" s="1153">
        <v>2.62</v>
      </c>
      <c r="E88" s="1153">
        <v>0.6</v>
      </c>
      <c r="F88" s="1153">
        <v>3.5</v>
      </c>
      <c r="G88" s="49" t="str">
        <f t="shared" si="47"/>
        <v>sì</v>
      </c>
      <c r="H88" s="1155" t="str">
        <f>(Standard!E88)</f>
        <v>nd</v>
      </c>
    </row>
    <row r="89" spans="1:15" x14ac:dyDescent="0.25">
      <c r="A89" s="49">
        <f t="shared" si="43"/>
        <v>86</v>
      </c>
      <c r="B89" s="1152" t="str">
        <f>Coltura!C87</f>
        <v>E53</v>
      </c>
      <c r="C89" s="1152" t="str">
        <f>Coltura!D87</f>
        <v>Tabacco Bright pianta intera</v>
      </c>
      <c r="D89" s="1153">
        <v>2.62</v>
      </c>
      <c r="E89" s="1153">
        <v>1.04</v>
      </c>
      <c r="F89" s="1153">
        <v>4.09</v>
      </c>
      <c r="G89" s="49" t="str">
        <f t="shared" si="47"/>
        <v>sì</v>
      </c>
      <c r="H89" s="1155" t="str">
        <f>(Standard!E89)</f>
        <v>nd</v>
      </c>
    </row>
    <row r="90" spans="1:15" x14ac:dyDescent="0.25">
      <c r="A90" s="49">
        <f t="shared" si="43"/>
        <v>87</v>
      </c>
      <c r="B90" s="1152" t="str">
        <f>Coltura!C88</f>
        <v>E54</v>
      </c>
      <c r="C90" s="1152" t="str">
        <f>Coltura!D88</f>
        <v>Tabacco Burley</v>
      </c>
      <c r="D90" s="1153">
        <v>3.71</v>
      </c>
      <c r="E90" s="1153">
        <v>0.3</v>
      </c>
      <c r="F90" s="1153">
        <v>3.7</v>
      </c>
      <c r="G90" s="49" t="str">
        <f t="shared" si="47"/>
        <v>sì</v>
      </c>
      <c r="H90" s="1155" t="str">
        <f>(Standard!E90)</f>
        <v>nd</v>
      </c>
    </row>
    <row r="91" spans="1:15" x14ac:dyDescent="0.25">
      <c r="A91" s="49">
        <f t="shared" si="43"/>
        <v>88</v>
      </c>
      <c r="B91" s="1152" t="str">
        <f>Coltura!C89</f>
        <v>E55</v>
      </c>
      <c r="C91" s="1152" t="str">
        <f>Coltura!D89</f>
        <v>Tabacco Burley pianta intera</v>
      </c>
      <c r="D91" s="1153">
        <v>3.71</v>
      </c>
      <c r="E91" s="1153">
        <v>0.62</v>
      </c>
      <c r="F91" s="1153">
        <v>5.1100000000000003</v>
      </c>
      <c r="G91" s="49" t="str">
        <f t="shared" si="47"/>
        <v>sì</v>
      </c>
      <c r="H91" s="1155" t="str">
        <f>(Standard!E91)</f>
        <v>nd</v>
      </c>
    </row>
    <row r="92" spans="1:15" x14ac:dyDescent="0.25">
      <c r="A92" s="49">
        <f t="shared" si="43"/>
        <v>89</v>
      </c>
      <c r="B92" s="1152" t="str">
        <f>Coltura!C90</f>
        <v>E56</v>
      </c>
      <c r="C92" s="1152" t="str">
        <f>Coltura!D90</f>
        <v>Triticale</v>
      </c>
      <c r="D92" s="1153">
        <v>2.54</v>
      </c>
      <c r="E92" s="1153">
        <v>0.7</v>
      </c>
      <c r="F92" s="1153">
        <v>0.5</v>
      </c>
      <c r="G92" s="49" t="str">
        <f t="shared" si="47"/>
        <v>sì</v>
      </c>
      <c r="H92" s="1155">
        <f>(Standard!E92)</f>
        <v>7.5</v>
      </c>
      <c r="I92" s="1156">
        <f t="shared" si="50"/>
        <v>190.5</v>
      </c>
      <c r="J92" s="1156">
        <f t="shared" si="51"/>
        <v>52.5</v>
      </c>
      <c r="K92" s="1156">
        <f t="shared" si="52"/>
        <v>37.5</v>
      </c>
      <c r="L92" s="714" t="s">
        <v>1576</v>
      </c>
    </row>
    <row r="93" spans="1:15" x14ac:dyDescent="0.25">
      <c r="A93" s="49">
        <f t="shared" si="43"/>
        <v>90</v>
      </c>
      <c r="B93" s="1152" t="str">
        <f>Coltura!C91</f>
        <v>E57</v>
      </c>
      <c r="C93" s="1152" t="str">
        <f>Coltura!D91</f>
        <v>Triticale pianta intera</v>
      </c>
      <c r="D93" s="1153">
        <v>2.54</v>
      </c>
      <c r="E93" s="1153">
        <v>1.1000000000000001</v>
      </c>
      <c r="F93" s="1153">
        <v>3</v>
      </c>
      <c r="G93" s="49" t="str">
        <f t="shared" si="47"/>
        <v>sì</v>
      </c>
      <c r="H93" s="1155">
        <f>(Standard!E93)</f>
        <v>7.5</v>
      </c>
      <c r="I93" s="1160">
        <f t="shared" ref="I93" si="53">(D93*$H93)*10</f>
        <v>190.5</v>
      </c>
      <c r="J93" s="1160">
        <f t="shared" ref="J93" si="54">(E93*$H93)*10</f>
        <v>82.5</v>
      </c>
      <c r="K93" s="1160">
        <f t="shared" ref="K93" si="55">(F93*$H93)*10</f>
        <v>225</v>
      </c>
      <c r="L93" s="714" t="s">
        <v>1577</v>
      </c>
    </row>
    <row r="94" spans="1:15" x14ac:dyDescent="0.25">
      <c r="A94" s="49">
        <f t="shared" si="43"/>
        <v>91</v>
      </c>
      <c r="B94" s="1152" t="str">
        <f>Coltura!C92</f>
        <v>F1</v>
      </c>
      <c r="C94" s="1152" t="str">
        <f>Coltura!D92</f>
        <v>Avena insilata</v>
      </c>
      <c r="D94" s="1153">
        <v>0.46</v>
      </c>
      <c r="E94" s="1159">
        <f>N94</f>
        <v>0.20150000000000001</v>
      </c>
      <c r="F94" s="1159">
        <f>O94</f>
        <v>0.47449999999999992</v>
      </c>
      <c r="G94" s="49" t="str">
        <f t="shared" si="47"/>
        <v>sì</v>
      </c>
      <c r="H94" s="1160">
        <f>(3.2*3)/0.65</f>
        <v>14.76923076923077</v>
      </c>
      <c r="I94" s="1160">
        <f t="shared" ref="I94:K95" si="56">(D94*$H94)*10</f>
        <v>67.938461538461553</v>
      </c>
      <c r="J94" s="1160">
        <f t="shared" si="56"/>
        <v>29.760000000000005</v>
      </c>
      <c r="K94" s="1160">
        <f t="shared" si="56"/>
        <v>70.079999999999984</v>
      </c>
      <c r="L94" s="714" t="s">
        <v>1579</v>
      </c>
      <c r="M94" s="1156">
        <f>(I39/H94)/10</f>
        <v>0.48533333333333334</v>
      </c>
      <c r="N94" s="1156">
        <f>(J39/$H94)/10</f>
        <v>0.20150000000000001</v>
      </c>
      <c r="O94" s="1156">
        <f>(K39/$H94)/10</f>
        <v>0.47449999999999992</v>
      </c>
    </row>
    <row r="95" spans="1:15" x14ac:dyDescent="0.25">
      <c r="A95" s="49">
        <f t="shared" si="43"/>
        <v>92</v>
      </c>
      <c r="B95" s="1152" t="str">
        <f>Coltura!C93</f>
        <v>F2</v>
      </c>
      <c r="C95" s="1152" t="str">
        <f>Coltura!D93</f>
        <v>Colza insilato</v>
      </c>
      <c r="D95" s="1153">
        <v>0.94</v>
      </c>
      <c r="E95" s="1159">
        <f>N95</f>
        <v>0.40209302325581397</v>
      </c>
      <c r="F95" s="1159">
        <f>O95</f>
        <v>1.1881395348837214</v>
      </c>
      <c r="G95" s="49" t="str">
        <f t="shared" si="47"/>
        <v>sì</v>
      </c>
      <c r="H95" s="1160">
        <f>(2.5*4.3)/0.65</f>
        <v>16.538461538461537</v>
      </c>
      <c r="I95" s="1160">
        <f t="shared" si="56"/>
        <v>155.46153846153845</v>
      </c>
      <c r="J95" s="1160">
        <f t="shared" si="56"/>
        <v>66.5</v>
      </c>
      <c r="K95" s="1160">
        <f t="shared" si="56"/>
        <v>196.50000000000006</v>
      </c>
      <c r="L95" s="714" t="s">
        <v>1579</v>
      </c>
      <c r="M95" s="1156">
        <f>(I46/H95)/10</f>
        <v>0.9387209302325582</v>
      </c>
      <c r="N95" s="1156">
        <f>(J46/$H95)/10</f>
        <v>0.40209302325581397</v>
      </c>
      <c r="O95" s="1156">
        <f>(K46/$H95)/10</f>
        <v>1.1881395348837214</v>
      </c>
    </row>
    <row r="96" spans="1:15" x14ac:dyDescent="0.25">
      <c r="A96" s="49">
        <f t="shared" si="43"/>
        <v>93</v>
      </c>
      <c r="B96" s="1152" t="str">
        <f>Coltura!C94</f>
        <v>F3</v>
      </c>
      <c r="C96" s="1152" t="str">
        <f>Coltura!D94</f>
        <v>Erba mazzolina</v>
      </c>
      <c r="D96" s="1153">
        <v>1.89</v>
      </c>
      <c r="E96" s="1153">
        <v>0.47</v>
      </c>
      <c r="F96" s="1153">
        <v>2.81</v>
      </c>
      <c r="G96" s="49" t="str">
        <f t="shared" si="47"/>
        <v>sì</v>
      </c>
      <c r="H96" s="1155">
        <f>(Standard!E96)</f>
        <v>12.5</v>
      </c>
      <c r="I96" s="1171"/>
      <c r="J96" s="1171"/>
      <c r="L96" s="714" t="s">
        <v>1116</v>
      </c>
    </row>
    <row r="97" spans="1:15" x14ac:dyDescent="0.25">
      <c r="A97" s="49">
        <f t="shared" si="43"/>
        <v>94</v>
      </c>
      <c r="B97" s="1152" t="str">
        <f>Coltura!C95</f>
        <v>F4</v>
      </c>
      <c r="C97" s="1152" t="str">
        <f>Coltura!D95</f>
        <v>Erba medica</v>
      </c>
      <c r="D97" s="1153">
        <v>2.06</v>
      </c>
      <c r="E97" s="1153">
        <v>0.53</v>
      </c>
      <c r="F97" s="1153">
        <v>2.0299999999999998</v>
      </c>
      <c r="G97" s="49" t="str">
        <f t="shared" si="47"/>
        <v>sì</v>
      </c>
      <c r="H97" s="1155">
        <f>(Standard!E97)</f>
        <v>12.5</v>
      </c>
      <c r="I97" s="1171"/>
      <c r="J97" s="1171"/>
      <c r="L97" s="714" t="s">
        <v>1116</v>
      </c>
    </row>
    <row r="98" spans="1:15" x14ac:dyDescent="0.25">
      <c r="A98" s="49">
        <f t="shared" si="43"/>
        <v>95</v>
      </c>
      <c r="B98" s="1152" t="str">
        <f>Coltura!C96</f>
        <v>F5</v>
      </c>
      <c r="C98" s="1152" t="str">
        <f>Coltura!D96</f>
        <v>Erbai aut prim. Di cer. O cruc.</v>
      </c>
      <c r="D98" s="1153">
        <v>1.36</v>
      </c>
      <c r="E98" s="1159">
        <f>(N98)</f>
        <v>0.65</v>
      </c>
      <c r="F98" s="1159">
        <f>(O98)</f>
        <v>1.22</v>
      </c>
      <c r="G98" s="49" t="str">
        <f t="shared" si="47"/>
        <v>sì</v>
      </c>
      <c r="H98" s="1171">
        <v>11</v>
      </c>
      <c r="I98" s="1160">
        <f t="shared" ref="I98:K99" si="57">(D98*$H98)*10</f>
        <v>149.60000000000002</v>
      </c>
      <c r="J98" s="1160">
        <f t="shared" si="57"/>
        <v>71.5</v>
      </c>
      <c r="K98" s="1160">
        <f t="shared" si="57"/>
        <v>134.19999999999999</v>
      </c>
      <c r="L98" s="714" t="s">
        <v>1116</v>
      </c>
      <c r="N98" s="1153">
        <v>0.65</v>
      </c>
      <c r="O98" s="1153">
        <v>1.22</v>
      </c>
    </row>
    <row r="99" spans="1:15" x14ac:dyDescent="0.25">
      <c r="A99" s="49">
        <f t="shared" si="43"/>
        <v>96</v>
      </c>
      <c r="B99" s="1152" t="str">
        <f>Coltura!C97</f>
        <v>F6</v>
      </c>
      <c r="C99" s="1152" t="str">
        <f>Coltura!D97</f>
        <v>Erbai aut prim. Di leguminose</v>
      </c>
      <c r="D99" s="1153">
        <v>0.68</v>
      </c>
      <c r="E99" s="1159">
        <f>(N99)</f>
        <v>0.27</v>
      </c>
      <c r="F99" s="1159">
        <f>(O99)</f>
        <v>1.08</v>
      </c>
      <c r="G99" s="49" t="str">
        <f t="shared" si="47"/>
        <v>sì</v>
      </c>
      <c r="H99" s="1174">
        <v>25</v>
      </c>
      <c r="I99" s="1160">
        <f t="shared" si="57"/>
        <v>170</v>
      </c>
      <c r="J99" s="1160">
        <f t="shared" si="57"/>
        <v>67.5</v>
      </c>
      <c r="K99" s="1160">
        <f t="shared" si="57"/>
        <v>270</v>
      </c>
      <c r="L99" s="714" t="s">
        <v>1580</v>
      </c>
      <c r="N99" s="1153">
        <v>0.27</v>
      </c>
      <c r="O99" s="1153">
        <v>1.08</v>
      </c>
    </row>
    <row r="100" spans="1:15" x14ac:dyDescent="0.25">
      <c r="A100" s="49">
        <f t="shared" si="43"/>
        <v>97</v>
      </c>
      <c r="B100" s="1152" t="str">
        <f>Coltura!C98</f>
        <v>F7</v>
      </c>
      <c r="C100" s="1152" t="str">
        <f>Coltura!D98</f>
        <v>Erbai biennali o Prati avv. di Graminacee</v>
      </c>
      <c r="D100" s="1153">
        <v>2.0699999999999998</v>
      </c>
      <c r="E100" s="1153">
        <v>0.55000000000000004</v>
      </c>
      <c r="F100" s="1153">
        <v>2.4500000000000002</v>
      </c>
      <c r="G100" s="49" t="str">
        <f t="shared" si="47"/>
        <v>sì</v>
      </c>
      <c r="H100" s="1155" t="str">
        <f>(Standard!E100)</f>
        <v>nd</v>
      </c>
      <c r="I100" s="1171"/>
      <c r="J100" s="1171"/>
      <c r="L100" s="714" t="s">
        <v>1116</v>
      </c>
    </row>
    <row r="101" spans="1:15" x14ac:dyDescent="0.25">
      <c r="A101" s="49">
        <f t="shared" si="43"/>
        <v>98</v>
      </c>
      <c r="B101" s="1152" t="str">
        <f>Coltura!C99</f>
        <v>F8</v>
      </c>
      <c r="C101" s="1152" t="str">
        <f>Coltura!D99</f>
        <v>Erbai biennali misti o Prati avv. Polifita</v>
      </c>
      <c r="D101" s="1153">
        <v>1.79</v>
      </c>
      <c r="E101" s="1153">
        <v>0.75</v>
      </c>
      <c r="F101" s="1153">
        <v>2.7</v>
      </c>
      <c r="G101" s="49" t="str">
        <f t="shared" si="47"/>
        <v>sì</v>
      </c>
      <c r="H101" s="1155" t="str">
        <f>(Standard!E101)</f>
        <v>nd</v>
      </c>
      <c r="I101" s="1171"/>
      <c r="J101" s="1171"/>
      <c r="L101" s="714" t="s">
        <v>1116</v>
      </c>
    </row>
    <row r="102" spans="1:15" x14ac:dyDescent="0.25">
      <c r="A102" s="49">
        <f t="shared" si="43"/>
        <v>99</v>
      </c>
      <c r="B102" s="1152" t="str">
        <f>Coltura!C100</f>
        <v>F9</v>
      </c>
      <c r="C102" s="1152" t="str">
        <f>Coltura!D100</f>
        <v>Farro insilato</v>
      </c>
      <c r="D102" s="1154">
        <v>0.5</v>
      </c>
      <c r="E102" s="1159">
        <f>N102</f>
        <v>0.18200000000000002</v>
      </c>
      <c r="F102" s="1159">
        <f>O102</f>
        <v>0.28414285714285714</v>
      </c>
      <c r="G102" s="49" t="str">
        <f t="shared" si="47"/>
        <v>sì</v>
      </c>
      <c r="H102" s="1160">
        <f>(2*3.5)/0.65</f>
        <v>10.769230769230768</v>
      </c>
      <c r="I102" s="1160">
        <f t="shared" ref="I102" si="58">(D102*$H102)*10</f>
        <v>53.84615384615384</v>
      </c>
      <c r="J102" s="1160">
        <f t="shared" ref="J102" si="59">(E102*$H102)*10</f>
        <v>19.600000000000001</v>
      </c>
      <c r="K102" s="1160">
        <f t="shared" ref="K102" si="60">(F102*$H102)*10</f>
        <v>30.599999999999994</v>
      </c>
      <c r="L102" s="714" t="s">
        <v>1579</v>
      </c>
      <c r="M102" s="1156">
        <f>(I47/H102)/10</f>
        <v>0.50142857142857156</v>
      </c>
      <c r="N102" s="1156">
        <f>(J48/$H102)/10</f>
        <v>0.18200000000000002</v>
      </c>
      <c r="O102" s="1156">
        <f>(K48/$H102)/10</f>
        <v>0.28414285714285714</v>
      </c>
    </row>
    <row r="103" spans="1:15" x14ac:dyDescent="0.25">
      <c r="A103" s="49">
        <f t="shared" si="43"/>
        <v>100</v>
      </c>
      <c r="B103" s="1152" t="str">
        <f>Coltura!C101</f>
        <v>F10</v>
      </c>
      <c r="C103" s="1152" t="str">
        <f>Coltura!D101</f>
        <v>Festuca arundinacea</v>
      </c>
      <c r="D103" s="1153">
        <v>2.04</v>
      </c>
      <c r="E103" s="1153">
        <v>0.65</v>
      </c>
      <c r="F103" s="1153">
        <v>1.22</v>
      </c>
      <c r="G103" s="49" t="str">
        <f t="shared" si="47"/>
        <v>sì</v>
      </c>
      <c r="H103" s="1155">
        <f>(Standard!E103)</f>
        <v>12.5</v>
      </c>
      <c r="I103" s="1160">
        <f t="shared" ref="I103:I104" si="61">(D103*$H103)*10</f>
        <v>255</v>
      </c>
      <c r="J103" s="1160">
        <f t="shared" ref="J103:J104" si="62">(E103*$H103)*10</f>
        <v>81.25</v>
      </c>
      <c r="K103" s="1160">
        <f t="shared" ref="K103:K104" si="63">(F103*$H103)*10</f>
        <v>152.5</v>
      </c>
      <c r="L103" s="714" t="s">
        <v>1116</v>
      </c>
    </row>
    <row r="104" spans="1:15" x14ac:dyDescent="0.25">
      <c r="A104" s="49">
        <f t="shared" si="43"/>
        <v>101</v>
      </c>
      <c r="B104" s="1152" t="str">
        <f>Coltura!C102</f>
        <v>F11</v>
      </c>
      <c r="C104" s="1152" t="str">
        <f>Coltura!D102</f>
        <v>Fleolo (coda di topo)</v>
      </c>
      <c r="D104" s="1153">
        <v>2.0699999999999998</v>
      </c>
      <c r="E104" s="1154">
        <v>0.65</v>
      </c>
      <c r="F104" s="1154">
        <v>1.22</v>
      </c>
      <c r="G104" s="49" t="str">
        <f t="shared" si="47"/>
        <v>sì</v>
      </c>
      <c r="H104" s="1155">
        <v>12.5</v>
      </c>
      <c r="I104" s="1160">
        <f t="shared" si="61"/>
        <v>258.74999999999994</v>
      </c>
      <c r="J104" s="1160">
        <f t="shared" si="62"/>
        <v>81.25</v>
      </c>
      <c r="K104" s="1160">
        <f t="shared" si="63"/>
        <v>152.5</v>
      </c>
      <c r="L104" s="714" t="s">
        <v>1116</v>
      </c>
    </row>
    <row r="105" spans="1:15" x14ac:dyDescent="0.25">
      <c r="A105" s="49">
        <f t="shared" si="43"/>
        <v>102</v>
      </c>
      <c r="B105" s="1152" t="str">
        <f>Coltura!C103</f>
        <v>F12</v>
      </c>
      <c r="C105" s="1152" t="str">
        <f>Coltura!D103</f>
        <v>Grano duro  insilato</v>
      </c>
      <c r="D105" s="1154">
        <v>0.62</v>
      </c>
      <c r="E105" s="1159">
        <f>N105</f>
        <v>0.21200000000000002</v>
      </c>
      <c r="F105" s="1159">
        <f>O105</f>
        <v>0.39799999999999996</v>
      </c>
      <c r="G105" s="49" t="str">
        <f t="shared" si="47"/>
        <v>sì</v>
      </c>
      <c r="H105" s="1160">
        <f>(6*3.25)/0.65</f>
        <v>30</v>
      </c>
      <c r="I105" s="1160">
        <f t="shared" ref="I105" si="64">(D105*$H105)*10</f>
        <v>186</v>
      </c>
      <c r="J105" s="1160">
        <f t="shared" ref="J105" si="65">(E105*$H105)*10</f>
        <v>63.6</v>
      </c>
      <c r="K105" s="1160">
        <f t="shared" ref="K105" si="66">(F105*$H105)*10</f>
        <v>119.39999999999999</v>
      </c>
      <c r="L105" s="714" t="s">
        <v>1579</v>
      </c>
      <c r="M105" s="1156">
        <f>(I53/H105)/10</f>
        <v>0.622</v>
      </c>
      <c r="N105" s="1156">
        <f>(J53/$H105)/10</f>
        <v>0.21200000000000002</v>
      </c>
      <c r="O105" s="1156">
        <f>(K53/$H105)/10</f>
        <v>0.39799999999999996</v>
      </c>
    </row>
    <row r="106" spans="1:15" x14ac:dyDescent="0.25">
      <c r="A106" s="49">
        <f t="shared" si="43"/>
        <v>103</v>
      </c>
      <c r="B106" s="1152" t="str">
        <f>Coltura!C104</f>
        <v>F13</v>
      </c>
      <c r="C106" s="1152" t="str">
        <f>Coltura!D104</f>
        <v>Grano tenero  insilato</v>
      </c>
      <c r="D106" s="1154">
        <v>0.56000000000000005</v>
      </c>
      <c r="E106" s="1159">
        <f>N106</f>
        <v>0.23799999999999999</v>
      </c>
      <c r="F106" s="1159">
        <f>O106</f>
        <v>0.45800000000000002</v>
      </c>
      <c r="G106" s="49" t="str">
        <f t="shared" si="47"/>
        <v>sì</v>
      </c>
      <c r="H106" s="1160">
        <f>(6*3.25)/0.65</f>
        <v>30</v>
      </c>
      <c r="I106" s="1160">
        <f t="shared" ref="I106" si="67">(D106*$H106)*10</f>
        <v>168</v>
      </c>
      <c r="J106" s="1160">
        <f t="shared" ref="J106:J107" si="68">(E106*$H106)*10</f>
        <v>71.399999999999991</v>
      </c>
      <c r="K106" s="1160">
        <f t="shared" ref="K106:K107" si="69">(F106*$H106)*10</f>
        <v>137.4</v>
      </c>
      <c r="L106" s="714" t="s">
        <v>1579</v>
      </c>
      <c r="M106" s="1156">
        <f>(I57/H106)/10</f>
        <v>0.56200000000000006</v>
      </c>
      <c r="N106" s="1156">
        <f>(J57/$H106)/10</f>
        <v>0.23799999999999999</v>
      </c>
      <c r="O106" s="1156">
        <f>(K57/$H106)/10</f>
        <v>0.45800000000000002</v>
      </c>
    </row>
    <row r="107" spans="1:15" x14ac:dyDescent="0.25">
      <c r="A107" s="49">
        <f t="shared" si="43"/>
        <v>104</v>
      </c>
      <c r="B107" s="1152" t="str">
        <f>Coltura!C105</f>
        <v>F14</v>
      </c>
      <c r="C107" s="1152" t="str">
        <f>Coltura!D105</f>
        <v>Loglio da insilare</v>
      </c>
      <c r="D107" s="1153">
        <v>0.9</v>
      </c>
      <c r="E107" s="1153">
        <v>0.4</v>
      </c>
      <c r="F107" s="1153">
        <v>0.8</v>
      </c>
      <c r="G107" s="49" t="str">
        <f t="shared" si="47"/>
        <v>sì</v>
      </c>
      <c r="H107" s="1175">
        <v>22</v>
      </c>
      <c r="I107" s="1160">
        <f>(D107*$H107)*10</f>
        <v>198</v>
      </c>
      <c r="J107" s="1160">
        <f t="shared" si="68"/>
        <v>88</v>
      </c>
      <c r="K107" s="1160">
        <f t="shared" si="69"/>
        <v>176</v>
      </c>
      <c r="L107" s="714" t="s">
        <v>1579</v>
      </c>
    </row>
    <row r="108" spans="1:15" x14ac:dyDescent="0.25">
      <c r="A108" s="49">
        <f t="shared" si="43"/>
        <v>105</v>
      </c>
      <c r="B108" s="1152" t="str">
        <f>Coltura!C106</f>
        <v>F15</v>
      </c>
      <c r="C108" s="1152" t="str">
        <f>Coltura!D106</f>
        <v>Loiessa</v>
      </c>
      <c r="D108" s="1153">
        <v>1.53</v>
      </c>
      <c r="E108" s="1153">
        <v>0.69</v>
      </c>
      <c r="F108" s="1153">
        <v>2.25</v>
      </c>
      <c r="G108" s="49" t="str">
        <f t="shared" si="47"/>
        <v>sì</v>
      </c>
      <c r="H108" s="1175">
        <v>12.5</v>
      </c>
      <c r="I108" s="1160">
        <f>(D108*$H108)*10</f>
        <v>191.25</v>
      </c>
      <c r="J108" s="1160">
        <f t="shared" ref="J108" si="70">(E108*$H108)*10</f>
        <v>86.25</v>
      </c>
      <c r="K108" s="1160">
        <f t="shared" ref="K108" si="71">(F108*$H108)*10</f>
        <v>281.25</v>
      </c>
      <c r="L108" s="714" t="s">
        <v>1116</v>
      </c>
    </row>
    <row r="109" spans="1:15" x14ac:dyDescent="0.25">
      <c r="A109" s="49">
        <f t="shared" si="43"/>
        <v>106</v>
      </c>
      <c r="B109" s="1152" t="str">
        <f>Coltura!C107</f>
        <v>F16</v>
      </c>
      <c r="C109" s="1152" t="str">
        <f>Coltura!D107</f>
        <v>Loietto perenne</v>
      </c>
      <c r="D109" s="1153">
        <v>2.0699999999999998</v>
      </c>
      <c r="E109" s="1154">
        <v>0.69</v>
      </c>
      <c r="F109" s="1154">
        <v>2.25</v>
      </c>
      <c r="G109" s="49" t="str">
        <f t="shared" si="47"/>
        <v>sì</v>
      </c>
      <c r="H109" s="1171">
        <v>9</v>
      </c>
      <c r="I109" s="1171">
        <f>(D109*$H109)*10</f>
        <v>186.29999999999998</v>
      </c>
      <c r="J109" s="1160">
        <f t="shared" ref="J109:J110" si="72">(E109*$H109)*10</f>
        <v>62.099999999999994</v>
      </c>
      <c r="K109" s="1160">
        <f t="shared" ref="K109:K110" si="73">(F109*$H109)*10</f>
        <v>202.5</v>
      </c>
      <c r="L109" s="714" t="s">
        <v>1116</v>
      </c>
    </row>
    <row r="110" spans="1:15" x14ac:dyDescent="0.25">
      <c r="A110" s="49">
        <f t="shared" si="43"/>
        <v>107</v>
      </c>
      <c r="B110" s="1152" t="str">
        <f>Coltura!C108</f>
        <v>F17</v>
      </c>
      <c r="C110" s="1152" t="str">
        <f>Coltura!D108</f>
        <v>Orzo insilato</v>
      </c>
      <c r="D110" s="1154">
        <v>0.44</v>
      </c>
      <c r="E110" s="1159">
        <f>N110</f>
        <v>0.19303030303030305</v>
      </c>
      <c r="F110" s="1159">
        <f>O110</f>
        <v>0.37227272727272726</v>
      </c>
      <c r="G110" s="49" t="str">
        <f t="shared" si="47"/>
        <v>sì</v>
      </c>
      <c r="H110" s="1171">
        <v>33</v>
      </c>
      <c r="I110" s="1160">
        <f t="shared" ref="I110" si="74">(D110*$H110)*10</f>
        <v>145.19999999999999</v>
      </c>
      <c r="J110" s="1160">
        <f t="shared" si="72"/>
        <v>63.70000000000001</v>
      </c>
      <c r="K110" s="1160">
        <f t="shared" si="73"/>
        <v>122.85</v>
      </c>
      <c r="L110" s="714" t="s">
        <v>1579</v>
      </c>
      <c r="M110" s="1156">
        <f>(I73/H110)/10</f>
        <v>0.44121212121212128</v>
      </c>
      <c r="N110" s="1156">
        <f>(J73/$H110)/10</f>
        <v>0.19303030303030305</v>
      </c>
      <c r="O110" s="1156">
        <f>(K73/$H110)/10</f>
        <v>0.37227272727272726</v>
      </c>
    </row>
    <row r="111" spans="1:15" x14ac:dyDescent="0.25">
      <c r="A111" s="49">
        <f t="shared" si="43"/>
        <v>108</v>
      </c>
      <c r="B111" s="1152" t="str">
        <f>Coltura!C109</f>
        <v>F18</v>
      </c>
      <c r="C111" s="1152" t="str">
        <f>Coltura!D109</f>
        <v>Prati di graminacee</v>
      </c>
      <c r="D111" s="1153">
        <v>1.95</v>
      </c>
      <c r="E111" s="1154">
        <v>0.72</v>
      </c>
      <c r="F111" s="1154">
        <v>1.81</v>
      </c>
      <c r="G111" s="49" t="str">
        <f t="shared" si="47"/>
        <v>sì</v>
      </c>
      <c r="H111" s="1174">
        <v>10</v>
      </c>
      <c r="I111" s="1160">
        <f t="shared" ref="I111:K112" si="75">(D111*$H111)*10</f>
        <v>195</v>
      </c>
      <c r="J111" s="1160">
        <f t="shared" si="75"/>
        <v>72</v>
      </c>
      <c r="K111" s="1160">
        <f t="shared" si="75"/>
        <v>181</v>
      </c>
      <c r="L111" s="714" t="s">
        <v>1116</v>
      </c>
    </row>
    <row r="112" spans="1:15" x14ac:dyDescent="0.25">
      <c r="A112" s="49">
        <f t="shared" si="43"/>
        <v>109</v>
      </c>
      <c r="B112" s="1152" t="str">
        <f>Coltura!C110</f>
        <v>F19</v>
      </c>
      <c r="C112" s="1152" t="str">
        <f>Coltura!D110</f>
        <v>Prati di trifoglio</v>
      </c>
      <c r="D112" s="1153">
        <v>2.0699999999999998</v>
      </c>
      <c r="E112" s="1153">
        <v>0.6</v>
      </c>
      <c r="F112" s="1153">
        <v>2.4500000000000002</v>
      </c>
      <c r="G112" s="49" t="str">
        <f t="shared" si="47"/>
        <v>sì</v>
      </c>
      <c r="H112" s="1174">
        <v>11</v>
      </c>
      <c r="I112" s="1160">
        <f>(D112*$H112)*10</f>
        <v>227.7</v>
      </c>
      <c r="J112" s="1160">
        <f t="shared" si="75"/>
        <v>66</v>
      </c>
      <c r="K112" s="1160">
        <f t="shared" si="75"/>
        <v>269.5</v>
      </c>
      <c r="L112" s="714" t="s">
        <v>1116</v>
      </c>
    </row>
    <row r="113" spans="1:16" x14ac:dyDescent="0.25">
      <c r="A113" s="49">
        <f t="shared" si="43"/>
        <v>110</v>
      </c>
      <c r="B113" s="1152" t="str">
        <f>Coltura!C111</f>
        <v>F20</v>
      </c>
      <c r="C113" s="1152" t="str">
        <f>Coltura!D111</f>
        <v>Prati di leguminose in purezza - Trifoglio</v>
      </c>
      <c r="D113" s="1162">
        <v>2.0699999999999998</v>
      </c>
      <c r="E113" s="1162">
        <v>0.6</v>
      </c>
      <c r="F113" s="1162">
        <v>2.4500000000000002</v>
      </c>
      <c r="G113" s="49" t="str">
        <f t="shared" ref="G113:G116" si="76">IF(AND(D113&gt;0,E113&gt;0,F113&gt;0),"sì","no")</f>
        <v>sì</v>
      </c>
      <c r="H113" s="1155">
        <f>(Standard!E113)</f>
        <v>8.5</v>
      </c>
      <c r="I113" s="1160">
        <f t="shared" ref="I113" si="77">(D113*$H113)*10</f>
        <v>175.95</v>
      </c>
      <c r="J113" s="1160">
        <f t="shared" ref="J113" si="78">(E113*$H113)*10</f>
        <v>51</v>
      </c>
      <c r="K113" s="1160">
        <f t="shared" ref="K113" si="79">(F113*$H113)*10</f>
        <v>208.25000000000003</v>
      </c>
      <c r="L113" s="714" t="s">
        <v>1116</v>
      </c>
      <c r="P113" s="714" t="s">
        <v>1779</v>
      </c>
    </row>
    <row r="114" spans="1:16" x14ac:dyDescent="0.25">
      <c r="A114" s="49">
        <f t="shared" si="43"/>
        <v>111</v>
      </c>
      <c r="B114" s="1152" t="str">
        <f>Coltura!C112</f>
        <v>F21</v>
      </c>
      <c r="C114" s="1152" t="str">
        <f>Coltura!D112</f>
        <v>Prati di leguminose in purezza - Ginestrino</v>
      </c>
      <c r="D114" s="1162">
        <v>2.0699999999999998</v>
      </c>
      <c r="E114" s="1162">
        <v>0.6</v>
      </c>
      <c r="F114" s="1162">
        <v>2.4500000000000002</v>
      </c>
      <c r="G114" s="49" t="str">
        <f t="shared" si="76"/>
        <v>sì</v>
      </c>
      <c r="H114" s="1155">
        <f>(Standard!E114)</f>
        <v>7</v>
      </c>
      <c r="I114" s="1160">
        <f>(D114*$H114)*10</f>
        <v>144.89999999999998</v>
      </c>
      <c r="J114" s="1160">
        <f t="shared" ref="J114:J116" si="80">(E114*$H114)*10</f>
        <v>42</v>
      </c>
      <c r="K114" s="1160">
        <f t="shared" ref="K114:K116" si="81">(F114*$H114)*10</f>
        <v>171.50000000000003</v>
      </c>
      <c r="L114" s="714" t="s">
        <v>1116</v>
      </c>
      <c r="P114" s="714" t="s">
        <v>1779</v>
      </c>
    </row>
    <row r="115" spans="1:16" x14ac:dyDescent="0.25">
      <c r="A115" s="49">
        <f t="shared" si="43"/>
        <v>112</v>
      </c>
      <c r="B115" s="1152" t="str">
        <f>Coltura!C113</f>
        <v>F22</v>
      </c>
      <c r="C115" s="1152" t="str">
        <f>Coltura!D113</f>
        <v>Prati di leguminose in purezza - Sulla</v>
      </c>
      <c r="D115" s="1162">
        <v>2.0699999999999998</v>
      </c>
      <c r="E115" s="1162">
        <v>0.6</v>
      </c>
      <c r="F115" s="1162">
        <v>2.4500000000000002</v>
      </c>
      <c r="G115" s="49" t="str">
        <f t="shared" si="76"/>
        <v>sì</v>
      </c>
      <c r="H115" s="1155">
        <f>(Standard!E115)</f>
        <v>8</v>
      </c>
      <c r="I115" s="1160">
        <f t="shared" ref="I115:I116" si="82">(D115*$H115)*10</f>
        <v>165.6</v>
      </c>
      <c r="J115" s="1160">
        <f t="shared" si="80"/>
        <v>48</v>
      </c>
      <c r="K115" s="1160">
        <f t="shared" si="81"/>
        <v>196</v>
      </c>
      <c r="L115" s="714" t="s">
        <v>1116</v>
      </c>
      <c r="P115" s="714" t="s">
        <v>1779</v>
      </c>
    </row>
    <row r="116" spans="1:16" x14ac:dyDescent="0.25">
      <c r="A116" s="49">
        <f t="shared" si="43"/>
        <v>113</v>
      </c>
      <c r="B116" s="1152" t="str">
        <f>Coltura!C114</f>
        <v>F23</v>
      </c>
      <c r="C116" s="1152" t="str">
        <f>Coltura!D114</f>
        <v>Prati di leguminose in purezza - Lupinella</v>
      </c>
      <c r="D116" s="1162">
        <v>2.0699999999999998</v>
      </c>
      <c r="E116" s="1162">
        <v>0.6</v>
      </c>
      <c r="F116" s="1162">
        <v>2.4500000000000002</v>
      </c>
      <c r="G116" s="49" t="str">
        <f t="shared" si="76"/>
        <v>sì</v>
      </c>
      <c r="H116" s="1155">
        <f>(Standard!E116)</f>
        <v>6.5</v>
      </c>
      <c r="I116" s="1160">
        <f t="shared" si="82"/>
        <v>134.54999999999998</v>
      </c>
      <c r="J116" s="1160">
        <f t="shared" si="80"/>
        <v>39</v>
      </c>
      <c r="K116" s="1160">
        <f t="shared" si="81"/>
        <v>159.25</v>
      </c>
      <c r="L116" s="714" t="s">
        <v>1116</v>
      </c>
      <c r="P116" s="714" t="s">
        <v>1779</v>
      </c>
    </row>
    <row r="117" spans="1:16" x14ac:dyDescent="0.25">
      <c r="A117" s="49">
        <f t="shared" si="43"/>
        <v>114</v>
      </c>
      <c r="B117" s="1152" t="str">
        <f>Coltura!C115</f>
        <v>F24</v>
      </c>
      <c r="C117" s="1152" t="str">
        <f>Coltura!D115</f>
        <v>Prati pascoli in collina</v>
      </c>
      <c r="D117" s="1153">
        <v>2.27</v>
      </c>
      <c r="E117" s="1153">
        <v>0.39</v>
      </c>
      <c r="F117" s="1153">
        <v>2.2999999999999998</v>
      </c>
      <c r="G117" s="49" t="str">
        <f t="shared" si="47"/>
        <v>sì</v>
      </c>
      <c r="H117" s="1155" t="str">
        <f>(Standard!E117)</f>
        <v>nd</v>
      </c>
      <c r="I117" s="1171"/>
      <c r="J117" s="1171"/>
      <c r="L117" s="714" t="s">
        <v>1582</v>
      </c>
    </row>
    <row r="118" spans="1:16" x14ac:dyDescent="0.25">
      <c r="A118" s="49">
        <f t="shared" si="43"/>
        <v>115</v>
      </c>
      <c r="B118" s="1152" t="str">
        <f>Coltura!C116</f>
        <v>F25</v>
      </c>
      <c r="C118" s="1152" t="str">
        <f>Coltura!D116</f>
        <v>Prati polifiti &gt;50% leguminose</v>
      </c>
      <c r="D118" s="1153">
        <v>2.48</v>
      </c>
      <c r="E118" s="1153">
        <v>0.47</v>
      </c>
      <c r="F118" s="1153">
        <v>2.2999999999999998</v>
      </c>
      <c r="G118" s="49" t="str">
        <f t="shared" si="47"/>
        <v>sì</v>
      </c>
      <c r="H118" s="1155" t="str">
        <f>(Standard!E118)</f>
        <v>nd</v>
      </c>
      <c r="I118" s="1171"/>
      <c r="J118" s="1171"/>
      <c r="L118" s="714" t="s">
        <v>1116</v>
      </c>
    </row>
    <row r="119" spans="1:16" x14ac:dyDescent="0.25">
      <c r="A119" s="49">
        <f t="shared" si="43"/>
        <v>116</v>
      </c>
      <c r="B119" s="1152" t="str">
        <f>Coltura!C117</f>
        <v>F26</v>
      </c>
      <c r="C119" s="1152" t="str">
        <f>Coltura!D117</f>
        <v>Prati polifiti</v>
      </c>
      <c r="D119" s="1153">
        <v>2.25</v>
      </c>
      <c r="E119" s="1153">
        <v>0.51</v>
      </c>
      <c r="F119" s="1153">
        <v>2.04</v>
      </c>
      <c r="G119" s="49" t="str">
        <f t="shared" si="47"/>
        <v>sì</v>
      </c>
      <c r="H119" s="1175">
        <v>8.5</v>
      </c>
      <c r="I119" s="1160">
        <f>(D119*$H119)*10</f>
        <v>191.25</v>
      </c>
      <c r="J119" s="1160">
        <f t="shared" ref="J119" si="83">(E119*$H119)*10</f>
        <v>43.35</v>
      </c>
      <c r="K119" s="1160">
        <f t="shared" ref="K119" si="84">(F119*$H119)*10</f>
        <v>173.4</v>
      </c>
      <c r="L119" s="714" t="s">
        <v>1116</v>
      </c>
    </row>
    <row r="120" spans="1:16" x14ac:dyDescent="0.25">
      <c r="A120" s="49">
        <f t="shared" si="43"/>
        <v>117</v>
      </c>
      <c r="B120" s="1152" t="str">
        <f>Coltura!C118</f>
        <v>F27</v>
      </c>
      <c r="C120" s="1152" t="str">
        <f>Coltura!D118</f>
        <v>Prati stabili in pianura</v>
      </c>
      <c r="D120" s="1153">
        <v>1.83</v>
      </c>
      <c r="E120" s="1153">
        <v>0.72</v>
      </c>
      <c r="F120" s="1153">
        <v>1.81</v>
      </c>
      <c r="G120" s="49" t="str">
        <f t="shared" si="47"/>
        <v>sì</v>
      </c>
      <c r="H120" s="1174">
        <v>8.5</v>
      </c>
      <c r="I120" s="1160">
        <f>(D120*$H120)*10</f>
        <v>155.55000000000001</v>
      </c>
      <c r="J120" s="1160">
        <f t="shared" ref="J120" si="85">(E120*$H120)*10</f>
        <v>61.2</v>
      </c>
      <c r="K120" s="1160">
        <f t="shared" ref="K120" si="86">(F120*$H120)*10</f>
        <v>153.85</v>
      </c>
      <c r="L120" s="714" t="s">
        <v>1116</v>
      </c>
    </row>
    <row r="121" spans="1:16" x14ac:dyDescent="0.25">
      <c r="A121" s="49">
        <f t="shared" si="43"/>
        <v>118</v>
      </c>
      <c r="B121" s="1152" t="str">
        <f>Coltura!C119</f>
        <v>F28</v>
      </c>
      <c r="C121" s="1152" t="str">
        <f>Coltura!D119</f>
        <v>Prato misto</v>
      </c>
      <c r="D121" s="1153">
        <v>1.8</v>
      </c>
      <c r="E121" s="1153"/>
      <c r="F121" s="1153"/>
      <c r="G121" s="49" t="str">
        <f t="shared" si="47"/>
        <v>no</v>
      </c>
      <c r="H121" s="1155" t="str">
        <f>(Standard!E121)</f>
        <v>nd</v>
      </c>
      <c r="I121" s="1171"/>
      <c r="J121" s="1171"/>
      <c r="L121" s="714" t="s">
        <v>1116</v>
      </c>
    </row>
    <row r="122" spans="1:16" x14ac:dyDescent="0.25">
      <c r="A122" s="49">
        <f t="shared" si="43"/>
        <v>119</v>
      </c>
      <c r="B122" s="1152" t="str">
        <f>Coltura!C120</f>
        <v>F29</v>
      </c>
      <c r="C122" s="1152" t="str">
        <f>Coltura!D120</f>
        <v>Segale insilato</v>
      </c>
      <c r="D122" s="1154">
        <v>0.51</v>
      </c>
      <c r="E122" s="1159">
        <f>N122</f>
        <v>0.22363636363636363</v>
      </c>
      <c r="F122" s="1159">
        <f>O122</f>
        <v>0.56545454545454543</v>
      </c>
      <c r="G122" s="49" t="str">
        <f t="shared" si="47"/>
        <v>sì</v>
      </c>
      <c r="H122" s="1174">
        <v>22</v>
      </c>
      <c r="I122" s="1160">
        <f t="shared" ref="I122" si="87">(D122*$H122)*10</f>
        <v>112.2</v>
      </c>
      <c r="J122" s="1160">
        <f t="shared" ref="J122" si="88">(E122*$H122)*10</f>
        <v>49.2</v>
      </c>
      <c r="K122" s="1160">
        <f t="shared" ref="K122" si="89">(F122*$H122)*10</f>
        <v>124.39999999999999</v>
      </c>
      <c r="L122" s="714" t="s">
        <v>1579</v>
      </c>
      <c r="M122" s="1156">
        <f>(I81/H122)/10</f>
        <v>0.50545454545454538</v>
      </c>
      <c r="N122" s="1156">
        <f>(J81/$H122)/10</f>
        <v>0.22363636363636363</v>
      </c>
      <c r="O122" s="1156">
        <f>(K81/$H122)/10</f>
        <v>0.56545454545454543</v>
      </c>
    </row>
    <row r="123" spans="1:16" x14ac:dyDescent="0.25">
      <c r="A123" s="49">
        <f t="shared" si="43"/>
        <v>120</v>
      </c>
      <c r="B123" s="1152" t="str">
        <f>Coltura!C121</f>
        <v>F30</v>
      </c>
      <c r="C123" s="1152" t="str">
        <f>Coltura!D121</f>
        <v>Triticale insilato</v>
      </c>
      <c r="D123" s="1154">
        <v>0.51</v>
      </c>
      <c r="E123" s="1159">
        <f>N123</f>
        <v>0.22297297297297297</v>
      </c>
      <c r="F123" s="1159">
        <f>O123</f>
        <v>0.60810810810810811</v>
      </c>
      <c r="G123" s="49" t="str">
        <f t="shared" si="47"/>
        <v>sì</v>
      </c>
      <c r="H123" s="1174">
        <v>37</v>
      </c>
      <c r="I123" s="1160">
        <f>(D123*$H123)*10</f>
        <v>188.70000000000002</v>
      </c>
      <c r="J123" s="1160">
        <f>(E123*$H123)*10</f>
        <v>82.5</v>
      </c>
      <c r="K123" s="1160">
        <f>(F123*$H123)*10</f>
        <v>225</v>
      </c>
      <c r="L123" s="714" t="s">
        <v>1579</v>
      </c>
      <c r="M123" s="1156">
        <f>(I93/H123)/10</f>
        <v>0.51486486486486482</v>
      </c>
      <c r="N123" s="1156">
        <f>(J93/$H123)/10</f>
        <v>0.22297297297297297</v>
      </c>
      <c r="O123" s="1156">
        <f>(K93/$H123)/10</f>
        <v>0.60810810810810811</v>
      </c>
    </row>
    <row r="124" spans="1:16" x14ac:dyDescent="0.25">
      <c r="A124" s="49">
        <f t="shared" si="43"/>
        <v>121</v>
      </c>
      <c r="B124" s="1152" t="str">
        <f>Coltura!C122</f>
        <v>O1</v>
      </c>
      <c r="C124" s="1152" t="str">
        <f>Coltura!D122</f>
        <v>Aglio</v>
      </c>
      <c r="D124" s="1153">
        <v>1.08</v>
      </c>
      <c r="E124" s="1153">
        <v>0.27</v>
      </c>
      <c r="F124" s="1153">
        <v>0.95</v>
      </c>
      <c r="G124" s="49" t="str">
        <f t="shared" si="47"/>
        <v>sì</v>
      </c>
      <c r="H124" s="1155">
        <f>(Standard!E124)</f>
        <v>9</v>
      </c>
      <c r="I124" s="1160">
        <f t="shared" ref="I124:I190" si="90">(D124*$H124)*10</f>
        <v>97.2</v>
      </c>
      <c r="J124" s="1160">
        <f t="shared" ref="J124:J190" si="91">(E124*$H124)*10</f>
        <v>24.3</v>
      </c>
      <c r="K124" s="1160">
        <f t="shared" ref="K124:K190" si="92">(F124*$H124)*10</f>
        <v>85.499999999999986</v>
      </c>
      <c r="L124" s="714" t="s">
        <v>1117</v>
      </c>
    </row>
    <row r="125" spans="1:16" ht="14.7" customHeight="1" x14ac:dyDescent="0.25">
      <c r="A125" s="49">
        <f t="shared" si="43"/>
        <v>122</v>
      </c>
      <c r="B125" s="1152" t="str">
        <f>Coltura!C123</f>
        <v>O2</v>
      </c>
      <c r="C125" s="1152" t="str">
        <f>Coltura!D123</f>
        <v>Asparago verde (pianta intera)</v>
      </c>
      <c r="D125" s="1153">
        <v>2.56</v>
      </c>
      <c r="E125" s="1176">
        <v>0.66</v>
      </c>
      <c r="F125" s="1176">
        <v>2.2400000000000002</v>
      </c>
      <c r="G125" s="49" t="str">
        <f t="shared" si="47"/>
        <v>sì</v>
      </c>
      <c r="H125" s="1155">
        <f>(Standard!E125)</f>
        <v>8</v>
      </c>
      <c r="I125" s="1160">
        <f t="shared" si="90"/>
        <v>204.8</v>
      </c>
      <c r="J125" s="1160">
        <f t="shared" si="91"/>
        <v>52.800000000000004</v>
      </c>
      <c r="K125" s="1160">
        <f t="shared" si="92"/>
        <v>179.20000000000002</v>
      </c>
      <c r="L125" s="1177" t="s">
        <v>1613</v>
      </c>
      <c r="P125" s="1157" t="s">
        <v>1495</v>
      </c>
    </row>
    <row r="126" spans="1:16" ht="14.7" customHeight="1" x14ac:dyDescent="0.25">
      <c r="A126" s="49">
        <f t="shared" si="43"/>
        <v>123</v>
      </c>
      <c r="B126" s="1152" t="str">
        <f>Coltura!C124</f>
        <v>O3</v>
      </c>
      <c r="C126" s="1152" t="str">
        <f>Coltura!D124</f>
        <v>Asparago verde alta produzione</v>
      </c>
      <c r="D126" s="1153">
        <v>2.56</v>
      </c>
      <c r="E126" s="1176">
        <v>0.66</v>
      </c>
      <c r="F126" s="1176">
        <v>2.2400000000000002</v>
      </c>
      <c r="G126" s="49" t="str">
        <f t="shared" ref="G126" si="93">IF(AND(D126&gt;0,E126&gt;0,F126&gt;0),"sì","no")</f>
        <v>sì</v>
      </c>
      <c r="H126" s="1155">
        <f>(Standard!E127)</f>
        <v>20</v>
      </c>
      <c r="I126" s="1160">
        <f t="shared" ref="I126" si="94">(D126*$H126)*10</f>
        <v>512</v>
      </c>
      <c r="J126" s="1160">
        <f t="shared" ref="J126" si="95">(E126*$H126)*10</f>
        <v>132</v>
      </c>
      <c r="K126" s="1160">
        <f t="shared" ref="K126" si="96">(F126*$H126)*10</f>
        <v>448.00000000000006</v>
      </c>
      <c r="L126" s="1177" t="s">
        <v>1613</v>
      </c>
      <c r="P126" s="1157"/>
    </row>
    <row r="127" spans="1:16" x14ac:dyDescent="0.25">
      <c r="A127" s="49">
        <f t="shared" si="43"/>
        <v>124</v>
      </c>
      <c r="B127" s="1152" t="str">
        <f>Coltura!C125</f>
        <v>O4</v>
      </c>
      <c r="C127" s="1152" t="str">
        <f>Coltura!D125</f>
        <v>Basilico media produzione</v>
      </c>
      <c r="D127" s="1153">
        <v>0.37</v>
      </c>
      <c r="E127" s="1153">
        <v>0.13</v>
      </c>
      <c r="F127" s="1153">
        <v>0.39</v>
      </c>
      <c r="G127" s="49" t="str">
        <f t="shared" si="47"/>
        <v>sì</v>
      </c>
      <c r="H127" s="1155">
        <f>(Standard!E127)</f>
        <v>20</v>
      </c>
      <c r="I127" s="1160">
        <f t="shared" si="90"/>
        <v>74</v>
      </c>
      <c r="J127" s="1160">
        <f t="shared" si="91"/>
        <v>26</v>
      </c>
      <c r="K127" s="1160">
        <f t="shared" si="92"/>
        <v>78</v>
      </c>
      <c r="L127" s="714" t="s">
        <v>1249</v>
      </c>
      <c r="N127" s="1178"/>
    </row>
    <row r="128" spans="1:16" x14ac:dyDescent="0.25">
      <c r="A128" s="49">
        <f t="shared" si="43"/>
        <v>125</v>
      </c>
      <c r="B128" s="1152" t="str">
        <f>Coltura!C126</f>
        <v>O5</v>
      </c>
      <c r="C128" s="1152" t="str">
        <f>Coltura!D126</f>
        <v>Basilico alta produzione più tagli</v>
      </c>
      <c r="D128" s="1153">
        <v>0.37</v>
      </c>
      <c r="E128" s="1153">
        <v>0.13</v>
      </c>
      <c r="F128" s="1153">
        <v>0.39</v>
      </c>
      <c r="G128" s="1158" t="s">
        <v>571</v>
      </c>
      <c r="H128" s="1155">
        <f>(Standard!E128)</f>
        <v>55</v>
      </c>
      <c r="I128" s="1160">
        <f t="shared" si="90"/>
        <v>203.5</v>
      </c>
      <c r="J128" s="1160">
        <f t="shared" si="91"/>
        <v>71.5</v>
      </c>
      <c r="K128" s="1160">
        <f t="shared" si="92"/>
        <v>214.5</v>
      </c>
      <c r="L128" s="714" t="s">
        <v>1249</v>
      </c>
    </row>
    <row r="129" spans="1:12" x14ac:dyDescent="0.25">
      <c r="A129" s="49">
        <f t="shared" si="43"/>
        <v>126</v>
      </c>
      <c r="B129" s="1152" t="str">
        <f>Coltura!C127</f>
        <v>O6</v>
      </c>
      <c r="C129" s="1152" t="str">
        <f>Coltura!D127</f>
        <v>Bietola da costa e da foglia m. fresco  media produzione</v>
      </c>
      <c r="D129" s="1153">
        <v>0.46</v>
      </c>
      <c r="E129" s="1153">
        <v>0.19</v>
      </c>
      <c r="F129" s="1153">
        <v>0.56999999999999995</v>
      </c>
      <c r="G129" s="49" t="str">
        <f t="shared" si="47"/>
        <v>sì</v>
      </c>
      <c r="H129" s="1155">
        <f>(Standard!E129)</f>
        <v>25</v>
      </c>
      <c r="I129" s="1160">
        <f t="shared" si="90"/>
        <v>115</v>
      </c>
      <c r="J129" s="1160">
        <f t="shared" si="91"/>
        <v>47.5</v>
      </c>
      <c r="K129" s="1160">
        <f t="shared" si="92"/>
        <v>142.49999999999997</v>
      </c>
      <c r="L129" s="714" t="s">
        <v>1249</v>
      </c>
    </row>
    <row r="130" spans="1:12" x14ac:dyDescent="0.25">
      <c r="A130" s="49">
        <f t="shared" si="43"/>
        <v>127</v>
      </c>
      <c r="B130" s="1152" t="str">
        <f>Coltura!C128</f>
        <v>O7</v>
      </c>
      <c r="C130" s="1152" t="str">
        <f>Coltura!D128</f>
        <v>Bietola da costa e da foglia m. fresco  alta produzione più tagli</v>
      </c>
      <c r="D130" s="1153">
        <v>0.46</v>
      </c>
      <c r="E130" s="1153">
        <v>0.19</v>
      </c>
      <c r="F130" s="1153">
        <v>0.56999999999999995</v>
      </c>
      <c r="G130" s="1158" t="s">
        <v>571</v>
      </c>
      <c r="H130" s="1155">
        <f>(Standard!E130)</f>
        <v>35</v>
      </c>
      <c r="I130" s="1160">
        <f t="shared" si="90"/>
        <v>161</v>
      </c>
      <c r="J130" s="1160">
        <f t="shared" si="91"/>
        <v>66.5</v>
      </c>
      <c r="K130" s="1160">
        <f t="shared" si="92"/>
        <v>199.5</v>
      </c>
      <c r="L130" s="714" t="s">
        <v>1249</v>
      </c>
    </row>
    <row r="131" spans="1:12" x14ac:dyDescent="0.25">
      <c r="A131" s="49">
        <f t="shared" si="43"/>
        <v>128</v>
      </c>
      <c r="B131" s="1152" t="str">
        <f>Coltura!C129</f>
        <v>O8</v>
      </c>
      <c r="C131" s="1152" t="str">
        <f>Coltura!D129</f>
        <v>Bietola da foglie per l'industria media produzione più tagli</v>
      </c>
      <c r="D131" s="1153">
        <v>0.54</v>
      </c>
      <c r="E131" s="1153">
        <v>0.3</v>
      </c>
      <c r="F131" s="1153">
        <v>0.55000000000000004</v>
      </c>
      <c r="G131" s="49" t="str">
        <f t="shared" si="47"/>
        <v>sì</v>
      </c>
      <c r="H131" s="1155">
        <f>(Standard!E131)</f>
        <v>25</v>
      </c>
      <c r="I131" s="1160">
        <f t="shared" si="90"/>
        <v>135</v>
      </c>
      <c r="J131" s="1160">
        <f t="shared" si="91"/>
        <v>75</v>
      </c>
      <c r="K131" s="1160">
        <f t="shared" si="92"/>
        <v>137.50000000000003</v>
      </c>
      <c r="L131" s="714" t="s">
        <v>1249</v>
      </c>
    </row>
    <row r="132" spans="1:12" x14ac:dyDescent="0.25">
      <c r="A132" s="49">
        <f t="shared" si="43"/>
        <v>129</v>
      </c>
      <c r="B132" s="1152" t="str">
        <f>Coltura!C130</f>
        <v>O9</v>
      </c>
      <c r="C132" s="1152" t="str">
        <f>Coltura!D130</f>
        <v>Bietola da costa per l'industria alta produzione più tagli</v>
      </c>
      <c r="D132" s="1153">
        <v>0.54</v>
      </c>
      <c r="E132" s="1153">
        <v>0.3</v>
      </c>
      <c r="F132" s="1153">
        <v>0.55000000000000004</v>
      </c>
      <c r="G132" s="49" t="str">
        <f t="shared" ref="G132" si="97">IF(AND(D132&gt;0,E132&gt;0,F132&gt;0),"sì","no")</f>
        <v>sì</v>
      </c>
      <c r="H132" s="1155">
        <f>(Standard!E132)</f>
        <v>35</v>
      </c>
      <c r="I132" s="1160">
        <f t="shared" si="90"/>
        <v>189.00000000000003</v>
      </c>
      <c r="J132" s="1160">
        <f t="shared" si="91"/>
        <v>105</v>
      </c>
      <c r="K132" s="1160">
        <f t="shared" si="92"/>
        <v>192.5</v>
      </c>
      <c r="L132" s="714" t="s">
        <v>1249</v>
      </c>
    </row>
    <row r="133" spans="1:12" x14ac:dyDescent="0.25">
      <c r="A133" s="49">
        <f t="shared" si="43"/>
        <v>130</v>
      </c>
      <c r="B133" s="1152" t="str">
        <f>Coltura!C131</f>
        <v>O10</v>
      </c>
      <c r="C133" s="1152" t="str">
        <f>Coltura!D131</f>
        <v>Broccoletto  - Cime di rapa</v>
      </c>
      <c r="D133" s="1153">
        <v>0.41</v>
      </c>
      <c r="E133" s="1153">
        <v>0.16</v>
      </c>
      <c r="F133" s="1153">
        <v>0.49</v>
      </c>
      <c r="G133" s="49" t="str">
        <f t="shared" si="47"/>
        <v>sì</v>
      </c>
      <c r="H133" s="1155" t="str">
        <f>(Standard!E133)</f>
        <v>nd</v>
      </c>
      <c r="I133" s="1160"/>
      <c r="J133" s="1160"/>
      <c r="K133" s="1160"/>
      <c r="L133" s="714" t="s">
        <v>1614</v>
      </c>
    </row>
    <row r="134" spans="1:12" x14ac:dyDescent="0.25">
      <c r="A134" s="49">
        <f t="shared" si="43"/>
        <v>131</v>
      </c>
      <c r="B134" s="1152" t="str">
        <f>Coltura!C132</f>
        <v>O11</v>
      </c>
      <c r="C134" s="1152" t="str">
        <f>Coltura!D132</f>
        <v>Broccolo media produzione</v>
      </c>
      <c r="D134" s="1153">
        <v>0.52</v>
      </c>
      <c r="E134" s="1153">
        <v>0.18</v>
      </c>
      <c r="F134" s="1153">
        <v>0.56999999999999995</v>
      </c>
      <c r="G134" s="49" t="str">
        <f t="shared" si="47"/>
        <v>sì</v>
      </c>
      <c r="H134" s="1155">
        <f>(Standard!E134)</f>
        <v>20</v>
      </c>
      <c r="I134" s="1160">
        <f t="shared" si="90"/>
        <v>104</v>
      </c>
      <c r="J134" s="1160">
        <f t="shared" si="91"/>
        <v>36</v>
      </c>
      <c r="K134" s="1160">
        <f t="shared" si="92"/>
        <v>113.99999999999999</v>
      </c>
      <c r="L134" s="714" t="s">
        <v>1615</v>
      </c>
    </row>
    <row r="135" spans="1:12" x14ac:dyDescent="0.25">
      <c r="A135" s="49">
        <f t="shared" si="43"/>
        <v>132</v>
      </c>
      <c r="B135" s="1152" t="str">
        <f>Coltura!C133</f>
        <v>O12</v>
      </c>
      <c r="C135" s="1170" t="str">
        <f>Coltura!D133</f>
        <v>Broccolo alta produzione</v>
      </c>
      <c r="D135" s="1153">
        <v>0.52</v>
      </c>
      <c r="E135" s="1153">
        <v>0.18</v>
      </c>
      <c r="F135" s="1153">
        <v>0.56999999999999995</v>
      </c>
      <c r="G135" s="49" t="str">
        <f t="shared" ref="G135" si="98">IF(AND(D135&gt;0,E135&gt;0,F135&gt;0),"sì","no")</f>
        <v>sì</v>
      </c>
      <c r="H135" s="1155">
        <f>(Standard!E135)</f>
        <v>32.5</v>
      </c>
      <c r="I135" s="1160">
        <f t="shared" si="90"/>
        <v>169.00000000000003</v>
      </c>
      <c r="J135" s="1160">
        <f t="shared" si="91"/>
        <v>58.5</v>
      </c>
      <c r="K135" s="1160">
        <f t="shared" si="92"/>
        <v>185.25</v>
      </c>
      <c r="L135" s="714" t="s">
        <v>1615</v>
      </c>
    </row>
    <row r="136" spans="1:12" x14ac:dyDescent="0.25">
      <c r="A136" s="49">
        <f t="shared" si="43"/>
        <v>133</v>
      </c>
      <c r="B136" s="1152" t="str">
        <f>Coltura!C134</f>
        <v>O13</v>
      </c>
      <c r="C136" s="1152" t="str">
        <f>Coltura!D134</f>
        <v>Cappuccio media produzione</v>
      </c>
      <c r="D136" s="1153">
        <v>0.53</v>
      </c>
      <c r="E136" s="1153">
        <v>0.19</v>
      </c>
      <c r="F136" s="1153">
        <v>0.53</v>
      </c>
      <c r="G136" s="49" t="str">
        <f t="shared" si="47"/>
        <v>sì</v>
      </c>
      <c r="H136" s="1155">
        <f>(Standard!E136)</f>
        <v>27</v>
      </c>
      <c r="I136" s="1160">
        <f t="shared" si="90"/>
        <v>143.1</v>
      </c>
      <c r="J136" s="1160">
        <f t="shared" si="91"/>
        <v>51.3</v>
      </c>
      <c r="K136" s="1160">
        <f t="shared" si="92"/>
        <v>143.1</v>
      </c>
      <c r="L136" s="714" t="s">
        <v>1616</v>
      </c>
    </row>
    <row r="137" spans="1:12" x14ac:dyDescent="0.25">
      <c r="A137" s="49">
        <f t="shared" si="43"/>
        <v>134</v>
      </c>
      <c r="B137" s="1152" t="str">
        <f>Coltura!C135</f>
        <v>O14</v>
      </c>
      <c r="C137" s="1170" t="str">
        <f>Coltura!D135</f>
        <v>Cappuccio alta produzione</v>
      </c>
      <c r="D137" s="1153">
        <v>0.53</v>
      </c>
      <c r="E137" s="1153">
        <v>0.19</v>
      </c>
      <c r="F137" s="1153">
        <v>0.53</v>
      </c>
      <c r="G137" s="49" t="str">
        <f t="shared" ref="G137" si="99">IF(AND(D137&gt;0,E137&gt;0,F137&gt;0),"sì","no")</f>
        <v>sì</v>
      </c>
      <c r="H137" s="1155">
        <f>(Standard!E137)</f>
        <v>50</v>
      </c>
      <c r="I137" s="1160">
        <f t="shared" si="90"/>
        <v>265</v>
      </c>
      <c r="J137" s="1160">
        <f t="shared" si="91"/>
        <v>95</v>
      </c>
      <c r="K137" s="1160">
        <f t="shared" si="92"/>
        <v>265</v>
      </c>
      <c r="L137" s="714" t="s">
        <v>1616</v>
      </c>
    </row>
    <row r="138" spans="1:12" x14ac:dyDescent="0.25">
      <c r="A138" s="49">
        <f t="shared" si="43"/>
        <v>135</v>
      </c>
      <c r="B138" s="1152" t="str">
        <f>Coltura!C136</f>
        <v>O15</v>
      </c>
      <c r="C138" s="1152" t="str">
        <f>Coltura!D136</f>
        <v>Carciofo</v>
      </c>
      <c r="D138" s="1153">
        <v>0.81</v>
      </c>
      <c r="E138" s="1153">
        <v>0.21</v>
      </c>
      <c r="F138" s="1153">
        <v>1.08</v>
      </c>
      <c r="G138" s="49" t="str">
        <f t="shared" si="47"/>
        <v>sì</v>
      </c>
      <c r="H138" s="1155">
        <f>(Standard!E138)</f>
        <v>15.5</v>
      </c>
      <c r="I138" s="1160">
        <f t="shared" si="90"/>
        <v>125.55000000000001</v>
      </c>
      <c r="J138" s="1160">
        <f t="shared" si="91"/>
        <v>32.549999999999997</v>
      </c>
      <c r="K138" s="1160">
        <f t="shared" si="92"/>
        <v>167.40000000000003</v>
      </c>
      <c r="L138" s="714" t="s">
        <v>1617</v>
      </c>
    </row>
    <row r="139" spans="1:12" x14ac:dyDescent="0.25">
      <c r="A139" s="49">
        <f t="shared" ref="A139:A202" si="100">(A138+1)</f>
        <v>136</v>
      </c>
      <c r="B139" s="1152" t="str">
        <f>Coltura!C137</f>
        <v>O16</v>
      </c>
      <c r="C139" s="1152" t="str">
        <f>Coltura!D137</f>
        <v>Cardo media produzione</v>
      </c>
      <c r="D139" s="1153">
        <v>0.59</v>
      </c>
      <c r="E139" s="1153">
        <v>0.11</v>
      </c>
      <c r="F139" s="1153">
        <v>0.53</v>
      </c>
      <c r="G139" s="49" t="str">
        <f t="shared" si="47"/>
        <v>sì</v>
      </c>
      <c r="H139" s="1155">
        <f>(Standard!E139)</f>
        <v>25.5</v>
      </c>
      <c r="I139" s="1160">
        <f t="shared" si="90"/>
        <v>150.44999999999999</v>
      </c>
      <c r="J139" s="1160">
        <f t="shared" si="91"/>
        <v>28.05</v>
      </c>
      <c r="K139" s="1160">
        <f t="shared" si="92"/>
        <v>135.15</v>
      </c>
      <c r="L139" s="714" t="s">
        <v>1618</v>
      </c>
    </row>
    <row r="140" spans="1:12" x14ac:dyDescent="0.25">
      <c r="A140" s="49">
        <f t="shared" si="100"/>
        <v>137</v>
      </c>
      <c r="B140" s="1152" t="str">
        <f>Coltura!C138</f>
        <v>O17</v>
      </c>
      <c r="C140" s="1170" t="str">
        <f>Coltura!D138</f>
        <v>Cardo alta produzione</v>
      </c>
      <c r="D140" s="1153">
        <v>0.59</v>
      </c>
      <c r="E140" s="1153">
        <v>0.11</v>
      </c>
      <c r="F140" s="1153">
        <v>0.53</v>
      </c>
      <c r="G140" s="49" t="str">
        <f t="shared" ref="G140" si="101">IF(AND(D140&gt;0,E140&gt;0,F140&gt;0),"sì","no")</f>
        <v>sì</v>
      </c>
      <c r="H140" s="1155">
        <f>(Standard!E140)</f>
        <v>32.5</v>
      </c>
      <c r="I140" s="1160">
        <f t="shared" si="90"/>
        <v>191.75</v>
      </c>
      <c r="J140" s="1160">
        <f t="shared" si="91"/>
        <v>35.75</v>
      </c>
      <c r="K140" s="1160">
        <f t="shared" si="92"/>
        <v>172.25</v>
      </c>
      <c r="L140" s="714" t="s">
        <v>1618</v>
      </c>
    </row>
    <row r="141" spans="1:12" x14ac:dyDescent="0.25">
      <c r="A141" s="49">
        <f t="shared" si="100"/>
        <v>138</v>
      </c>
      <c r="B141" s="1152" t="str">
        <f>Coltura!C139</f>
        <v>O18</v>
      </c>
      <c r="C141" s="1152" t="str">
        <f>Coltura!D139</f>
        <v>Carota</v>
      </c>
      <c r="D141" s="1153">
        <v>0.41</v>
      </c>
      <c r="E141" s="1153">
        <v>0.16</v>
      </c>
      <c r="F141" s="1153">
        <v>0.69</v>
      </c>
      <c r="G141" s="49" t="str">
        <f t="shared" si="47"/>
        <v>sì</v>
      </c>
      <c r="H141" s="1155">
        <f>(Standard!E141)</f>
        <v>50</v>
      </c>
      <c r="I141" s="1160">
        <f t="shared" si="90"/>
        <v>205</v>
      </c>
      <c r="J141" s="1160">
        <f t="shared" si="91"/>
        <v>80</v>
      </c>
      <c r="K141" s="1160">
        <f t="shared" si="92"/>
        <v>345</v>
      </c>
      <c r="L141" s="714" t="s">
        <v>1619</v>
      </c>
    </row>
    <row r="142" spans="1:12" x14ac:dyDescent="0.25">
      <c r="A142" s="49">
        <f t="shared" si="100"/>
        <v>139</v>
      </c>
      <c r="B142" s="1152" t="str">
        <f>Coltura!C140</f>
        <v>O19</v>
      </c>
      <c r="C142" s="1152" t="str">
        <f>Coltura!D140</f>
        <v>Cavolfiore media produzione</v>
      </c>
      <c r="D142" s="1153">
        <v>0.47</v>
      </c>
      <c r="E142" s="1153">
        <v>0.15</v>
      </c>
      <c r="F142" s="1153">
        <v>0.56000000000000005</v>
      </c>
      <c r="G142" s="49" t="str">
        <f t="shared" si="47"/>
        <v>sì</v>
      </c>
      <c r="H142" s="1155">
        <f>(Standard!E142)</f>
        <v>35</v>
      </c>
      <c r="I142" s="1160">
        <f t="shared" si="90"/>
        <v>164.5</v>
      </c>
      <c r="J142" s="1160">
        <f t="shared" si="91"/>
        <v>52.5</v>
      </c>
      <c r="K142" s="1160">
        <f t="shared" si="92"/>
        <v>196</v>
      </c>
      <c r="L142" s="714" t="s">
        <v>1620</v>
      </c>
    </row>
    <row r="143" spans="1:12" x14ac:dyDescent="0.25">
      <c r="A143" s="49">
        <f t="shared" si="100"/>
        <v>140</v>
      </c>
      <c r="B143" s="1152" t="str">
        <f>Coltura!C141</f>
        <v>O20</v>
      </c>
      <c r="C143" s="1170" t="str">
        <f>Coltura!D141</f>
        <v>Cavolfiore alta produzione</v>
      </c>
      <c r="D143" s="1153">
        <v>0.47</v>
      </c>
      <c r="E143" s="1153">
        <v>0.15</v>
      </c>
      <c r="F143" s="1153">
        <v>0.56000000000000005</v>
      </c>
      <c r="G143" s="49" t="str">
        <f t="shared" ref="G143" si="102">IF(AND(D143&gt;0,E143&gt;0,F143&gt;0),"sì","no")</f>
        <v>sì</v>
      </c>
      <c r="H143" s="1155">
        <f>(Standard!E143)</f>
        <v>45</v>
      </c>
      <c r="I143" s="1160">
        <f t="shared" si="90"/>
        <v>211.5</v>
      </c>
      <c r="J143" s="1160">
        <f t="shared" si="91"/>
        <v>67.5</v>
      </c>
      <c r="K143" s="1160">
        <f t="shared" si="92"/>
        <v>252.00000000000003</v>
      </c>
      <c r="L143" s="714" t="s">
        <v>1620</v>
      </c>
    </row>
    <row r="144" spans="1:12" x14ac:dyDescent="0.25">
      <c r="A144" s="49">
        <f t="shared" si="100"/>
        <v>141</v>
      </c>
      <c r="B144" s="1152" t="str">
        <f>Coltura!C142</f>
        <v>O21</v>
      </c>
      <c r="C144" s="1170" t="str">
        <f>Coltura!D142</f>
        <v>Cavolo verza mercato media produzione</v>
      </c>
      <c r="D144" s="1153">
        <v>0.55000000000000004</v>
      </c>
      <c r="E144" s="1153">
        <v>0.2</v>
      </c>
      <c r="F144" s="1153">
        <v>0.56999999999999995</v>
      </c>
      <c r="G144" s="49" t="str">
        <f t="shared" ref="G144:G145" si="103">IF(AND(D144&gt;0,E144&gt;0,F144&gt;0),"sì","no")</f>
        <v>sì</v>
      </c>
      <c r="H144" s="1155">
        <f>(Standard!E144)</f>
        <v>24</v>
      </c>
      <c r="I144" s="1160">
        <f t="shared" si="90"/>
        <v>132</v>
      </c>
      <c r="J144" s="1160">
        <f t="shared" si="91"/>
        <v>48.000000000000007</v>
      </c>
      <c r="K144" s="1160">
        <f t="shared" si="92"/>
        <v>136.80000000000001</v>
      </c>
      <c r="L144" s="714" t="s">
        <v>1616</v>
      </c>
    </row>
    <row r="145" spans="1:16" x14ac:dyDescent="0.25">
      <c r="A145" s="49">
        <f t="shared" si="100"/>
        <v>142</v>
      </c>
      <c r="B145" s="1152" t="str">
        <f>Coltura!C143</f>
        <v>O22</v>
      </c>
      <c r="C145" s="1170" t="str">
        <f>Coltura!D143</f>
        <v>Cavolo verza mercato alta produzione</v>
      </c>
      <c r="D145" s="1153">
        <v>0.55000000000000004</v>
      </c>
      <c r="E145" s="1153">
        <v>0.2</v>
      </c>
      <c r="F145" s="1153">
        <v>0.56999999999999995</v>
      </c>
      <c r="G145" s="49" t="str">
        <f t="shared" si="103"/>
        <v>sì</v>
      </c>
      <c r="H145" s="1155">
        <f>(Standard!E145)</f>
        <v>50</v>
      </c>
      <c r="I145" s="1160">
        <f t="shared" si="90"/>
        <v>275.00000000000006</v>
      </c>
      <c r="J145" s="1160">
        <f t="shared" si="91"/>
        <v>100</v>
      </c>
      <c r="K145" s="1160">
        <f t="shared" si="92"/>
        <v>284.99999999999994</v>
      </c>
      <c r="L145" s="714" t="s">
        <v>1616</v>
      </c>
    </row>
    <row r="146" spans="1:16" x14ac:dyDescent="0.25">
      <c r="A146" s="49">
        <f t="shared" si="100"/>
        <v>143</v>
      </c>
      <c r="B146" s="1152" t="str">
        <f>Coltura!C144</f>
        <v>O23</v>
      </c>
      <c r="C146" s="1170" t="str">
        <f>Coltura!D144</f>
        <v>Cavolo Riccio, Cavolo nero e Cavolo Rapa</v>
      </c>
      <c r="D146" s="1153">
        <v>0.44</v>
      </c>
      <c r="E146" s="1153">
        <v>0.19</v>
      </c>
      <c r="F146" s="1153">
        <v>0.41</v>
      </c>
      <c r="G146" s="49" t="str">
        <f t="shared" si="47"/>
        <v>sì</v>
      </c>
      <c r="H146" s="1155">
        <f>(Standard!E146)</f>
        <v>20</v>
      </c>
      <c r="I146" s="1160">
        <f t="shared" si="90"/>
        <v>88</v>
      </c>
      <c r="J146" s="1160">
        <f t="shared" si="91"/>
        <v>38</v>
      </c>
      <c r="K146" s="1160">
        <f t="shared" si="92"/>
        <v>82</v>
      </c>
      <c r="L146" s="714" t="s">
        <v>1249</v>
      </c>
    </row>
    <row r="147" spans="1:16" x14ac:dyDescent="0.25">
      <c r="A147" s="49">
        <f t="shared" si="100"/>
        <v>144</v>
      </c>
      <c r="B147" s="1152" t="str">
        <f>Coltura!C145</f>
        <v>O24</v>
      </c>
      <c r="C147" s="1152" t="str">
        <f>Coltura!D145</f>
        <v>Cetriolo da mensa media produzione</v>
      </c>
      <c r="D147" s="1153">
        <v>0.18</v>
      </c>
      <c r="E147" s="1153">
        <v>0.08</v>
      </c>
      <c r="F147" s="1153">
        <v>0.25</v>
      </c>
      <c r="G147" s="49" t="str">
        <f t="shared" si="47"/>
        <v>sì</v>
      </c>
      <c r="H147" s="1155">
        <f>(Standard!E147)</f>
        <v>120</v>
      </c>
      <c r="I147" s="1160">
        <f t="shared" si="90"/>
        <v>215.99999999999997</v>
      </c>
      <c r="J147" s="1160">
        <f t="shared" si="91"/>
        <v>96</v>
      </c>
      <c r="K147" s="1160">
        <f t="shared" si="92"/>
        <v>300</v>
      </c>
      <c r="L147" s="714" t="s">
        <v>1621</v>
      </c>
    </row>
    <row r="148" spans="1:16" x14ac:dyDescent="0.25">
      <c r="A148" s="49">
        <f t="shared" si="100"/>
        <v>145</v>
      </c>
      <c r="B148" s="1152" t="str">
        <f>Coltura!C146</f>
        <v>O25</v>
      </c>
      <c r="C148" s="1170" t="str">
        <f>Coltura!D146</f>
        <v>Cetriolo da mensa alta produzione</v>
      </c>
      <c r="D148" s="1153">
        <v>0.18</v>
      </c>
      <c r="E148" s="1153">
        <v>0.08</v>
      </c>
      <c r="F148" s="1153">
        <v>0.25</v>
      </c>
      <c r="G148" s="49" t="str">
        <f t="shared" ref="G148" si="104">IF(AND(D148&gt;0,E148&gt;0,F148&gt;0),"sì","no")</f>
        <v>sì</v>
      </c>
      <c r="H148" s="1155">
        <f>(Standard!E148)</f>
        <v>150</v>
      </c>
      <c r="I148" s="1160">
        <f t="shared" si="90"/>
        <v>270</v>
      </c>
      <c r="J148" s="1160">
        <f t="shared" si="91"/>
        <v>120</v>
      </c>
      <c r="K148" s="1160">
        <f t="shared" si="92"/>
        <v>375</v>
      </c>
      <c r="L148" s="714" t="s">
        <v>1621</v>
      </c>
    </row>
    <row r="149" spans="1:16" x14ac:dyDescent="0.25">
      <c r="A149" s="49">
        <f t="shared" si="100"/>
        <v>146</v>
      </c>
      <c r="B149" s="1152" t="str">
        <f>Coltura!C147</f>
        <v>O26</v>
      </c>
      <c r="C149" s="1152" t="str">
        <f>Coltura!D147</f>
        <v>Cicoria da mercato media produzione</v>
      </c>
      <c r="D149" s="1153">
        <v>0.44</v>
      </c>
      <c r="E149" s="1153">
        <v>0.32</v>
      </c>
      <c r="F149" s="1153">
        <v>0.88</v>
      </c>
      <c r="G149" s="49" t="str">
        <f t="shared" si="47"/>
        <v>sì</v>
      </c>
      <c r="H149" s="1155">
        <f>(Standard!E149)</f>
        <v>28</v>
      </c>
      <c r="I149" s="1160">
        <f t="shared" si="90"/>
        <v>123.2</v>
      </c>
      <c r="J149" s="1160">
        <f t="shared" si="91"/>
        <v>89.600000000000009</v>
      </c>
      <c r="K149" s="1160">
        <f t="shared" si="92"/>
        <v>246.4</v>
      </c>
      <c r="L149" s="714" t="s">
        <v>1622</v>
      </c>
    </row>
    <row r="150" spans="1:16" x14ac:dyDescent="0.25">
      <c r="A150" s="49">
        <f t="shared" si="100"/>
        <v>147</v>
      </c>
      <c r="B150" s="1152" t="str">
        <f>Coltura!C148</f>
        <v>O27</v>
      </c>
      <c r="C150" s="1170" t="str">
        <f>Coltura!D148</f>
        <v>Cicoria da mercato alta produzione</v>
      </c>
      <c r="D150" s="1153">
        <v>0.44</v>
      </c>
      <c r="E150" s="1153">
        <v>0.32</v>
      </c>
      <c r="F150" s="1153">
        <v>0.88</v>
      </c>
      <c r="G150" s="49" t="str">
        <f t="shared" ref="G150" si="105">IF(AND(D150&gt;0,E150&gt;0,F150&gt;0),"sì","no")</f>
        <v>sì</v>
      </c>
      <c r="H150" s="1155">
        <f>(Standard!E150)</f>
        <v>37.5</v>
      </c>
      <c r="I150" s="1160">
        <f t="shared" si="90"/>
        <v>165</v>
      </c>
      <c r="J150" s="1160">
        <f t="shared" si="91"/>
        <v>120</v>
      </c>
      <c r="K150" s="1160">
        <f t="shared" si="92"/>
        <v>330</v>
      </c>
      <c r="L150" s="714" t="s">
        <v>1622</v>
      </c>
    </row>
    <row r="151" spans="1:16" x14ac:dyDescent="0.25">
      <c r="A151" s="49">
        <f t="shared" si="100"/>
        <v>148</v>
      </c>
      <c r="B151" s="1152" t="str">
        <f>Coltura!C149</f>
        <v>O28</v>
      </c>
      <c r="C151" s="1170" t="str">
        <f>Coltura!D149</f>
        <v>Cicoria da industria alta produzione più tagli</v>
      </c>
      <c r="D151" s="1153">
        <v>0.44</v>
      </c>
      <c r="E151" s="1153">
        <v>0.32</v>
      </c>
      <c r="F151" s="1153">
        <v>0.88</v>
      </c>
      <c r="G151" s="49" t="str">
        <f t="shared" ref="G151" si="106">IF(AND(D151&gt;0,E151&gt;0,F151&gt;0),"sì","no")</f>
        <v>sì</v>
      </c>
      <c r="H151" s="1155">
        <f>(Standard!E151)</f>
        <v>28</v>
      </c>
      <c r="I151" s="1160">
        <f t="shared" si="90"/>
        <v>123.2</v>
      </c>
      <c r="J151" s="1160">
        <f t="shared" si="91"/>
        <v>89.600000000000009</v>
      </c>
      <c r="K151" s="1160">
        <f t="shared" si="92"/>
        <v>246.4</v>
      </c>
      <c r="L151" s="714" t="s">
        <v>1249</v>
      </c>
    </row>
    <row r="152" spans="1:16" x14ac:dyDescent="0.25">
      <c r="A152" s="49">
        <f t="shared" si="100"/>
        <v>149</v>
      </c>
      <c r="B152" s="1152" t="str">
        <f>Coltura!C150</f>
        <v>O29</v>
      </c>
      <c r="C152" s="1152" t="str">
        <f>Coltura!D150</f>
        <v>Cipolla media produzione</v>
      </c>
      <c r="D152" s="1153">
        <v>0.31</v>
      </c>
      <c r="E152" s="1153">
        <v>0.12</v>
      </c>
      <c r="F152" s="1153">
        <v>0.32</v>
      </c>
      <c r="G152" s="49" t="str">
        <f t="shared" si="47"/>
        <v>sì</v>
      </c>
      <c r="H152" s="1155">
        <f>(Standard!E152)</f>
        <v>45</v>
      </c>
      <c r="I152" s="1160">
        <f t="shared" si="90"/>
        <v>139.5</v>
      </c>
      <c r="J152" s="1160">
        <f t="shared" si="91"/>
        <v>53.999999999999993</v>
      </c>
      <c r="K152" s="1160">
        <f t="shared" si="92"/>
        <v>144</v>
      </c>
      <c r="L152" s="714" t="s">
        <v>1117</v>
      </c>
    </row>
    <row r="153" spans="1:16" s="1169" customFormat="1" x14ac:dyDescent="0.25">
      <c r="A153" s="49">
        <f t="shared" si="100"/>
        <v>150</v>
      </c>
      <c r="B153" s="1167" t="str">
        <f>Coltura!C151</f>
        <v>O30</v>
      </c>
      <c r="C153" s="1167" t="str">
        <f>Coltura!D151</f>
        <v>Cipolla alta produzione</v>
      </c>
      <c r="D153" s="1162">
        <v>0.31</v>
      </c>
      <c r="E153" s="1162">
        <v>0.12</v>
      </c>
      <c r="F153" s="1162">
        <v>0.32</v>
      </c>
      <c r="G153" s="1168" t="str">
        <f t="shared" ref="G153" si="107">IF(AND(D153&gt;0,E153&gt;0,F153&gt;0),"sì","no")</f>
        <v>sì</v>
      </c>
      <c r="H153" s="1164">
        <f>(Standard!E154)</f>
        <v>60</v>
      </c>
      <c r="I153" s="1164">
        <f t="shared" ref="I153" si="108">(D153*$H153)*10</f>
        <v>186</v>
      </c>
      <c r="J153" s="1164">
        <f t="shared" ref="J153" si="109">(E153*$H153)*10</f>
        <v>72</v>
      </c>
      <c r="K153" s="1164">
        <f t="shared" ref="K153" si="110">(F153*$H153)*10</f>
        <v>192</v>
      </c>
      <c r="L153" s="1179" t="s">
        <v>1117</v>
      </c>
    </row>
    <row r="154" spans="1:16" x14ac:dyDescent="0.25">
      <c r="A154" s="49">
        <f t="shared" si="100"/>
        <v>151</v>
      </c>
      <c r="B154" s="1152" t="str">
        <f>Coltura!C152</f>
        <v>O31</v>
      </c>
      <c r="C154" s="1152" t="str">
        <f>Coltura!D152</f>
        <v>Cocomero</v>
      </c>
      <c r="D154" s="1153">
        <v>0.19</v>
      </c>
      <c r="E154" s="1153">
        <v>0.12</v>
      </c>
      <c r="F154" s="1153">
        <v>0.28999999999999998</v>
      </c>
      <c r="G154" s="49" t="str">
        <f t="shared" si="47"/>
        <v>sì</v>
      </c>
      <c r="H154" s="1155">
        <f>(Standard!E154)</f>
        <v>60</v>
      </c>
      <c r="I154" s="1160">
        <f t="shared" si="90"/>
        <v>114</v>
      </c>
      <c r="J154" s="1160">
        <f t="shared" si="91"/>
        <v>72</v>
      </c>
      <c r="K154" s="1160">
        <f t="shared" si="92"/>
        <v>174</v>
      </c>
      <c r="L154" s="714" t="s">
        <v>1621</v>
      </c>
    </row>
    <row r="155" spans="1:16" x14ac:dyDescent="0.25">
      <c r="A155" s="49">
        <f t="shared" si="100"/>
        <v>152</v>
      </c>
      <c r="B155" s="1152" t="str">
        <f>Coltura!C153</f>
        <v>O32</v>
      </c>
      <c r="C155" s="1152" t="str">
        <f>Coltura!D153</f>
        <v>Endivie (indivie riccia e scarola) media produzione</v>
      </c>
      <c r="D155" s="1153">
        <v>0.47</v>
      </c>
      <c r="E155" s="1153">
        <v>0.32</v>
      </c>
      <c r="F155" s="1153">
        <v>0.85</v>
      </c>
      <c r="G155" s="49" t="str">
        <f t="shared" si="47"/>
        <v>sì</v>
      </c>
      <c r="H155" s="1155">
        <f>(Standard!E155)</f>
        <v>34</v>
      </c>
      <c r="I155" s="1160">
        <f t="shared" si="90"/>
        <v>159.79999999999998</v>
      </c>
      <c r="J155" s="1160">
        <f t="shared" si="91"/>
        <v>108.80000000000001</v>
      </c>
      <c r="K155" s="1160">
        <f t="shared" si="92"/>
        <v>289</v>
      </c>
      <c r="L155" s="714" t="s">
        <v>1630</v>
      </c>
    </row>
    <row r="156" spans="1:16" x14ac:dyDescent="0.25">
      <c r="A156" s="49">
        <f t="shared" si="100"/>
        <v>153</v>
      </c>
      <c r="B156" s="1152" t="str">
        <f>Coltura!C154</f>
        <v>O33</v>
      </c>
      <c r="C156" s="1170" t="str">
        <f>Coltura!D154</f>
        <v>Endivie (indivie riccia e scarola) alta produzione</v>
      </c>
      <c r="D156" s="1153">
        <v>0.47</v>
      </c>
      <c r="E156" s="1153">
        <v>0.32</v>
      </c>
      <c r="F156" s="1153">
        <v>0.85</v>
      </c>
      <c r="G156" s="49" t="str">
        <f t="shared" ref="G156" si="111">IF(AND(D156&gt;0,E156&gt;0,F156&gt;0),"sì","no")</f>
        <v>sì</v>
      </c>
      <c r="H156" s="1155">
        <f>(Standard!E156)</f>
        <v>45</v>
      </c>
      <c r="I156" s="1160">
        <f t="shared" si="90"/>
        <v>211.5</v>
      </c>
      <c r="J156" s="1160">
        <f t="shared" si="91"/>
        <v>144</v>
      </c>
      <c r="K156" s="1160">
        <f t="shared" si="92"/>
        <v>382.5</v>
      </c>
      <c r="L156" s="714" t="s">
        <v>1630</v>
      </c>
    </row>
    <row r="157" spans="1:16" x14ac:dyDescent="0.25">
      <c r="A157" s="49">
        <f t="shared" si="100"/>
        <v>154</v>
      </c>
      <c r="B157" s="1152" t="str">
        <f>Coltura!C155</f>
        <v>O34</v>
      </c>
      <c r="C157" s="1152" t="str">
        <f>Coltura!D155</f>
        <v>Fagiolino</v>
      </c>
      <c r="D157" s="1153">
        <v>0.75</v>
      </c>
      <c r="E157" s="1153">
        <v>0.25</v>
      </c>
      <c r="F157" s="1153">
        <v>0.75</v>
      </c>
      <c r="G157" s="49" t="str">
        <f t="shared" si="47"/>
        <v>sì</v>
      </c>
      <c r="H157" s="1155">
        <f>(Standard!E157)</f>
        <v>9</v>
      </c>
      <c r="I157" s="1160">
        <f t="shared" si="90"/>
        <v>67.5</v>
      </c>
      <c r="J157" s="1160">
        <f t="shared" si="91"/>
        <v>22.5</v>
      </c>
      <c r="K157" s="1160">
        <f t="shared" si="92"/>
        <v>67.5</v>
      </c>
      <c r="L157" s="714" t="s">
        <v>1631</v>
      </c>
    </row>
    <row r="158" spans="1:16" x14ac:dyDescent="0.25">
      <c r="A158" s="49">
        <f t="shared" si="100"/>
        <v>155</v>
      </c>
      <c r="B158" s="1152" t="str">
        <f>Coltura!C156</f>
        <v>O35</v>
      </c>
      <c r="C158" s="1152" t="str">
        <f>Coltura!D156</f>
        <v>Fagiolo in baccelli da sgranare</v>
      </c>
      <c r="D158" s="1180">
        <v>3.84</v>
      </c>
      <c r="E158" s="1180">
        <v>2.06</v>
      </c>
      <c r="F158" s="1180">
        <v>3.46</v>
      </c>
      <c r="G158" s="49" t="str">
        <f t="shared" ref="G158:G237" si="112">IF(AND(D158&gt;0,E158&gt;0,F158&gt;0),"sì","no")</f>
        <v>sì</v>
      </c>
      <c r="H158" s="1155">
        <f>(Standard!E158)</f>
        <v>5</v>
      </c>
      <c r="I158" s="1160">
        <f t="shared" si="90"/>
        <v>192</v>
      </c>
      <c r="J158" s="1160">
        <f t="shared" si="91"/>
        <v>103</v>
      </c>
      <c r="K158" s="1160">
        <f t="shared" si="92"/>
        <v>173</v>
      </c>
      <c r="L158" s="714" t="s">
        <v>1634</v>
      </c>
      <c r="P158" s="1171" t="s">
        <v>1252</v>
      </c>
    </row>
    <row r="159" spans="1:16" x14ac:dyDescent="0.25">
      <c r="A159" s="49">
        <f t="shared" si="100"/>
        <v>156</v>
      </c>
      <c r="B159" s="1152" t="str">
        <f>Coltura!C157</f>
        <v>O36</v>
      </c>
      <c r="C159" s="1152" t="str">
        <f>Coltura!D157</f>
        <v>Fagiolo secco</v>
      </c>
      <c r="D159" s="1153">
        <v>6.6</v>
      </c>
      <c r="E159" s="1153">
        <v>3.55</v>
      </c>
      <c r="F159" s="1153">
        <v>5.95</v>
      </c>
      <c r="G159" s="49" t="str">
        <f t="shared" si="112"/>
        <v>sì</v>
      </c>
      <c r="H159" s="1181">
        <v>3</v>
      </c>
      <c r="I159" s="1160">
        <f t="shared" ref="I159" si="113">(D159*$H159)*10</f>
        <v>197.99999999999997</v>
      </c>
      <c r="J159" s="1160">
        <f t="shared" ref="J159" si="114">(E159*$H159)*10</f>
        <v>106.49999999999999</v>
      </c>
      <c r="K159" s="1160">
        <f t="shared" ref="K159" si="115">(F159*$H159)*10</f>
        <v>178.5</v>
      </c>
      <c r="L159" s="714" t="s">
        <v>1576</v>
      </c>
    </row>
    <row r="160" spans="1:16" x14ac:dyDescent="0.25">
      <c r="A160" s="49">
        <f t="shared" si="100"/>
        <v>157</v>
      </c>
      <c r="B160" s="1152" t="str">
        <f>Coltura!C158</f>
        <v>O37</v>
      </c>
      <c r="C160" s="1152" t="str">
        <f>Coltura!D158</f>
        <v>Fava da consumo fresco</v>
      </c>
      <c r="D160" s="1153">
        <v>0.74</v>
      </c>
      <c r="E160" s="1153">
        <v>0.21</v>
      </c>
      <c r="F160" s="1153">
        <v>0.42</v>
      </c>
      <c r="G160" s="49" t="str">
        <f t="shared" si="112"/>
        <v>sì</v>
      </c>
      <c r="H160" s="1181">
        <v>25</v>
      </c>
      <c r="I160" s="1160">
        <f t="shared" ref="I160" si="116">(D160*$H160)*10</f>
        <v>185</v>
      </c>
      <c r="J160" s="1160">
        <f t="shared" ref="J160" si="117">(E160*$H160)*10</f>
        <v>52.5</v>
      </c>
      <c r="K160" s="1160">
        <f t="shared" ref="K160" si="118">(F160*$H160)*10</f>
        <v>105</v>
      </c>
      <c r="L160" s="714" t="s">
        <v>1631</v>
      </c>
    </row>
    <row r="161" spans="1:16" x14ac:dyDescent="0.25">
      <c r="A161" s="49">
        <f t="shared" si="100"/>
        <v>158</v>
      </c>
      <c r="B161" s="1152" t="str">
        <f>Coltura!C159</f>
        <v>O38</v>
      </c>
      <c r="C161" s="1152" t="str">
        <f>Coltura!D159</f>
        <v>Finocchio</v>
      </c>
      <c r="D161" s="1153">
        <v>0.57999999999999996</v>
      </c>
      <c r="E161" s="1153">
        <v>0.11</v>
      </c>
      <c r="F161" s="1153">
        <v>0.81</v>
      </c>
      <c r="G161" s="49" t="str">
        <f t="shared" si="112"/>
        <v>sì</v>
      </c>
      <c r="H161" s="1155">
        <f>(Standard!E161)</f>
        <v>30</v>
      </c>
      <c r="I161" s="1160">
        <f t="shared" si="90"/>
        <v>174</v>
      </c>
      <c r="J161" s="1160">
        <f t="shared" si="91"/>
        <v>33</v>
      </c>
      <c r="K161" s="1160">
        <f t="shared" si="92"/>
        <v>243</v>
      </c>
      <c r="L161" s="714" t="s">
        <v>1640</v>
      </c>
    </row>
    <row r="162" spans="1:16" x14ac:dyDescent="0.25">
      <c r="A162" s="49">
        <f t="shared" si="100"/>
        <v>159</v>
      </c>
      <c r="B162" s="1152" t="str">
        <f>Coltura!C160</f>
        <v>O39</v>
      </c>
      <c r="C162" s="1152" t="str">
        <f>Coltura!D160</f>
        <v xml:space="preserve">Fragola </v>
      </c>
      <c r="D162" s="1153">
        <v>0.45</v>
      </c>
      <c r="E162" s="1153">
        <v>0.23</v>
      </c>
      <c r="F162" s="1153">
        <v>0.71</v>
      </c>
      <c r="G162" s="49" t="str">
        <f t="shared" si="112"/>
        <v>sì</v>
      </c>
      <c r="H162" s="1155">
        <f>(Standard!E162)</f>
        <v>30</v>
      </c>
      <c r="I162" s="1160">
        <f t="shared" si="90"/>
        <v>135</v>
      </c>
      <c r="J162" s="1160">
        <f t="shared" si="91"/>
        <v>69</v>
      </c>
      <c r="K162" s="1160">
        <f t="shared" si="92"/>
        <v>212.99999999999997</v>
      </c>
      <c r="L162" s="714" t="s">
        <v>1583</v>
      </c>
    </row>
    <row r="163" spans="1:16" x14ac:dyDescent="0.25">
      <c r="A163" s="49">
        <f t="shared" si="100"/>
        <v>160</v>
      </c>
      <c r="B163" s="1152" t="str">
        <f>Coltura!C161</f>
        <v>O40</v>
      </c>
      <c r="C163" s="1152" t="str">
        <f>Coltura!D161</f>
        <v>Lattuga</v>
      </c>
      <c r="D163" s="1153">
        <v>0.31</v>
      </c>
      <c r="E163" s="1153">
        <v>0.09</v>
      </c>
      <c r="F163" s="1153">
        <v>0.5</v>
      </c>
      <c r="G163" s="49" t="str">
        <f t="shared" si="112"/>
        <v>sì</v>
      </c>
      <c r="H163" s="1155">
        <f>(Standard!E163)</f>
        <v>32</v>
      </c>
      <c r="I163" s="1160">
        <f t="shared" si="90"/>
        <v>99.2</v>
      </c>
      <c r="J163" s="1160">
        <f t="shared" si="91"/>
        <v>28.799999999999997</v>
      </c>
      <c r="K163" s="1160">
        <f t="shared" si="92"/>
        <v>160</v>
      </c>
      <c r="L163" s="714" t="s">
        <v>1630</v>
      </c>
    </row>
    <row r="164" spans="1:16" x14ac:dyDescent="0.25">
      <c r="A164" s="49">
        <f t="shared" si="100"/>
        <v>161</v>
      </c>
      <c r="B164" s="1152" t="str">
        <f>Coltura!C162</f>
        <v>O41</v>
      </c>
      <c r="C164" s="1152" t="str">
        <f>Coltura!D162</f>
        <v>Lattuga coltura protetta</v>
      </c>
      <c r="D164" s="1153">
        <v>0.31</v>
      </c>
      <c r="E164" s="1153">
        <v>0.09</v>
      </c>
      <c r="F164" s="1153">
        <v>0.5</v>
      </c>
      <c r="G164" s="49" t="str">
        <f t="shared" si="112"/>
        <v>sì</v>
      </c>
      <c r="H164" s="1155">
        <v>32</v>
      </c>
      <c r="I164" s="1160">
        <f t="shared" ref="I164" si="119">(D164*$H164)*10</f>
        <v>99.2</v>
      </c>
      <c r="J164" s="1160">
        <f t="shared" ref="J164" si="120">(E164*$H164)*10</f>
        <v>28.799999999999997</v>
      </c>
      <c r="K164" s="1160">
        <f t="shared" ref="K164" si="121">(F164*$H164)*10</f>
        <v>160</v>
      </c>
      <c r="L164" s="714" t="s">
        <v>1630</v>
      </c>
    </row>
    <row r="165" spans="1:16" x14ac:dyDescent="0.25">
      <c r="A165" s="49">
        <f t="shared" si="100"/>
        <v>162</v>
      </c>
      <c r="B165" s="1152" t="str">
        <f>Coltura!C163</f>
        <v>O42</v>
      </c>
      <c r="C165" s="1170" t="str">
        <f>Coltura!D163</f>
        <v>Melanzana in pieno campo media produzione</v>
      </c>
      <c r="D165" s="1153">
        <v>0.52</v>
      </c>
      <c r="E165" s="1153">
        <v>0.19</v>
      </c>
      <c r="F165" s="1153">
        <v>0.62</v>
      </c>
      <c r="G165" s="49" t="str">
        <f t="shared" ref="G165" si="122">IF(AND(D165&gt;0,E165&gt;0,F165&gt;0),"sì","no")</f>
        <v>sì</v>
      </c>
      <c r="H165" s="1155">
        <f>(Standard!E165)</f>
        <v>80</v>
      </c>
      <c r="I165" s="1160">
        <f t="shared" si="90"/>
        <v>416</v>
      </c>
      <c r="J165" s="1160">
        <f t="shared" si="91"/>
        <v>152</v>
      </c>
      <c r="K165" s="1160">
        <f t="shared" si="92"/>
        <v>496</v>
      </c>
      <c r="L165" s="714" t="s">
        <v>1646</v>
      </c>
    </row>
    <row r="166" spans="1:16" x14ac:dyDescent="0.25">
      <c r="A166" s="49">
        <f t="shared" si="100"/>
        <v>163</v>
      </c>
      <c r="B166" s="1152" t="str">
        <f>Coltura!C164</f>
        <v>O43</v>
      </c>
      <c r="C166" s="1170" t="str">
        <f>Coltura!D164</f>
        <v>Melanzana coltura protetta alta produzione</v>
      </c>
      <c r="D166" s="1153">
        <v>0.52</v>
      </c>
      <c r="E166" s="1153">
        <v>0.19</v>
      </c>
      <c r="F166" s="1153">
        <v>0.62</v>
      </c>
      <c r="G166" s="49" t="str">
        <f t="shared" si="112"/>
        <v>sì</v>
      </c>
      <c r="H166" s="1155">
        <f>(Standard!E166)</f>
        <v>150</v>
      </c>
      <c r="I166" s="1160">
        <f t="shared" si="90"/>
        <v>780</v>
      </c>
      <c r="J166" s="1160">
        <f t="shared" si="91"/>
        <v>285</v>
      </c>
      <c r="K166" s="1160">
        <f t="shared" si="92"/>
        <v>930</v>
      </c>
      <c r="L166" s="714" t="s">
        <v>1646</v>
      </c>
    </row>
    <row r="167" spans="1:16" x14ac:dyDescent="0.25">
      <c r="A167" s="49">
        <f t="shared" si="100"/>
        <v>164</v>
      </c>
      <c r="B167" s="1152" t="str">
        <f>Coltura!C165</f>
        <v>O44</v>
      </c>
      <c r="C167" s="1152" t="str">
        <f>Coltura!D165</f>
        <v>Melone</v>
      </c>
      <c r="D167" s="1153">
        <v>0.39</v>
      </c>
      <c r="E167" s="1153">
        <v>0.17</v>
      </c>
      <c r="F167" s="1153">
        <v>0.56999999999999995</v>
      </c>
      <c r="G167" s="49" t="str">
        <f t="shared" si="112"/>
        <v>sì</v>
      </c>
      <c r="H167" s="1155">
        <f>(Standard!E167)</f>
        <v>40</v>
      </c>
      <c r="I167" s="1160">
        <f t="shared" si="90"/>
        <v>156</v>
      </c>
      <c r="J167" s="1160">
        <f t="shared" si="91"/>
        <v>68</v>
      </c>
      <c r="K167" s="1160">
        <f t="shared" si="92"/>
        <v>227.99999999999997</v>
      </c>
      <c r="L167" s="714" t="s">
        <v>1621</v>
      </c>
    </row>
    <row r="168" spans="1:16" x14ac:dyDescent="0.25">
      <c r="A168" s="49">
        <f t="shared" si="100"/>
        <v>165</v>
      </c>
      <c r="B168" s="1152" t="str">
        <f>Coltura!C166</f>
        <v>O45</v>
      </c>
      <c r="C168" s="1152" t="str">
        <f>Coltura!D166</f>
        <v>Patata</v>
      </c>
      <c r="D168" s="1153">
        <v>0.42</v>
      </c>
      <c r="E168" s="1153">
        <v>0.15</v>
      </c>
      <c r="F168" s="1154">
        <v>0.7</v>
      </c>
      <c r="G168" s="49" t="str">
        <f t="shared" si="112"/>
        <v>sì</v>
      </c>
      <c r="H168" s="1155">
        <f>(Standard!E168)</f>
        <v>47.5</v>
      </c>
      <c r="I168" s="1160">
        <f t="shared" si="90"/>
        <v>199.5</v>
      </c>
      <c r="J168" s="1160">
        <f t="shared" si="91"/>
        <v>71.25</v>
      </c>
      <c r="K168" s="1160">
        <f t="shared" si="92"/>
        <v>332.5</v>
      </c>
      <c r="L168" s="714" t="s">
        <v>1652</v>
      </c>
    </row>
    <row r="169" spans="1:16" x14ac:dyDescent="0.25">
      <c r="A169" s="49">
        <f t="shared" si="100"/>
        <v>166</v>
      </c>
      <c r="B169" s="1152" t="str">
        <f>Coltura!C167</f>
        <v>O46</v>
      </c>
      <c r="C169" s="1152" t="str">
        <f>Coltura!D167</f>
        <v>Peperone in serra alta produzione</v>
      </c>
      <c r="D169" s="1153">
        <v>0.38</v>
      </c>
      <c r="E169" s="1153">
        <v>0.14000000000000001</v>
      </c>
      <c r="F169" s="1153">
        <v>0.5</v>
      </c>
      <c r="G169" s="49" t="str">
        <f t="shared" si="112"/>
        <v>sì</v>
      </c>
      <c r="H169" s="1155">
        <f>(Standard!E169)</f>
        <v>70</v>
      </c>
      <c r="I169" s="1160">
        <f t="shared" si="90"/>
        <v>266</v>
      </c>
      <c r="J169" s="1160">
        <f t="shared" si="91"/>
        <v>98</v>
      </c>
      <c r="K169" s="1160">
        <f t="shared" si="92"/>
        <v>350</v>
      </c>
      <c r="L169" s="714" t="s">
        <v>1645</v>
      </c>
    </row>
    <row r="170" spans="1:16" x14ac:dyDescent="0.25">
      <c r="A170" s="49">
        <f t="shared" si="100"/>
        <v>167</v>
      </c>
      <c r="B170" s="1152" t="str">
        <f>Coltura!C168</f>
        <v>O47</v>
      </c>
      <c r="C170" s="1152" t="str">
        <f>Coltura!D168</f>
        <v>Peperone in serra media produzione</v>
      </c>
      <c r="D170" s="1153">
        <v>0.38</v>
      </c>
      <c r="E170" s="1153">
        <v>0.14000000000000001</v>
      </c>
      <c r="F170" s="1153">
        <v>0.5</v>
      </c>
      <c r="G170" s="49" t="str">
        <f t="shared" si="112"/>
        <v>sì</v>
      </c>
      <c r="H170" s="1155">
        <f>(Standard!E170)</f>
        <v>50</v>
      </c>
      <c r="I170" s="1160">
        <f t="shared" si="90"/>
        <v>190</v>
      </c>
      <c r="J170" s="1160">
        <f t="shared" si="91"/>
        <v>70.000000000000014</v>
      </c>
      <c r="K170" s="1160">
        <f t="shared" si="92"/>
        <v>250</v>
      </c>
      <c r="L170" s="714" t="s">
        <v>1645</v>
      </c>
    </row>
    <row r="171" spans="1:16" x14ac:dyDescent="0.25">
      <c r="A171" s="49">
        <f t="shared" si="100"/>
        <v>168</v>
      </c>
      <c r="B171" s="1152" t="str">
        <f>Coltura!C169</f>
        <v>O48</v>
      </c>
      <c r="C171" s="1152" t="str">
        <f>Coltura!D169</f>
        <v>Piccoli frutti</v>
      </c>
      <c r="D171" s="1182">
        <v>1.5</v>
      </c>
      <c r="E171" s="1153"/>
      <c r="F171" s="1153"/>
      <c r="G171" s="49" t="str">
        <f t="shared" si="112"/>
        <v>no</v>
      </c>
      <c r="H171" s="1155" t="str">
        <f>(Standard!E171)</f>
        <v>nd</v>
      </c>
      <c r="I171" s="1160"/>
      <c r="J171" s="1160"/>
      <c r="K171" s="1160"/>
    </row>
    <row r="172" spans="1:16" x14ac:dyDescent="0.25">
      <c r="A172" s="49">
        <f t="shared" si="100"/>
        <v>169</v>
      </c>
      <c r="B172" s="1152" t="str">
        <f>Coltura!C170</f>
        <v>O49</v>
      </c>
      <c r="C172" s="1152" t="str">
        <f>Coltura!D170</f>
        <v>Pisello da industria (grani)</v>
      </c>
      <c r="D172" s="1176">
        <v>3.958333333333333</v>
      </c>
      <c r="E172" s="1176">
        <v>0.65833333333333344</v>
      </c>
      <c r="F172" s="1176">
        <v>1.875</v>
      </c>
      <c r="G172" s="49" t="str">
        <f t="shared" si="112"/>
        <v>sì</v>
      </c>
      <c r="H172" s="1155">
        <v>5</v>
      </c>
      <c r="I172" s="1160">
        <f t="shared" si="90"/>
        <v>197.91666666666663</v>
      </c>
      <c r="J172" s="1160">
        <f t="shared" si="91"/>
        <v>32.916666666666671</v>
      </c>
      <c r="K172" s="1160">
        <f t="shared" si="92"/>
        <v>93.75</v>
      </c>
      <c r="L172" s="714" t="s">
        <v>1658</v>
      </c>
      <c r="P172" s="1157" t="s">
        <v>1495</v>
      </c>
    </row>
    <row r="173" spans="1:16" x14ac:dyDescent="0.25">
      <c r="A173" s="49">
        <f t="shared" si="100"/>
        <v>170</v>
      </c>
      <c r="B173" s="1152" t="str">
        <f>Coltura!C171</f>
        <v>O50</v>
      </c>
      <c r="C173" s="1152" t="str">
        <f>Coltura!D171</f>
        <v>Pisello da mercato fresco (baccelli)</v>
      </c>
      <c r="D173" s="1153">
        <v>4.75</v>
      </c>
      <c r="E173" s="1176">
        <v>0.79</v>
      </c>
      <c r="F173" s="1176">
        <v>2.25</v>
      </c>
      <c r="G173" s="49" t="str">
        <f t="shared" si="112"/>
        <v>sì</v>
      </c>
      <c r="H173" s="1155">
        <f>(Standard!E173)</f>
        <v>6</v>
      </c>
      <c r="I173" s="1160">
        <f t="shared" si="90"/>
        <v>285</v>
      </c>
      <c r="J173" s="1160">
        <f t="shared" si="91"/>
        <v>47.400000000000006</v>
      </c>
      <c r="K173" s="1160">
        <f t="shared" si="92"/>
        <v>135</v>
      </c>
      <c r="L173" s="714" t="s">
        <v>1631</v>
      </c>
      <c r="P173" s="1157" t="s">
        <v>1495</v>
      </c>
    </row>
    <row r="174" spans="1:16" x14ac:dyDescent="0.25">
      <c r="A174" s="49">
        <f t="shared" si="100"/>
        <v>171</v>
      </c>
      <c r="B174" s="1152" t="str">
        <f>Coltura!C172</f>
        <v>O51</v>
      </c>
      <c r="C174" s="1152" t="str">
        <f>Coltura!D172</f>
        <v>Pomodoro da industria media produzione</v>
      </c>
      <c r="D174" s="1153">
        <v>0.26</v>
      </c>
      <c r="E174" s="1183">
        <v>0.13</v>
      </c>
      <c r="F174" s="1153">
        <v>0.37</v>
      </c>
      <c r="G174" s="49" t="str">
        <f t="shared" si="112"/>
        <v>sì</v>
      </c>
      <c r="H174" s="1155">
        <f>(Standard!E174)</f>
        <v>70</v>
      </c>
      <c r="I174" s="1160">
        <f t="shared" si="90"/>
        <v>182</v>
      </c>
      <c r="J174" s="1160">
        <f t="shared" si="91"/>
        <v>91</v>
      </c>
      <c r="K174" s="1160">
        <f t="shared" si="92"/>
        <v>259</v>
      </c>
      <c r="L174" s="714" t="s">
        <v>1645</v>
      </c>
    </row>
    <row r="175" spans="1:16" x14ac:dyDescent="0.25">
      <c r="A175" s="49">
        <f t="shared" si="100"/>
        <v>172</v>
      </c>
      <c r="B175" s="1152" t="str">
        <f>Coltura!C173</f>
        <v>O52</v>
      </c>
      <c r="C175" s="1152" t="str">
        <f>Coltura!D173</f>
        <v>Pomodoro da industria alta produzione</v>
      </c>
      <c r="D175" s="1153">
        <v>0.26</v>
      </c>
      <c r="E175" s="1183">
        <v>0.13</v>
      </c>
      <c r="F175" s="1153">
        <v>0.37</v>
      </c>
      <c r="G175" s="49" t="str">
        <f t="shared" si="112"/>
        <v>sì</v>
      </c>
      <c r="H175" s="1155">
        <f>(Standard!E175)</f>
        <v>90</v>
      </c>
      <c r="I175" s="1160">
        <f t="shared" ref="I175" si="123">(D175*$H175)*10</f>
        <v>234.00000000000003</v>
      </c>
      <c r="J175" s="1160">
        <f t="shared" ref="J175" si="124">(E175*$H175)*10</f>
        <v>117.00000000000001</v>
      </c>
      <c r="K175" s="1160">
        <f t="shared" ref="K175" si="125">(F175*$H175)*10</f>
        <v>333</v>
      </c>
      <c r="L175" s="714" t="s">
        <v>1645</v>
      </c>
    </row>
    <row r="176" spans="1:16" x14ac:dyDescent="0.25">
      <c r="A176" s="49">
        <f t="shared" si="100"/>
        <v>173</v>
      </c>
      <c r="B176" s="1152" t="str">
        <f>Coltura!C174</f>
        <v>O53</v>
      </c>
      <c r="C176" s="1152" t="str">
        <f>Coltura!D174</f>
        <v>Pomodoro da mensa a pieno campo</v>
      </c>
      <c r="D176" s="1153">
        <v>0.26</v>
      </c>
      <c r="E176" s="1154">
        <v>0.12</v>
      </c>
      <c r="F176" s="1154">
        <v>0.41</v>
      </c>
      <c r="G176" s="49" t="str">
        <f t="shared" si="112"/>
        <v>sì</v>
      </c>
      <c r="H176" s="1155">
        <f>(Standard!E176)</f>
        <v>70</v>
      </c>
      <c r="I176" s="1160">
        <f t="shared" si="90"/>
        <v>182</v>
      </c>
      <c r="J176" s="1160">
        <f t="shared" si="91"/>
        <v>84</v>
      </c>
      <c r="K176" s="1160">
        <f t="shared" si="92"/>
        <v>287</v>
      </c>
      <c r="L176" s="714" t="s">
        <v>1645</v>
      </c>
    </row>
    <row r="177" spans="1:16" x14ac:dyDescent="0.25">
      <c r="A177" s="49">
        <f t="shared" si="100"/>
        <v>174</v>
      </c>
      <c r="B177" s="1152" t="str">
        <f>Coltura!C175</f>
        <v>O54</v>
      </c>
      <c r="C177" s="1152" t="str">
        <f>Coltura!D175</f>
        <v>Pomodoro da mensa in serra</v>
      </c>
      <c r="D177" s="1153">
        <v>0.26</v>
      </c>
      <c r="E177" s="1153">
        <v>0.1</v>
      </c>
      <c r="F177" s="1153">
        <v>0.4</v>
      </c>
      <c r="G177" s="49" t="str">
        <f t="shared" si="112"/>
        <v>sì</v>
      </c>
      <c r="H177" s="1155">
        <f>(Standard!E177)</f>
        <v>115</v>
      </c>
      <c r="I177" s="1160">
        <f t="shared" si="90"/>
        <v>299</v>
      </c>
      <c r="J177" s="1160">
        <f t="shared" si="91"/>
        <v>115</v>
      </c>
      <c r="K177" s="1160">
        <f t="shared" si="92"/>
        <v>460</v>
      </c>
      <c r="L177" s="714" t="s">
        <v>1645</v>
      </c>
    </row>
    <row r="178" spans="1:16" x14ac:dyDescent="0.25">
      <c r="A178" s="49">
        <f t="shared" si="100"/>
        <v>175</v>
      </c>
      <c r="B178" s="1152" t="str">
        <f>Coltura!C176</f>
        <v>O55</v>
      </c>
      <c r="C178" s="1152" t="str">
        <f>Coltura!D176</f>
        <v>Porro</v>
      </c>
      <c r="D178" s="1153">
        <v>0.38</v>
      </c>
      <c r="E178" s="1153">
        <v>0.14000000000000001</v>
      </c>
      <c r="F178" s="1154">
        <v>0.36</v>
      </c>
      <c r="G178" s="49" t="str">
        <f t="shared" si="112"/>
        <v>sì</v>
      </c>
      <c r="H178" s="1181">
        <f>(Standard!E178)</f>
        <v>40</v>
      </c>
      <c r="I178" s="1160">
        <f t="shared" ref="I178" si="126">(D178*$H178)*10</f>
        <v>152</v>
      </c>
      <c r="J178" s="1160">
        <f t="shared" ref="J178" si="127">(E178*$H178)*10</f>
        <v>56.000000000000007</v>
      </c>
      <c r="K178" s="1160">
        <f t="shared" ref="K178" si="128">(F178*$H178)*10</f>
        <v>144</v>
      </c>
    </row>
    <row r="179" spans="1:16" x14ac:dyDescent="0.25">
      <c r="A179" s="49">
        <f t="shared" si="100"/>
        <v>176</v>
      </c>
      <c r="B179" s="1152" t="str">
        <f>Coltura!C177</f>
        <v>O56</v>
      </c>
      <c r="C179" s="1152" t="str">
        <f>Coltura!D177</f>
        <v>Prezzemolo media produzione</v>
      </c>
      <c r="D179" s="1153">
        <v>0.24</v>
      </c>
      <c r="E179" s="1153">
        <v>0.14000000000000001</v>
      </c>
      <c r="F179" s="1153">
        <v>0.45</v>
      </c>
      <c r="G179" s="49" t="str">
        <f t="shared" si="112"/>
        <v>sì</v>
      </c>
      <c r="H179" s="1155">
        <f>(Standard!E179)</f>
        <v>20</v>
      </c>
      <c r="I179" s="1160">
        <f t="shared" si="90"/>
        <v>48</v>
      </c>
      <c r="J179" s="1160">
        <f t="shared" si="91"/>
        <v>28.000000000000004</v>
      </c>
      <c r="K179" s="1160">
        <f t="shared" si="92"/>
        <v>90</v>
      </c>
    </row>
    <row r="180" spans="1:16" x14ac:dyDescent="0.25">
      <c r="A180" s="49">
        <f t="shared" si="100"/>
        <v>177</v>
      </c>
      <c r="B180" s="1152" t="str">
        <f>Coltura!C178</f>
        <v>O57</v>
      </c>
      <c r="C180" s="1170" t="str">
        <f>Coltura!D178</f>
        <v>Prezzemolo alta produzione più tagli</v>
      </c>
      <c r="D180" s="1153">
        <v>0.24</v>
      </c>
      <c r="E180" s="1153">
        <v>0.14000000000000001</v>
      </c>
      <c r="F180" s="1153">
        <v>0.45</v>
      </c>
      <c r="G180" s="49" t="str">
        <f t="shared" ref="G180" si="129">IF(AND(D180&gt;0,E180&gt;0,F180&gt;0),"sì","no")</f>
        <v>sì</v>
      </c>
      <c r="H180" s="1155">
        <f>(Standard!E180)</f>
        <v>43.5</v>
      </c>
      <c r="I180" s="1160">
        <f t="shared" si="90"/>
        <v>104.39999999999999</v>
      </c>
      <c r="J180" s="1160">
        <f t="shared" si="91"/>
        <v>60.900000000000006</v>
      </c>
      <c r="K180" s="1160">
        <f t="shared" si="92"/>
        <v>195.75</v>
      </c>
    </row>
    <row r="181" spans="1:16" x14ac:dyDescent="0.25">
      <c r="A181" s="49">
        <f t="shared" si="100"/>
        <v>178</v>
      </c>
      <c r="B181" s="1152" t="str">
        <f>Coltura!C179</f>
        <v>O58</v>
      </c>
      <c r="C181" s="1152" t="str">
        <f>Coltura!D179</f>
        <v>Radicchio (cicoria a foglie colorate) media produzione</v>
      </c>
      <c r="D181" s="1153">
        <v>0.46</v>
      </c>
      <c r="E181" s="1153">
        <v>0.3</v>
      </c>
      <c r="F181" s="1153">
        <v>0.45</v>
      </c>
      <c r="G181" s="49" t="str">
        <f t="shared" si="112"/>
        <v>sì</v>
      </c>
      <c r="H181" s="1155">
        <f>(Standard!E181)</f>
        <v>20</v>
      </c>
      <c r="I181" s="1160">
        <f t="shared" si="90"/>
        <v>92.000000000000014</v>
      </c>
      <c r="J181" s="1160">
        <f t="shared" si="91"/>
        <v>60</v>
      </c>
      <c r="K181" s="1160">
        <f t="shared" si="92"/>
        <v>90</v>
      </c>
    </row>
    <row r="182" spans="1:16" x14ac:dyDescent="0.25">
      <c r="A182" s="49">
        <f t="shared" si="100"/>
        <v>179</v>
      </c>
      <c r="B182" s="1152" t="str">
        <f>Coltura!C180</f>
        <v>O59</v>
      </c>
      <c r="C182" s="1152" t="str">
        <f>Coltura!D180</f>
        <v>Radicchio (cicoria a foglie colorate) alta produzione</v>
      </c>
      <c r="D182" s="1153">
        <v>0.46</v>
      </c>
      <c r="E182" s="1153">
        <v>0.3</v>
      </c>
      <c r="F182" s="1153">
        <v>0.45</v>
      </c>
      <c r="G182" s="49" t="str">
        <f t="shared" ref="G182" si="130">IF(AND(D182&gt;0,E182&gt;0,F182&gt;0),"sì","no")</f>
        <v>sì</v>
      </c>
      <c r="H182" s="1155">
        <f>(Standard!E182)</f>
        <v>35</v>
      </c>
      <c r="I182" s="1160">
        <f t="shared" si="90"/>
        <v>161</v>
      </c>
      <c r="J182" s="1160">
        <f t="shared" si="91"/>
        <v>105</v>
      </c>
      <c r="K182" s="1160">
        <f t="shared" si="92"/>
        <v>157.5</v>
      </c>
    </row>
    <row r="183" spans="1:16" x14ac:dyDescent="0.25">
      <c r="A183" s="49">
        <f t="shared" si="100"/>
        <v>180</v>
      </c>
      <c r="B183" s="1152" t="str">
        <f>Coltura!C181</f>
        <v>O60</v>
      </c>
      <c r="C183" s="1152" t="str">
        <f>Coltura!D181</f>
        <v>Rapa</v>
      </c>
      <c r="D183" s="1153">
        <v>0.31</v>
      </c>
      <c r="E183" s="1153">
        <v>0.26</v>
      </c>
      <c r="F183" s="1153">
        <v>1.2</v>
      </c>
      <c r="G183" s="49" t="str">
        <f t="shared" si="112"/>
        <v>sì</v>
      </c>
      <c r="H183" s="1155">
        <f>(Standard!E183)</f>
        <v>35</v>
      </c>
      <c r="I183" s="1160">
        <f t="shared" ref="I183" si="131">(D183*$H183)*10</f>
        <v>108.5</v>
      </c>
      <c r="J183" s="1160">
        <f t="shared" ref="J183" si="132">(E183*$H183)*10</f>
        <v>91</v>
      </c>
      <c r="K183" s="1160">
        <f t="shared" ref="K183" si="133">(F183*$H183)*10</f>
        <v>420</v>
      </c>
      <c r="L183" s="32" t="s">
        <v>1619</v>
      </c>
    </row>
    <row r="184" spans="1:16" x14ac:dyDescent="0.25">
      <c r="A184" s="49">
        <f t="shared" si="100"/>
        <v>181</v>
      </c>
      <c r="B184" s="1152" t="str">
        <f>Coltura!C182</f>
        <v>O61</v>
      </c>
      <c r="C184" s="1152" t="str">
        <f>Coltura!D182</f>
        <v>Ravanello</v>
      </c>
      <c r="D184" s="1153">
        <v>0.46</v>
      </c>
      <c r="E184" s="1153">
        <v>0.19</v>
      </c>
      <c r="F184" s="1153">
        <v>0.36</v>
      </c>
      <c r="G184" s="49" t="str">
        <f t="shared" si="112"/>
        <v>sì</v>
      </c>
      <c r="H184" s="1155">
        <f>(Standard!E184)</f>
        <v>30</v>
      </c>
      <c r="I184" s="1160">
        <f t="shared" si="90"/>
        <v>138</v>
      </c>
      <c r="J184" s="1160">
        <f t="shared" si="91"/>
        <v>57</v>
      </c>
      <c r="K184" s="1160">
        <f t="shared" si="92"/>
        <v>107.99999999999999</v>
      </c>
    </row>
    <row r="185" spans="1:16" x14ac:dyDescent="0.25">
      <c r="A185" s="49">
        <f t="shared" si="100"/>
        <v>182</v>
      </c>
      <c r="B185" s="1152" t="str">
        <f>Coltura!C183</f>
        <v>O62</v>
      </c>
      <c r="C185" s="1152" t="str">
        <f>Coltura!D183</f>
        <v>Rucola media produzione</v>
      </c>
      <c r="D185" s="1154">
        <v>0.49</v>
      </c>
      <c r="E185" s="1154">
        <v>0.14000000000000001</v>
      </c>
      <c r="F185" s="1154">
        <v>0.53</v>
      </c>
      <c r="G185" s="49" t="str">
        <f t="shared" si="112"/>
        <v>sì</v>
      </c>
      <c r="H185" s="1155">
        <f>(Standard!E185)</f>
        <v>18.5</v>
      </c>
      <c r="I185" s="1160">
        <f t="shared" si="90"/>
        <v>90.649999999999991</v>
      </c>
      <c r="J185" s="1160">
        <f t="shared" si="91"/>
        <v>25.900000000000002</v>
      </c>
      <c r="K185" s="1160">
        <f t="shared" si="92"/>
        <v>98.05</v>
      </c>
    </row>
    <row r="186" spans="1:16" x14ac:dyDescent="0.25">
      <c r="A186" s="49">
        <f t="shared" si="100"/>
        <v>183</v>
      </c>
      <c r="B186" s="1152" t="str">
        <f>Coltura!C184</f>
        <v>O63</v>
      </c>
      <c r="C186" s="1152" t="str">
        <f>Coltura!D184</f>
        <v>Rucola alta produzione con più tagli</v>
      </c>
      <c r="D186" s="1154">
        <v>0.49</v>
      </c>
      <c r="E186" s="1154">
        <v>0.14000000000000001</v>
      </c>
      <c r="F186" s="1154">
        <v>0.53</v>
      </c>
      <c r="G186" s="1158" t="s">
        <v>571</v>
      </c>
      <c r="H186" s="1155">
        <f>(Standard!E186)</f>
        <v>37</v>
      </c>
      <c r="I186" s="1160">
        <f t="shared" si="90"/>
        <v>181.29999999999998</v>
      </c>
      <c r="J186" s="1160">
        <f t="shared" si="91"/>
        <v>51.800000000000004</v>
      </c>
      <c r="K186" s="1160">
        <f t="shared" si="92"/>
        <v>196.1</v>
      </c>
    </row>
    <row r="187" spans="1:16" x14ac:dyDescent="0.25">
      <c r="A187" s="49">
        <f t="shared" si="100"/>
        <v>184</v>
      </c>
      <c r="B187" s="1152" t="str">
        <f>Coltura!C185</f>
        <v>O64</v>
      </c>
      <c r="C187" s="1152" t="str">
        <f>Coltura!D185</f>
        <v>Scalogno</v>
      </c>
      <c r="D187" s="1153">
        <v>0.27</v>
      </c>
      <c r="E187" s="1153">
        <v>0.13</v>
      </c>
      <c r="F187" s="1153">
        <v>0.27</v>
      </c>
      <c r="G187" s="49" t="str">
        <f t="shared" si="112"/>
        <v>sì</v>
      </c>
      <c r="H187" s="1155">
        <f>(Standard!E187)</f>
        <v>8</v>
      </c>
      <c r="I187" s="1160">
        <f t="shared" si="90"/>
        <v>21.6</v>
      </c>
      <c r="J187" s="1160">
        <f t="shared" si="91"/>
        <v>10.4</v>
      </c>
      <c r="K187" s="1160">
        <f t="shared" si="92"/>
        <v>21.6</v>
      </c>
    </row>
    <row r="188" spans="1:16" x14ac:dyDescent="0.25">
      <c r="A188" s="49">
        <f t="shared" si="100"/>
        <v>185</v>
      </c>
      <c r="B188" s="1152" t="str">
        <f>Coltura!C186</f>
        <v>O65</v>
      </c>
      <c r="C188" s="1152" t="str">
        <f>Coltura!D186</f>
        <v>Sedano media produzione</v>
      </c>
      <c r="D188" s="1153">
        <v>0.54</v>
      </c>
      <c r="E188" s="1154">
        <v>0.2</v>
      </c>
      <c r="F188" s="1154">
        <v>0.75</v>
      </c>
      <c r="G188" s="49" t="str">
        <f t="shared" si="112"/>
        <v>sì</v>
      </c>
      <c r="H188" s="1155">
        <f>(Standard!E188)</f>
        <v>50</v>
      </c>
      <c r="I188" s="1160">
        <f t="shared" si="90"/>
        <v>270</v>
      </c>
      <c r="J188" s="1160">
        <f t="shared" si="91"/>
        <v>100</v>
      </c>
      <c r="K188" s="1160">
        <f t="shared" si="92"/>
        <v>375</v>
      </c>
    </row>
    <row r="189" spans="1:16" x14ac:dyDescent="0.25">
      <c r="A189" s="49">
        <f t="shared" si="100"/>
        <v>186</v>
      </c>
      <c r="B189" s="1152" t="str">
        <f>Coltura!C187</f>
        <v>O66</v>
      </c>
      <c r="C189" s="1170" t="str">
        <f>Coltura!D187</f>
        <v>Sedano alta produzione</v>
      </c>
      <c r="D189" s="1153">
        <v>0.54</v>
      </c>
      <c r="E189" s="1154">
        <v>0.2</v>
      </c>
      <c r="F189" s="1154">
        <v>0.75</v>
      </c>
      <c r="G189" s="49" t="str">
        <f t="shared" ref="G189" si="134">IF(AND(D189&gt;0,E189&gt;0,F189&gt;0),"sì","no")</f>
        <v>sì</v>
      </c>
      <c r="H189" s="1155">
        <f>(Standard!E189)</f>
        <v>80</v>
      </c>
      <c r="I189" s="1160">
        <f t="shared" si="90"/>
        <v>432</v>
      </c>
      <c r="J189" s="1160">
        <f t="shared" si="91"/>
        <v>160</v>
      </c>
      <c r="K189" s="1160">
        <f t="shared" si="92"/>
        <v>600</v>
      </c>
    </row>
    <row r="190" spans="1:16" x14ac:dyDescent="0.25">
      <c r="A190" s="49">
        <f t="shared" si="100"/>
        <v>187</v>
      </c>
      <c r="B190" s="1152" t="str">
        <f>Coltura!C188</f>
        <v>O67</v>
      </c>
      <c r="C190" s="1152" t="str">
        <f>Coltura!D188</f>
        <v>Spinacio alta produzione con più tagli</v>
      </c>
      <c r="D190" s="1153">
        <v>0.61</v>
      </c>
      <c r="E190" s="1153">
        <v>0.18</v>
      </c>
      <c r="F190" s="1176">
        <v>0.7</v>
      </c>
      <c r="G190" s="49" t="str">
        <f t="shared" si="112"/>
        <v>sì</v>
      </c>
      <c r="H190" s="1155">
        <f>(Standard!E190)</f>
        <v>27.5</v>
      </c>
      <c r="I190" s="1160">
        <f t="shared" si="90"/>
        <v>167.75</v>
      </c>
      <c r="J190" s="1160">
        <f t="shared" si="91"/>
        <v>49.5</v>
      </c>
      <c r="K190" s="1160">
        <f t="shared" si="92"/>
        <v>192.5</v>
      </c>
      <c r="P190" s="1157" t="s">
        <v>1495</v>
      </c>
    </row>
    <row r="191" spans="1:16" x14ac:dyDescent="0.25">
      <c r="A191" s="49">
        <f t="shared" si="100"/>
        <v>188</v>
      </c>
      <c r="B191" s="1152" t="str">
        <f>Coltura!C189</f>
        <v>O68</v>
      </c>
      <c r="C191" s="1152" t="str">
        <f>Coltura!D189</f>
        <v>Spinacio media produzione</v>
      </c>
      <c r="D191" s="1154">
        <v>0.61</v>
      </c>
      <c r="E191" s="1154">
        <v>0.18</v>
      </c>
      <c r="F191" s="1176">
        <v>0.7</v>
      </c>
      <c r="G191" s="49" t="str">
        <f t="shared" si="112"/>
        <v>sì</v>
      </c>
      <c r="H191" s="1155">
        <f>(Standard!E191)</f>
        <v>20</v>
      </c>
      <c r="I191" s="1160">
        <f t="shared" ref="I191:I237" si="135">(D191*$H191)*10</f>
        <v>122</v>
      </c>
      <c r="J191" s="1160">
        <f t="shared" ref="J191:J237" si="136">(E191*$H191)*10</f>
        <v>36</v>
      </c>
      <c r="K191" s="1160">
        <f t="shared" ref="K191:K237" si="137">(F191*$H191)*10</f>
        <v>140</v>
      </c>
      <c r="P191" s="1157" t="s">
        <v>1495</v>
      </c>
    </row>
    <row r="192" spans="1:16" x14ac:dyDescent="0.25">
      <c r="A192" s="49">
        <f t="shared" si="100"/>
        <v>189</v>
      </c>
      <c r="B192" s="1152" t="str">
        <f>Coltura!C190</f>
        <v>O69</v>
      </c>
      <c r="C192" s="1152" t="str">
        <f>Coltura!D190</f>
        <v>Verza - cavolo da mercato media produzione</v>
      </c>
      <c r="D192" s="1153">
        <v>0.55000000000000004</v>
      </c>
      <c r="E192" s="1153">
        <v>0.2</v>
      </c>
      <c r="F192" s="1153">
        <v>0.56999999999999995</v>
      </c>
      <c r="G192" s="49" t="str">
        <f t="shared" si="112"/>
        <v>sì</v>
      </c>
      <c r="H192" s="1155">
        <f>(Standard!E192)</f>
        <v>24</v>
      </c>
      <c r="I192" s="1160">
        <f t="shared" si="135"/>
        <v>132</v>
      </c>
      <c r="J192" s="1160">
        <f t="shared" si="136"/>
        <v>48.000000000000007</v>
      </c>
      <c r="K192" s="1160">
        <f t="shared" si="137"/>
        <v>136.80000000000001</v>
      </c>
    </row>
    <row r="193" spans="1:11" x14ac:dyDescent="0.25">
      <c r="A193" s="49">
        <f t="shared" si="100"/>
        <v>190</v>
      </c>
      <c r="B193" s="1152" t="str">
        <f>Coltura!C191</f>
        <v>O70</v>
      </c>
      <c r="C193" s="1170" t="str">
        <f>Coltura!D191</f>
        <v>Verza - cavolo da mercato alta produzione</v>
      </c>
      <c r="D193" s="1153">
        <v>0.55000000000000004</v>
      </c>
      <c r="E193" s="1153">
        <v>0.2</v>
      </c>
      <c r="F193" s="1153">
        <v>0.56999999999999995</v>
      </c>
      <c r="G193" s="49" t="str">
        <f t="shared" ref="G193" si="138">IF(AND(D193&gt;0,E193&gt;0,F193&gt;0),"sì","no")</f>
        <v>sì</v>
      </c>
      <c r="H193" s="1155">
        <f>(Standard!E193)</f>
        <v>50</v>
      </c>
      <c r="I193" s="1160">
        <f t="shared" si="135"/>
        <v>275.00000000000006</v>
      </c>
      <c r="J193" s="1160">
        <f t="shared" si="136"/>
        <v>100</v>
      </c>
      <c r="K193" s="1160">
        <f t="shared" si="137"/>
        <v>284.99999999999994</v>
      </c>
    </row>
    <row r="194" spans="1:11" x14ac:dyDescent="0.25">
      <c r="A194" s="49">
        <f t="shared" si="100"/>
        <v>191</v>
      </c>
      <c r="B194" s="1152" t="str">
        <f>Coltura!C192</f>
        <v>O71</v>
      </c>
      <c r="C194" s="1152" t="str">
        <f>Coltura!D192</f>
        <v>Verza da industria</v>
      </c>
      <c r="D194" s="1153">
        <v>0.41</v>
      </c>
      <c r="E194" s="1153">
        <v>0.21</v>
      </c>
      <c r="F194" s="1153">
        <v>0.55000000000000004</v>
      </c>
      <c r="G194" s="49" t="str">
        <f t="shared" si="112"/>
        <v>sì</v>
      </c>
      <c r="H194" s="1155">
        <f>(Standard!E194)</f>
        <v>35</v>
      </c>
      <c r="I194" s="1160">
        <f t="shared" si="135"/>
        <v>143.5</v>
      </c>
      <c r="J194" s="1160">
        <f t="shared" si="136"/>
        <v>73.5</v>
      </c>
      <c r="K194" s="1160">
        <f t="shared" si="137"/>
        <v>192.5</v>
      </c>
    </row>
    <row r="195" spans="1:11" x14ac:dyDescent="0.25">
      <c r="A195" s="49">
        <f t="shared" si="100"/>
        <v>192</v>
      </c>
      <c r="B195" s="1152" t="str">
        <f>Coltura!C193</f>
        <v>O72</v>
      </c>
      <c r="C195" s="1152" t="str">
        <f>Coltura!D193</f>
        <v>Zucca</v>
      </c>
      <c r="D195" s="1153">
        <v>0.39</v>
      </c>
      <c r="E195" s="1153">
        <v>0.1</v>
      </c>
      <c r="F195" s="1153">
        <v>0.7</v>
      </c>
      <c r="G195" s="49" t="str">
        <f t="shared" si="112"/>
        <v>sì</v>
      </c>
      <c r="H195" s="1155">
        <f>(Standard!E195)</f>
        <v>35</v>
      </c>
      <c r="I195" s="1160">
        <f t="shared" si="135"/>
        <v>136.5</v>
      </c>
      <c r="J195" s="1160">
        <f t="shared" si="136"/>
        <v>35</v>
      </c>
      <c r="K195" s="1160">
        <f t="shared" si="137"/>
        <v>245</v>
      </c>
    </row>
    <row r="196" spans="1:11" x14ac:dyDescent="0.25">
      <c r="A196" s="49">
        <f t="shared" si="100"/>
        <v>193</v>
      </c>
      <c r="B196" s="1152" t="str">
        <f>Coltura!C194</f>
        <v>O73</v>
      </c>
      <c r="C196" s="1152" t="str">
        <f>Coltura!D194</f>
        <v>Zucchino da industria media produzione</v>
      </c>
      <c r="D196" s="1153">
        <v>0.49</v>
      </c>
      <c r="E196" s="1183">
        <v>0.17</v>
      </c>
      <c r="F196" s="1154">
        <v>0.85</v>
      </c>
      <c r="G196" s="49" t="str">
        <f t="shared" si="112"/>
        <v>sì</v>
      </c>
      <c r="H196" s="1155">
        <f>(Standard!E196)</f>
        <v>50</v>
      </c>
      <c r="I196" s="1160">
        <f t="shared" si="135"/>
        <v>245</v>
      </c>
      <c r="J196" s="1160">
        <f t="shared" si="136"/>
        <v>85</v>
      </c>
      <c r="K196" s="1160">
        <f t="shared" si="137"/>
        <v>425</v>
      </c>
    </row>
    <row r="197" spans="1:11" x14ac:dyDescent="0.25">
      <c r="A197" s="49">
        <f t="shared" si="100"/>
        <v>194</v>
      </c>
      <c r="B197" s="1152" t="str">
        <f>Coltura!C195</f>
        <v>O74</v>
      </c>
      <c r="C197" s="1152" t="str">
        <f>Coltura!D195</f>
        <v>Zucchino da industria alta produzione</v>
      </c>
      <c r="D197" s="1153">
        <v>0.49</v>
      </c>
      <c r="E197" s="1183">
        <v>0.17</v>
      </c>
      <c r="F197" s="1154">
        <v>0.85</v>
      </c>
      <c r="G197" s="49" t="str">
        <f t="shared" ref="G197" si="139">IF(AND(D197&gt;0,E197&gt;0,F197&gt;0),"sì","no")</f>
        <v>sì</v>
      </c>
      <c r="H197" s="1155">
        <f>(Standard!E197)</f>
        <v>65</v>
      </c>
      <c r="I197" s="1160">
        <f t="shared" si="135"/>
        <v>318.5</v>
      </c>
      <c r="J197" s="1160">
        <f t="shared" si="136"/>
        <v>110.5</v>
      </c>
      <c r="K197" s="1160">
        <f t="shared" si="137"/>
        <v>552.5</v>
      </c>
    </row>
    <row r="198" spans="1:11" x14ac:dyDescent="0.25">
      <c r="A198" s="49">
        <f t="shared" si="100"/>
        <v>195</v>
      </c>
      <c r="B198" s="1152" t="str">
        <f>Coltura!C196</f>
        <v>O75</v>
      </c>
      <c r="C198" s="1152" t="str">
        <f>Coltura!D196</f>
        <v>Zucchino da mercato fresco media produzione</v>
      </c>
      <c r="D198" s="1153">
        <v>0.44</v>
      </c>
      <c r="E198" s="1153">
        <v>0.16</v>
      </c>
      <c r="F198" s="1154">
        <v>0.78</v>
      </c>
      <c r="G198" s="49" t="str">
        <f t="shared" si="112"/>
        <v>sì</v>
      </c>
      <c r="H198" s="1155">
        <f>(Standard!E198)</f>
        <v>40</v>
      </c>
      <c r="I198" s="1160">
        <f t="shared" si="135"/>
        <v>176</v>
      </c>
      <c r="J198" s="1160">
        <f t="shared" si="136"/>
        <v>64</v>
      </c>
      <c r="K198" s="1160">
        <f t="shared" si="137"/>
        <v>312</v>
      </c>
    </row>
    <row r="199" spans="1:11" x14ac:dyDescent="0.25">
      <c r="A199" s="49">
        <f t="shared" si="100"/>
        <v>196</v>
      </c>
      <c r="B199" s="1152" t="str">
        <f>Coltura!C197</f>
        <v>O76</v>
      </c>
      <c r="C199" s="1152" t="str">
        <f>Coltura!D197</f>
        <v>Zucchino da mercato  fresco alta produzione</v>
      </c>
      <c r="D199" s="1153">
        <v>0.44</v>
      </c>
      <c r="E199" s="1153">
        <v>0.16</v>
      </c>
      <c r="F199" s="1154">
        <v>0.78</v>
      </c>
      <c r="G199" s="49" t="str">
        <f t="shared" ref="G199" si="140">IF(AND(D199&gt;0,E199&gt;0,F199&gt;0),"sì","no")</f>
        <v>sì</v>
      </c>
      <c r="H199" s="1155">
        <f>(Standard!E199)</f>
        <v>50</v>
      </c>
      <c r="I199" s="1160">
        <f t="shared" si="135"/>
        <v>220</v>
      </c>
      <c r="J199" s="1160">
        <f t="shared" si="136"/>
        <v>80</v>
      </c>
      <c r="K199" s="1160">
        <f t="shared" si="137"/>
        <v>390</v>
      </c>
    </row>
    <row r="200" spans="1:11" x14ac:dyDescent="0.25">
      <c r="A200" s="49">
        <f t="shared" si="100"/>
        <v>197</v>
      </c>
      <c r="B200" s="1152" t="str">
        <f>Coltura!C198</f>
        <v>S1</v>
      </c>
      <c r="C200" s="1152" t="str">
        <f>Coltura!D198</f>
        <v>Barbabiertola da seme (fase porta seme)</v>
      </c>
      <c r="D200" s="1153">
        <v>0</v>
      </c>
      <c r="E200" s="1153">
        <v>0</v>
      </c>
      <c r="F200" s="1153">
        <v>0</v>
      </c>
      <c r="G200" s="49" t="str">
        <f t="shared" si="112"/>
        <v>no</v>
      </c>
      <c r="H200" s="1155" t="str">
        <f>(Standard!E200)</f>
        <v>nd</v>
      </c>
      <c r="I200" s="1160"/>
      <c r="J200" s="1160"/>
      <c r="K200" s="1160"/>
    </row>
    <row r="201" spans="1:11" x14ac:dyDescent="0.25">
      <c r="A201" s="49">
        <f t="shared" si="100"/>
        <v>198</v>
      </c>
      <c r="B201" s="1152" t="str">
        <f>Coltura!C199</f>
        <v>S2</v>
      </c>
      <c r="C201" s="1152" t="str">
        <f>Coltura!D199</f>
        <v>Carota da seme (fase portaseme)</v>
      </c>
      <c r="D201" s="1153">
        <v>0</v>
      </c>
      <c r="E201" s="1153">
        <v>0</v>
      </c>
      <c r="F201" s="1153">
        <v>0</v>
      </c>
      <c r="G201" s="49" t="str">
        <f t="shared" si="112"/>
        <v>no</v>
      </c>
      <c r="H201" s="1155" t="str">
        <f>(Standard!E201)</f>
        <v>nd</v>
      </c>
      <c r="I201" s="1160"/>
      <c r="J201" s="1160"/>
      <c r="K201" s="1160"/>
    </row>
    <row r="202" spans="1:11" x14ac:dyDescent="0.25">
      <c r="A202" s="49">
        <f t="shared" si="100"/>
        <v>199</v>
      </c>
      <c r="B202" s="1152" t="str">
        <f>Coltura!C200</f>
        <v>S3</v>
      </c>
      <c r="C202" s="1152" t="str">
        <f>Coltura!D200</f>
        <v>Carota da seme (fase vivaio)</v>
      </c>
      <c r="D202" s="1153">
        <v>0.41</v>
      </c>
      <c r="E202" s="1153">
        <v>0.16</v>
      </c>
      <c r="F202" s="1153">
        <v>0.69</v>
      </c>
      <c r="G202" s="49" t="str">
        <f t="shared" si="112"/>
        <v>sì</v>
      </c>
      <c r="H202" s="1155">
        <f>(Standard!E202)</f>
        <v>50</v>
      </c>
      <c r="I202" s="1160">
        <f t="shared" si="135"/>
        <v>205</v>
      </c>
      <c r="J202" s="1160">
        <f t="shared" si="136"/>
        <v>80</v>
      </c>
      <c r="K202" s="1160">
        <f t="shared" si="137"/>
        <v>345</v>
      </c>
    </row>
    <row r="203" spans="1:11" x14ac:dyDescent="0.25">
      <c r="A203" s="49">
        <f t="shared" ref="A203:A237" si="141">(A202+1)</f>
        <v>200</v>
      </c>
      <c r="B203" s="1152" t="str">
        <f>Coltura!C201</f>
        <v>S4</v>
      </c>
      <c r="C203" s="1152" t="str">
        <f>Coltura!D201</f>
        <v>Cavoli da seme</v>
      </c>
      <c r="D203" s="1153">
        <v>0</v>
      </c>
      <c r="E203" s="1153">
        <v>0</v>
      </c>
      <c r="F203" s="1153">
        <v>0</v>
      </c>
      <c r="G203" s="49" t="str">
        <f t="shared" si="112"/>
        <v>no</v>
      </c>
      <c r="H203" s="1155" t="str">
        <f>(Standard!E203)</f>
        <v>nd</v>
      </c>
      <c r="I203" s="1160"/>
      <c r="J203" s="1160"/>
      <c r="K203" s="1160"/>
    </row>
    <row r="204" spans="1:11" x14ac:dyDescent="0.25">
      <c r="A204" s="49">
        <f t="shared" si="141"/>
        <v>201</v>
      </c>
      <c r="B204" s="1152" t="str">
        <f>Coltura!C202</f>
        <v>S5</v>
      </c>
      <c r="C204" s="1152" t="str">
        <f>Coltura!D202</f>
        <v>Cetriolo da seme</v>
      </c>
      <c r="D204" s="1153">
        <v>0</v>
      </c>
      <c r="E204" s="1153">
        <v>0</v>
      </c>
      <c r="F204" s="1153">
        <v>0</v>
      </c>
      <c r="G204" s="49" t="str">
        <f t="shared" si="112"/>
        <v>no</v>
      </c>
      <c r="H204" s="1155" t="str">
        <f>(Standard!E204)</f>
        <v>nd</v>
      </c>
      <c r="I204" s="1160"/>
      <c r="J204" s="1160"/>
      <c r="K204" s="1160"/>
    </row>
    <row r="205" spans="1:11" x14ac:dyDescent="0.25">
      <c r="A205" s="49">
        <f t="shared" si="141"/>
        <v>202</v>
      </c>
      <c r="B205" s="1152" t="str">
        <f>Coltura!C203</f>
        <v>S6</v>
      </c>
      <c r="C205" s="1152" t="str">
        <f>Coltura!D203</f>
        <v>Cicoria da seme</v>
      </c>
      <c r="D205" s="1153">
        <v>0</v>
      </c>
      <c r="E205" s="1153">
        <v>0</v>
      </c>
      <c r="F205" s="1153">
        <v>0</v>
      </c>
      <c r="G205" s="49" t="str">
        <f t="shared" si="112"/>
        <v>no</v>
      </c>
      <c r="H205" s="1155" t="str">
        <f>(Standard!E205)</f>
        <v>nd</v>
      </c>
      <c r="I205" s="1160"/>
      <c r="J205" s="1160"/>
      <c r="K205" s="1160"/>
    </row>
    <row r="206" spans="1:11" x14ac:dyDescent="0.25">
      <c r="A206" s="49">
        <f t="shared" si="141"/>
        <v>203</v>
      </c>
      <c r="B206" s="1152" t="str">
        <f>Coltura!C204</f>
        <v>S7</v>
      </c>
      <c r="C206" s="1152" t="str">
        <f>Coltura!D204</f>
        <v>Cipolla da seme (fase portaseme)</v>
      </c>
      <c r="D206" s="1153">
        <v>0</v>
      </c>
      <c r="E206" s="1153">
        <v>0</v>
      </c>
      <c r="F206" s="1153">
        <v>0</v>
      </c>
      <c r="G206" s="49" t="str">
        <f t="shared" si="112"/>
        <v>no</v>
      </c>
      <c r="H206" s="1155" t="str">
        <f>(Standard!E206)</f>
        <v>nd</v>
      </c>
      <c r="I206" s="1160"/>
      <c r="J206" s="1160"/>
      <c r="K206" s="1160"/>
    </row>
    <row r="207" spans="1:11" x14ac:dyDescent="0.25">
      <c r="A207" s="49">
        <f t="shared" si="141"/>
        <v>204</v>
      </c>
      <c r="B207" s="1152" t="str">
        <f>Coltura!C205</f>
        <v>S8</v>
      </c>
      <c r="C207" s="1152" t="str">
        <f>Coltura!D205</f>
        <v>Cipolla da seme (fase vivaio)</v>
      </c>
      <c r="D207" s="1153">
        <v>0.31</v>
      </c>
      <c r="E207" s="1153">
        <v>0.12</v>
      </c>
      <c r="F207" s="1153">
        <v>0.32</v>
      </c>
      <c r="G207" s="49" t="str">
        <f t="shared" si="112"/>
        <v>sì</v>
      </c>
      <c r="H207" s="1155">
        <f>(Standard!E207)</f>
        <v>45</v>
      </c>
      <c r="I207" s="1160">
        <f t="shared" si="135"/>
        <v>139.5</v>
      </c>
      <c r="J207" s="1160">
        <f t="shared" si="136"/>
        <v>53.999999999999993</v>
      </c>
      <c r="K207" s="1160">
        <f t="shared" si="137"/>
        <v>144</v>
      </c>
    </row>
    <row r="208" spans="1:11" x14ac:dyDescent="0.25">
      <c r="A208" s="49">
        <f t="shared" si="141"/>
        <v>205</v>
      </c>
      <c r="B208" s="1152" t="str">
        <f>Coltura!C206</f>
        <v>S9</v>
      </c>
      <c r="C208" s="1152" t="str">
        <f>Coltura!D206</f>
        <v>Coriandolo da seme</v>
      </c>
      <c r="D208" s="1153">
        <v>0</v>
      </c>
      <c r="E208" s="1153">
        <v>0</v>
      </c>
      <c r="F208" s="1153">
        <v>0</v>
      </c>
      <c r="G208" s="49" t="str">
        <f t="shared" si="112"/>
        <v>no</v>
      </c>
      <c r="H208" s="1155" t="str">
        <f>(Standard!E208)</f>
        <v>nd</v>
      </c>
      <c r="I208" s="1160"/>
      <c r="J208" s="1160"/>
      <c r="K208" s="1160"/>
    </row>
    <row r="209" spans="1:12" x14ac:dyDescent="0.25">
      <c r="A209" s="49">
        <f t="shared" si="141"/>
        <v>206</v>
      </c>
      <c r="B209" s="1152" t="str">
        <f>Coltura!C207</f>
        <v>S10</v>
      </c>
      <c r="C209" s="1152" t="str">
        <f>Coltura!D207</f>
        <v>Erba medica  da seme</v>
      </c>
      <c r="D209" s="1153">
        <v>2.06</v>
      </c>
      <c r="E209" s="1153">
        <v>0.53</v>
      </c>
      <c r="F209" s="1153">
        <v>2.0299999999999998</v>
      </c>
      <c r="G209" s="49" t="str">
        <f t="shared" si="112"/>
        <v>sì</v>
      </c>
      <c r="H209" s="1155" t="str">
        <f>(Standard!E209)</f>
        <v>nd</v>
      </c>
      <c r="I209" s="1160"/>
      <c r="J209" s="1160"/>
      <c r="K209" s="1160"/>
    </row>
    <row r="210" spans="1:12" x14ac:dyDescent="0.25">
      <c r="A210" s="49">
        <f t="shared" si="141"/>
        <v>207</v>
      </c>
      <c r="B210" s="1152" t="str">
        <f>Coltura!C208</f>
        <v>S11</v>
      </c>
      <c r="C210" s="1152" t="str">
        <f>Coltura!D208</f>
        <v>Finocchio da seme</v>
      </c>
      <c r="D210" s="1153">
        <v>0</v>
      </c>
      <c r="E210" s="1153">
        <v>0</v>
      </c>
      <c r="F210" s="1153">
        <v>0</v>
      </c>
      <c r="G210" s="49" t="str">
        <f t="shared" si="112"/>
        <v>no</v>
      </c>
      <c r="H210" s="1155" t="str">
        <f>(Standard!E210)</f>
        <v>nd</v>
      </c>
      <c r="I210" s="1160"/>
      <c r="J210" s="1160"/>
      <c r="K210" s="1160"/>
    </row>
    <row r="211" spans="1:12" x14ac:dyDescent="0.25">
      <c r="A211" s="49">
        <f t="shared" si="141"/>
        <v>208</v>
      </c>
      <c r="B211" s="1152" t="str">
        <f>Coltura!C209</f>
        <v>S12</v>
      </c>
      <c r="C211" s="1152" t="str">
        <f>Coltura!D209</f>
        <v>Frumento duro da seme (granella)</v>
      </c>
      <c r="D211" s="1154">
        <v>3.11</v>
      </c>
      <c r="E211" s="1154">
        <v>0.85</v>
      </c>
      <c r="F211" s="1154">
        <v>0.59</v>
      </c>
      <c r="G211" s="49" t="str">
        <f t="shared" si="112"/>
        <v>sì</v>
      </c>
      <c r="H211" s="1155">
        <f>(Standard!E211)</f>
        <v>6</v>
      </c>
      <c r="I211" s="1160">
        <f t="shared" si="135"/>
        <v>186.6</v>
      </c>
      <c r="J211" s="1160">
        <f t="shared" si="136"/>
        <v>51</v>
      </c>
      <c r="K211" s="1160">
        <f t="shared" si="137"/>
        <v>35.4</v>
      </c>
    </row>
    <row r="212" spans="1:12" x14ac:dyDescent="0.25">
      <c r="A212" s="49">
        <f t="shared" si="141"/>
        <v>209</v>
      </c>
      <c r="B212" s="1152" t="str">
        <f>Coltura!C210</f>
        <v>S13</v>
      </c>
      <c r="C212" s="1152" t="str">
        <f>Coltura!D210</f>
        <v>Frumento tenero da seme (granella)</v>
      </c>
      <c r="D212" s="1166">
        <v>2.96</v>
      </c>
      <c r="E212" s="1166">
        <v>0.78</v>
      </c>
      <c r="F212" s="1166">
        <v>0.5</v>
      </c>
      <c r="G212" s="49" t="str">
        <f t="shared" si="112"/>
        <v>sì</v>
      </c>
      <c r="H212" s="1155">
        <f>(Standard!E212)</f>
        <v>6</v>
      </c>
      <c r="I212" s="1160">
        <f t="shared" si="135"/>
        <v>177.59999999999997</v>
      </c>
      <c r="J212" s="1160">
        <f t="shared" si="136"/>
        <v>46.8</v>
      </c>
      <c r="K212" s="1160">
        <f t="shared" si="137"/>
        <v>30</v>
      </c>
    </row>
    <row r="213" spans="1:12" x14ac:dyDescent="0.25">
      <c r="A213" s="49">
        <f t="shared" si="141"/>
        <v>210</v>
      </c>
      <c r="B213" s="1152" t="str">
        <f>Coltura!C211</f>
        <v>S14</v>
      </c>
      <c r="C213" s="1152" t="str">
        <f>Coltura!D211</f>
        <v>Girasole da seme (granella)</v>
      </c>
      <c r="D213" s="1153">
        <v>4.3099999999999996</v>
      </c>
      <c r="E213" s="1153">
        <v>1.24</v>
      </c>
      <c r="F213" s="1153">
        <v>1.1499999999999999</v>
      </c>
      <c r="G213" s="49" t="str">
        <f t="shared" si="112"/>
        <v>sì</v>
      </c>
      <c r="H213" s="1155">
        <f>(Standard!E213)</f>
        <v>3</v>
      </c>
      <c r="I213" s="1160">
        <f t="shared" si="135"/>
        <v>129.30000000000001</v>
      </c>
      <c r="J213" s="1160">
        <f t="shared" si="136"/>
        <v>37.199999999999996</v>
      </c>
      <c r="K213" s="1160">
        <f t="shared" si="137"/>
        <v>34.5</v>
      </c>
    </row>
    <row r="214" spans="1:12" x14ac:dyDescent="0.25">
      <c r="A214" s="49">
        <f t="shared" si="141"/>
        <v>211</v>
      </c>
      <c r="B214" s="1152" t="str">
        <f>Coltura!C212</f>
        <v>S15</v>
      </c>
      <c r="C214" s="1152" t="str">
        <f>Coltura!D212</f>
        <v>Lattuga da seme</v>
      </c>
      <c r="D214" s="1153">
        <v>0</v>
      </c>
      <c r="E214" s="1153">
        <v>0</v>
      </c>
      <c r="F214" s="1153">
        <v>0</v>
      </c>
      <c r="G214" s="49" t="str">
        <f t="shared" si="112"/>
        <v>no</v>
      </c>
      <c r="H214" s="1155" t="str">
        <f>(Standard!E214)</f>
        <v>nd</v>
      </c>
      <c r="I214" s="1160"/>
      <c r="J214" s="1160"/>
      <c r="K214" s="1160"/>
    </row>
    <row r="215" spans="1:12" x14ac:dyDescent="0.25">
      <c r="A215" s="49">
        <f t="shared" si="141"/>
        <v>212</v>
      </c>
      <c r="B215" s="1152" t="str">
        <f>Coltura!C213</f>
        <v>S16</v>
      </c>
      <c r="C215" s="1152" t="str">
        <f>Coltura!D213</f>
        <v>Orzo da seme (granella)</v>
      </c>
      <c r="D215" s="1153">
        <v>2.2400000000000002</v>
      </c>
      <c r="E215" s="1154">
        <v>0.8</v>
      </c>
      <c r="F215" s="1154">
        <v>0.52</v>
      </c>
      <c r="G215" s="49" t="str">
        <f t="shared" si="112"/>
        <v>sì</v>
      </c>
      <c r="H215" s="1155">
        <f>(Standard!E215)</f>
        <v>6.5</v>
      </c>
      <c r="I215" s="1160">
        <f t="shared" si="135"/>
        <v>145.60000000000002</v>
      </c>
      <c r="J215" s="1160">
        <f t="shared" si="136"/>
        <v>52</v>
      </c>
      <c r="K215" s="1160">
        <f t="shared" si="137"/>
        <v>33.799999999999997</v>
      </c>
    </row>
    <row r="216" spans="1:12" x14ac:dyDescent="0.25">
      <c r="A216" s="49">
        <f t="shared" si="141"/>
        <v>213</v>
      </c>
      <c r="B216" s="1152" t="str">
        <f>Coltura!C214</f>
        <v>S17</v>
      </c>
      <c r="C216" s="1152" t="str">
        <f>Coltura!D214</f>
        <v>Pisello proteico da seme (granella)</v>
      </c>
      <c r="D216" s="1153">
        <v>4.55</v>
      </c>
      <c r="E216" s="1153">
        <v>0.88</v>
      </c>
      <c r="F216" s="1153">
        <v>1.28</v>
      </c>
      <c r="G216" s="49" t="str">
        <f t="shared" si="112"/>
        <v>sì</v>
      </c>
      <c r="H216" s="1155" t="str">
        <f>(Standard!E216)</f>
        <v>nd</v>
      </c>
      <c r="I216" s="1160"/>
      <c r="J216" s="1160"/>
      <c r="K216" s="1160"/>
    </row>
    <row r="217" spans="1:12" x14ac:dyDescent="0.25">
      <c r="A217" s="49">
        <f t="shared" si="141"/>
        <v>214</v>
      </c>
      <c r="B217" s="1152" t="str">
        <f>Coltura!C215</f>
        <v>S18</v>
      </c>
      <c r="C217" s="1152" t="str">
        <f>Coltura!D215</f>
        <v>Prezzemolo da seme</v>
      </c>
      <c r="D217" s="1153">
        <v>0</v>
      </c>
      <c r="E217" s="1153">
        <v>0</v>
      </c>
      <c r="F217" s="1153">
        <v>0</v>
      </c>
      <c r="G217" s="49" t="str">
        <f t="shared" si="112"/>
        <v>no</v>
      </c>
      <c r="H217" s="1155" t="str">
        <f>(Standard!E217)</f>
        <v>nd</v>
      </c>
      <c r="I217" s="1160"/>
      <c r="J217" s="1160"/>
      <c r="K217" s="1160"/>
    </row>
    <row r="218" spans="1:12" x14ac:dyDescent="0.25">
      <c r="A218" s="49">
        <f t="shared" si="141"/>
        <v>215</v>
      </c>
      <c r="B218" s="1152" t="str">
        <f>Coltura!C216</f>
        <v>S19</v>
      </c>
      <c r="C218" s="1152" t="str">
        <f>Coltura!D216</f>
        <v>Ravanello da seme</v>
      </c>
      <c r="D218" s="1153">
        <v>0</v>
      </c>
      <c r="E218" s="1153">
        <v>0</v>
      </c>
      <c r="F218" s="1153">
        <v>0</v>
      </c>
      <c r="G218" s="49" t="str">
        <f t="shared" si="112"/>
        <v>no</v>
      </c>
      <c r="H218" s="1155" t="str">
        <f>(Standard!E218)</f>
        <v>nd</v>
      </c>
      <c r="I218" s="1160"/>
      <c r="J218" s="1160"/>
      <c r="K218" s="1160"/>
    </row>
    <row r="219" spans="1:12" x14ac:dyDescent="0.25">
      <c r="A219" s="49">
        <f t="shared" si="141"/>
        <v>216</v>
      </c>
      <c r="B219" s="1152" t="str">
        <f>Coltura!C217</f>
        <v>S20</v>
      </c>
      <c r="C219" s="1152" t="str">
        <f>Coltura!D217</f>
        <v>Segale da seme (granella)</v>
      </c>
      <c r="D219" s="1153">
        <v>2.78</v>
      </c>
      <c r="E219" s="1153">
        <v>0.7</v>
      </c>
      <c r="F219" s="1153">
        <v>0.5</v>
      </c>
      <c r="G219" s="49" t="str">
        <f t="shared" si="112"/>
        <v>sì</v>
      </c>
      <c r="H219" s="1155">
        <f>(Standard!E219)</f>
        <v>4</v>
      </c>
      <c r="I219" s="1156">
        <f t="shared" ref="I219" si="142">(D219*$H219)*10</f>
        <v>111.19999999999999</v>
      </c>
      <c r="J219" s="1156">
        <f t="shared" ref="J219" si="143">(E219*$H219)*10</f>
        <v>28</v>
      </c>
      <c r="K219" s="1156">
        <f t="shared" ref="K219" si="144">(F219*$H219)*10</f>
        <v>20</v>
      </c>
      <c r="L219" s="714" t="s">
        <v>1576</v>
      </c>
    </row>
    <row r="220" spans="1:12" x14ac:dyDescent="0.25">
      <c r="A220" s="49">
        <f t="shared" si="141"/>
        <v>217</v>
      </c>
      <c r="B220" s="1152" t="str">
        <f>Coltura!C218</f>
        <v>S21</v>
      </c>
      <c r="C220" s="1152" t="str">
        <f>Coltura!D218</f>
        <v>Soia da seme (granella)</v>
      </c>
      <c r="D220" s="1153">
        <v>6.3</v>
      </c>
      <c r="E220" s="1153">
        <v>1.36</v>
      </c>
      <c r="F220" s="1153">
        <v>2.0099999999999998</v>
      </c>
      <c r="G220" s="49" t="str">
        <f t="shared" si="112"/>
        <v>sì</v>
      </c>
      <c r="H220" s="1155">
        <f>(Standard!E220)</f>
        <v>3.5</v>
      </c>
      <c r="I220" s="1160">
        <f t="shared" si="135"/>
        <v>220.5</v>
      </c>
      <c r="J220" s="1160">
        <f t="shared" si="136"/>
        <v>47.600000000000009</v>
      </c>
      <c r="K220" s="1160">
        <f t="shared" si="137"/>
        <v>70.349999999999994</v>
      </c>
    </row>
    <row r="221" spans="1:12" x14ac:dyDescent="0.25">
      <c r="A221" s="49">
        <f t="shared" si="141"/>
        <v>218</v>
      </c>
      <c r="B221" s="1152" t="str">
        <f>Coltura!C219</f>
        <v>S22</v>
      </c>
      <c r="C221" s="1152" t="str">
        <f>Coltura!D219</f>
        <v>Triticale da seme (granella)</v>
      </c>
      <c r="D221" s="1153">
        <v>2.54</v>
      </c>
      <c r="E221" s="1153">
        <v>0.7</v>
      </c>
      <c r="F221" s="1153">
        <v>0.5</v>
      </c>
      <c r="G221" s="49" t="str">
        <f t="shared" si="112"/>
        <v>sì</v>
      </c>
      <c r="H221" s="1155">
        <f>(Standard!E223)</f>
        <v>11.5</v>
      </c>
      <c r="I221" s="1156">
        <f>(D221*$H221)*10</f>
        <v>292.10000000000002</v>
      </c>
      <c r="J221" s="1156">
        <f>(E221*$H221)*10</f>
        <v>80.499999999999986</v>
      </c>
      <c r="K221" s="1156">
        <f>(F221*$H221)*10</f>
        <v>57.5</v>
      </c>
      <c r="L221" s="714" t="s">
        <v>1576</v>
      </c>
    </row>
    <row r="222" spans="1:12" x14ac:dyDescent="0.25">
      <c r="A222" s="49">
        <f t="shared" si="141"/>
        <v>219</v>
      </c>
      <c r="B222" s="1152" t="str">
        <f>Coltura!C220</f>
        <v>S23</v>
      </c>
      <c r="C222" s="1152" t="str">
        <f>Coltura!D220</f>
        <v>Trifoglio da seme (trifoglio)</v>
      </c>
      <c r="D222" s="1153">
        <v>2.0699999999999998</v>
      </c>
      <c r="E222" s="1153">
        <v>0.6</v>
      </c>
      <c r="F222" s="1153">
        <v>2.4500000000000002</v>
      </c>
      <c r="G222" s="49" t="str">
        <f t="shared" si="112"/>
        <v>sì</v>
      </c>
      <c r="H222" s="1165" t="s">
        <v>645</v>
      </c>
      <c r="I222" s="1156"/>
      <c r="J222" s="1156"/>
      <c r="K222" s="1156"/>
      <c r="L222" s="714"/>
    </row>
    <row r="223" spans="1:12" x14ac:dyDescent="0.25">
      <c r="A223" s="49">
        <f t="shared" si="141"/>
        <v>220</v>
      </c>
      <c r="B223" s="1152" t="str">
        <f>Coltura!C221</f>
        <v>BL1</v>
      </c>
      <c r="C223" s="1152" t="str">
        <f>Coltura!D221</f>
        <v>Bietola da foglia</v>
      </c>
      <c r="D223" s="1153">
        <v>0</v>
      </c>
      <c r="E223" s="1153">
        <v>0</v>
      </c>
      <c r="F223" s="1153">
        <v>0</v>
      </c>
      <c r="G223" s="49" t="str">
        <f t="shared" si="112"/>
        <v>no</v>
      </c>
      <c r="H223" s="1155">
        <f>(Standard!E223)</f>
        <v>11.5</v>
      </c>
      <c r="I223" s="1160">
        <f t="shared" si="135"/>
        <v>0</v>
      </c>
      <c r="J223" s="1160">
        <f t="shared" si="136"/>
        <v>0</v>
      </c>
      <c r="K223" s="1160">
        <f t="shared" si="137"/>
        <v>0</v>
      </c>
    </row>
    <row r="224" spans="1:12" x14ac:dyDescent="0.25">
      <c r="A224" s="49">
        <f t="shared" si="141"/>
        <v>221</v>
      </c>
      <c r="B224" s="1152" t="str">
        <f>Coltura!C222</f>
        <v>BL2</v>
      </c>
      <c r="C224" s="1152" t="str">
        <f>Coltura!D222</f>
        <v>Bietola da foglia</v>
      </c>
      <c r="D224" s="1153">
        <v>0</v>
      </c>
      <c r="E224" s="1153">
        <v>0</v>
      </c>
      <c r="F224" s="1153">
        <v>0</v>
      </c>
      <c r="G224" s="49" t="str">
        <f t="shared" ref="G224" si="145">IF(AND(D224&gt;0,E224&gt;0,F224&gt;0),"sì","no")</f>
        <v>no</v>
      </c>
      <c r="H224" s="1155">
        <f>(Standard!E224)</f>
        <v>11.5</v>
      </c>
      <c r="I224" s="1160">
        <f t="shared" ref="I224" si="146">(D224*$H224)*10</f>
        <v>0</v>
      </c>
      <c r="J224" s="1160">
        <f t="shared" ref="J224" si="147">(E224*$H224)*10</f>
        <v>0</v>
      </c>
      <c r="K224" s="1160">
        <f t="shared" ref="K224" si="148">(F224*$H224)*10</f>
        <v>0</v>
      </c>
    </row>
    <row r="225" spans="1:15" x14ac:dyDescent="0.25">
      <c r="A225" s="49">
        <f t="shared" si="141"/>
        <v>222</v>
      </c>
      <c r="B225" s="1152" t="str">
        <f>Coltura!C223</f>
        <v>BL3</v>
      </c>
      <c r="C225" s="1152" t="str">
        <f>Coltura!D223</f>
        <v>Cicorino</v>
      </c>
      <c r="D225" s="1153">
        <v>0</v>
      </c>
      <c r="E225" s="1153">
        <v>0</v>
      </c>
      <c r="F225" s="1153">
        <v>0</v>
      </c>
      <c r="G225" s="49" t="str">
        <f t="shared" si="112"/>
        <v>no</v>
      </c>
      <c r="H225" s="1155">
        <f>(Standard!E224)</f>
        <v>11.5</v>
      </c>
      <c r="I225" s="1160">
        <f t="shared" si="135"/>
        <v>0</v>
      </c>
      <c r="J225" s="1160">
        <f t="shared" si="136"/>
        <v>0</v>
      </c>
      <c r="K225" s="1160">
        <f t="shared" si="137"/>
        <v>0</v>
      </c>
    </row>
    <row r="226" spans="1:15" x14ac:dyDescent="0.25">
      <c r="A226" s="49">
        <f t="shared" si="141"/>
        <v>223</v>
      </c>
      <c r="B226" s="1152" t="str">
        <f>Coltura!C224</f>
        <v>BL4</v>
      </c>
      <c r="C226" s="1152" t="str">
        <f>Coltura!D224</f>
        <v>Cicorino</v>
      </c>
      <c r="D226" s="1153">
        <v>0</v>
      </c>
      <c r="E226" s="1153">
        <v>0</v>
      </c>
      <c r="F226" s="1153">
        <v>0</v>
      </c>
      <c r="G226" s="49" t="str">
        <f t="shared" ref="G226" si="149">IF(AND(D226&gt;0,E226&gt;0,F226&gt;0),"sì","no")</f>
        <v>no</v>
      </c>
      <c r="H226" s="1155">
        <f>(Standard!E225)</f>
        <v>12</v>
      </c>
      <c r="I226" s="1160">
        <f t="shared" ref="I226" si="150">(D226*$H226)*10</f>
        <v>0</v>
      </c>
      <c r="J226" s="1160">
        <f t="shared" ref="J226" si="151">(E226*$H226)*10</f>
        <v>0</v>
      </c>
      <c r="K226" s="1160">
        <f t="shared" ref="K226" si="152">(F226*$H226)*10</f>
        <v>0</v>
      </c>
    </row>
    <row r="227" spans="1:15" x14ac:dyDescent="0.25">
      <c r="A227" s="49">
        <f t="shared" si="141"/>
        <v>224</v>
      </c>
      <c r="B227" s="1152" t="str">
        <f>Coltura!C225</f>
        <v>BL5</v>
      </c>
      <c r="C227" s="1152" t="str">
        <f>Coltura!D225</f>
        <v>Foglie e steli di Brassica</v>
      </c>
      <c r="D227" s="1153">
        <v>0</v>
      </c>
      <c r="E227" s="1153">
        <v>0</v>
      </c>
      <c r="F227" s="1153">
        <v>0</v>
      </c>
      <c r="G227" s="49" t="str">
        <f t="shared" si="112"/>
        <v>no</v>
      </c>
      <c r="H227" s="1155">
        <f>(Standard!E225)</f>
        <v>12</v>
      </c>
      <c r="I227" s="1160">
        <f t="shared" si="135"/>
        <v>0</v>
      </c>
      <c r="J227" s="1160">
        <f t="shared" si="136"/>
        <v>0</v>
      </c>
      <c r="K227" s="1160">
        <f t="shared" si="137"/>
        <v>0</v>
      </c>
    </row>
    <row r="228" spans="1:15" x14ac:dyDescent="0.25">
      <c r="A228" s="49">
        <f t="shared" si="141"/>
        <v>225</v>
      </c>
      <c r="B228" s="1152" t="str">
        <f>Coltura!C226</f>
        <v>BL6</v>
      </c>
      <c r="C228" s="1152" t="str">
        <f>Coltura!D226</f>
        <v>Foglie e steli di Brassica</v>
      </c>
      <c r="D228" s="1153">
        <v>0</v>
      </c>
      <c r="E228" s="1153">
        <v>0</v>
      </c>
      <c r="F228" s="1153">
        <v>0</v>
      </c>
      <c r="G228" s="49" t="str">
        <f t="shared" ref="G228" si="153">IF(AND(D228&gt;0,E228&gt;0,F228&gt;0),"sì","no")</f>
        <v>no</v>
      </c>
      <c r="H228" s="1155">
        <f>(Standard!E226)</f>
        <v>12</v>
      </c>
      <c r="I228" s="1160">
        <f t="shared" ref="I228" si="154">(D228*$H228)*10</f>
        <v>0</v>
      </c>
      <c r="J228" s="1160">
        <f t="shared" ref="J228" si="155">(E228*$H228)*10</f>
        <v>0</v>
      </c>
      <c r="K228" s="1160">
        <f t="shared" ref="K228" si="156">(F228*$H228)*10</f>
        <v>0</v>
      </c>
    </row>
    <row r="229" spans="1:15" x14ac:dyDescent="0.25">
      <c r="A229" s="49">
        <f t="shared" si="141"/>
        <v>226</v>
      </c>
      <c r="B229" s="1152" t="str">
        <f>Coltura!C227</f>
        <v>BL7</v>
      </c>
      <c r="C229" s="1152" t="str">
        <f>Coltura!D227</f>
        <v>Lattuga da cespo</v>
      </c>
      <c r="D229" s="1153">
        <v>0.27</v>
      </c>
      <c r="E229" s="1153">
        <v>0.08</v>
      </c>
      <c r="F229" s="1153">
        <v>0.47</v>
      </c>
      <c r="G229" s="49" t="str">
        <f t="shared" si="112"/>
        <v>sì</v>
      </c>
      <c r="H229" s="1155">
        <f>(Standard!E226)</f>
        <v>12</v>
      </c>
      <c r="I229" s="1160">
        <f t="shared" si="135"/>
        <v>32.400000000000006</v>
      </c>
      <c r="J229" s="1160">
        <f t="shared" si="136"/>
        <v>9.6</v>
      </c>
      <c r="K229" s="1160">
        <f t="shared" si="137"/>
        <v>56.4</v>
      </c>
    </row>
    <row r="230" spans="1:15" x14ac:dyDescent="0.25">
      <c r="A230" s="49">
        <f t="shared" si="141"/>
        <v>227</v>
      </c>
      <c r="B230" s="1152" t="str">
        <f>Coltura!C228</f>
        <v>BL8</v>
      </c>
      <c r="C230" s="1152" t="str">
        <f>Coltura!D228</f>
        <v>Lattughino 1° taglio</v>
      </c>
      <c r="D230" s="1153">
        <v>0.48499999999999999</v>
      </c>
      <c r="E230" s="1153">
        <v>0.14000000000000001</v>
      </c>
      <c r="F230" s="1153">
        <v>0.52700000000000002</v>
      </c>
      <c r="G230" s="49" t="str">
        <f t="shared" si="112"/>
        <v>sì</v>
      </c>
      <c r="H230" s="1155">
        <f>(Standard!E227)</f>
        <v>10</v>
      </c>
      <c r="I230" s="1160">
        <f t="shared" si="135"/>
        <v>48.5</v>
      </c>
      <c r="J230" s="1160">
        <f t="shared" si="136"/>
        <v>14.000000000000002</v>
      </c>
      <c r="K230" s="1160">
        <f t="shared" si="137"/>
        <v>52.7</v>
      </c>
    </row>
    <row r="231" spans="1:15" x14ac:dyDescent="0.25">
      <c r="A231" s="49">
        <f t="shared" si="141"/>
        <v>228</v>
      </c>
      <c r="B231" s="1152" t="str">
        <f>Coltura!C229</f>
        <v>BL9</v>
      </c>
      <c r="C231" s="1152" t="str">
        <f>Coltura!D229</f>
        <v>Lattughino 2° taglio</v>
      </c>
      <c r="D231" s="1153">
        <v>0.48499999999999999</v>
      </c>
      <c r="E231" s="1153">
        <v>0.14000000000000001</v>
      </c>
      <c r="F231" s="1153">
        <v>0.52700000000000002</v>
      </c>
      <c r="G231" s="49" t="str">
        <f t="shared" ref="G231" si="157">IF(AND(D231&gt;0,E231&gt;0,F231&gt;0),"sì","no")</f>
        <v>sì</v>
      </c>
      <c r="H231" s="1155">
        <f>(Standard!E228)</f>
        <v>10</v>
      </c>
      <c r="I231" s="1160">
        <f t="shared" ref="I231" si="158">(D231*$H231)*10</f>
        <v>48.5</v>
      </c>
      <c r="J231" s="1160">
        <f t="shared" ref="J231" si="159">(E231*$H231)*10</f>
        <v>14.000000000000002</v>
      </c>
      <c r="K231" s="1160">
        <f t="shared" ref="K231" si="160">(F231*$H231)*10</f>
        <v>52.7</v>
      </c>
    </row>
    <row r="232" spans="1:15" x14ac:dyDescent="0.25">
      <c r="A232" s="49">
        <f t="shared" si="141"/>
        <v>229</v>
      </c>
      <c r="B232" s="1152" t="str">
        <f>Coltura!C230</f>
        <v>BL10</v>
      </c>
      <c r="C232" s="1152" t="str">
        <f>Coltura!D230</f>
        <v>Rucola 1° taglio</v>
      </c>
      <c r="D232" s="1153">
        <v>0.43</v>
      </c>
      <c r="E232" s="1153">
        <v>0.13</v>
      </c>
      <c r="F232" s="1153">
        <v>0.45</v>
      </c>
      <c r="G232" s="49" t="str">
        <f t="shared" si="112"/>
        <v>sì</v>
      </c>
      <c r="H232" s="1155">
        <f>(Standard!E228)</f>
        <v>10</v>
      </c>
      <c r="I232" s="1160">
        <f t="shared" si="135"/>
        <v>43</v>
      </c>
      <c r="J232" s="1160">
        <f t="shared" si="136"/>
        <v>13</v>
      </c>
      <c r="K232" s="1160">
        <f t="shared" si="137"/>
        <v>45</v>
      </c>
    </row>
    <row r="233" spans="1:15" x14ac:dyDescent="0.25">
      <c r="A233" s="49">
        <f t="shared" si="141"/>
        <v>230</v>
      </c>
      <c r="B233" s="1152" t="str">
        <f>Coltura!C231</f>
        <v>BL11</v>
      </c>
      <c r="C233" s="1152" t="str">
        <f>Coltura!D231</f>
        <v>Rucola 2° taglio</v>
      </c>
      <c r="D233" s="1153">
        <v>0.54</v>
      </c>
      <c r="E233" s="1153">
        <v>0.15</v>
      </c>
      <c r="F233" s="1153">
        <v>0.6</v>
      </c>
      <c r="G233" s="49" t="str">
        <f t="shared" ref="G233" si="161">IF(AND(D233&gt;0,E233&gt;0,F233&gt;0),"sì","no")</f>
        <v>sì</v>
      </c>
      <c r="H233" s="1155">
        <f>(Standard!E229)</f>
        <v>32</v>
      </c>
      <c r="I233" s="1160">
        <f t="shared" ref="I233" si="162">(D233*$H233)*10</f>
        <v>172.8</v>
      </c>
      <c r="J233" s="1160">
        <f t="shared" ref="J233" si="163">(E233*$H233)*10</f>
        <v>48</v>
      </c>
      <c r="K233" s="1160">
        <f t="shared" ref="K233" si="164">(F233*$H233)*10</f>
        <v>192</v>
      </c>
    </row>
    <row r="234" spans="1:15" x14ac:dyDescent="0.25">
      <c r="A234" s="49">
        <f t="shared" si="141"/>
        <v>231</v>
      </c>
      <c r="B234" s="1152" t="str">
        <f>Coltura!C232</f>
        <v>BL12</v>
      </c>
      <c r="C234" s="1152" t="str">
        <f>Coltura!D232</f>
        <v>Spinacino 1° taglio</v>
      </c>
      <c r="D234" s="1153">
        <v>0.33800000000000002</v>
      </c>
      <c r="E234" s="1153">
        <v>0.13300000000000001</v>
      </c>
      <c r="F234" s="1153">
        <v>0.71099999999999997</v>
      </c>
      <c r="G234" s="49" t="str">
        <f t="shared" si="112"/>
        <v>sì</v>
      </c>
      <c r="H234" s="1155">
        <f>(Standard!E229)</f>
        <v>32</v>
      </c>
      <c r="I234" s="1160">
        <f t="shared" si="135"/>
        <v>108.16000000000001</v>
      </c>
      <c r="J234" s="1160">
        <f t="shared" si="136"/>
        <v>42.56</v>
      </c>
      <c r="K234" s="1160">
        <f t="shared" si="137"/>
        <v>227.51999999999998</v>
      </c>
    </row>
    <row r="235" spans="1:15" x14ac:dyDescent="0.25">
      <c r="A235" s="49">
        <f t="shared" si="141"/>
        <v>232</v>
      </c>
      <c r="B235" s="1152" t="str">
        <f>Coltura!C233</f>
        <v>BL13</v>
      </c>
      <c r="C235" s="1152" t="str">
        <f>Coltura!D233</f>
        <v>Spinacino 2° taglio</v>
      </c>
      <c r="D235" s="1153">
        <v>0.33800000000000002</v>
      </c>
      <c r="E235" s="1153">
        <v>0.13300000000000001</v>
      </c>
      <c r="F235" s="1153">
        <v>0.71099999999999997</v>
      </c>
      <c r="G235" s="49" t="str">
        <f t="shared" ref="G235" si="165">IF(AND(D235&gt;0,E235&gt;0,F235&gt;0),"sì","no")</f>
        <v>sì</v>
      </c>
      <c r="H235" s="1155">
        <f>(Standard!E230)</f>
        <v>11.5</v>
      </c>
      <c r="I235" s="1160">
        <f t="shared" ref="I235" si="166">(D235*$H235)*10</f>
        <v>38.870000000000005</v>
      </c>
      <c r="J235" s="1160">
        <f t="shared" ref="J235" si="167">(E235*$H235)*10</f>
        <v>15.295000000000002</v>
      </c>
      <c r="K235" s="1160">
        <f t="shared" ref="K235" si="168">(F235*$H235)*10</f>
        <v>81.764999999999986</v>
      </c>
    </row>
    <row r="236" spans="1:15" x14ac:dyDescent="0.25">
      <c r="A236" s="49">
        <f t="shared" si="141"/>
        <v>233</v>
      </c>
      <c r="B236" s="1152" t="str">
        <f>Coltura!C234</f>
        <v>BL14</v>
      </c>
      <c r="C236" s="1152" t="str">
        <f>Coltura!D234</f>
        <v>Valerianella</v>
      </c>
      <c r="D236" s="1153">
        <v>0.49399999999999999</v>
      </c>
      <c r="E236" s="1153">
        <v>0.14599999999999999</v>
      </c>
      <c r="F236" s="1153">
        <v>0.58399999999999996</v>
      </c>
      <c r="G236" s="49" t="str">
        <f t="shared" si="112"/>
        <v>sì</v>
      </c>
      <c r="H236" s="1155">
        <f>(Standard!E230)</f>
        <v>11.5</v>
      </c>
      <c r="I236" s="1160">
        <f t="shared" si="135"/>
        <v>56.81</v>
      </c>
      <c r="J236" s="1160">
        <f t="shared" si="136"/>
        <v>16.79</v>
      </c>
      <c r="K236" s="1160">
        <f t="shared" si="137"/>
        <v>67.16</v>
      </c>
    </row>
    <row r="237" spans="1:15" x14ac:dyDescent="0.25">
      <c r="A237" s="49">
        <f t="shared" si="141"/>
        <v>234</v>
      </c>
      <c r="B237" s="1152" t="str">
        <f>Coltura!C235</f>
        <v>BL15</v>
      </c>
      <c r="C237" s="1152" t="str">
        <f>Coltura!D235</f>
        <v>baby leaf generica</v>
      </c>
      <c r="D237" s="1153">
        <v>0.38500000000000001</v>
      </c>
      <c r="E237" s="1153">
        <v>0.11600000000000001</v>
      </c>
      <c r="F237" s="1153">
        <v>0.56999999999999995</v>
      </c>
      <c r="G237" s="49" t="str">
        <f t="shared" si="112"/>
        <v>sì</v>
      </c>
      <c r="H237" s="1155">
        <f>(Standard!E231)</f>
        <v>11.5</v>
      </c>
      <c r="I237" s="1160">
        <f t="shared" si="135"/>
        <v>44.275000000000006</v>
      </c>
      <c r="J237" s="1160">
        <f t="shared" si="136"/>
        <v>13.34</v>
      </c>
      <c r="K237" s="1160">
        <f t="shared" si="137"/>
        <v>65.55</v>
      </c>
    </row>
    <row r="238" spans="1:15" x14ac:dyDescent="0.25">
      <c r="A238" s="41"/>
    </row>
    <row r="239" spans="1:15" ht="13.8" thickBot="1" x14ac:dyDescent="0.3">
      <c r="A239" s="32" t="s">
        <v>241</v>
      </c>
      <c r="G239" s="41" t="s">
        <v>1216</v>
      </c>
    </row>
    <row r="240" spans="1:15" x14ac:dyDescent="0.25">
      <c r="A240" s="65" t="s">
        <v>23</v>
      </c>
      <c r="B240" s="66" t="s">
        <v>24</v>
      </c>
      <c r="C240" s="41" t="s">
        <v>25</v>
      </c>
      <c r="D240" s="41" t="s">
        <v>243</v>
      </c>
      <c r="E240" s="41" t="s">
        <v>244</v>
      </c>
      <c r="F240" s="41" t="s">
        <v>245</v>
      </c>
      <c r="G240" s="1148" t="s">
        <v>1217</v>
      </c>
      <c r="H240" s="33" t="s">
        <v>1571</v>
      </c>
      <c r="I240" s="1149" t="s">
        <v>1609</v>
      </c>
      <c r="J240" s="1149" t="s">
        <v>1610</v>
      </c>
      <c r="K240" s="1149" t="s">
        <v>1611</v>
      </c>
      <c r="L240" s="33" t="s">
        <v>1608</v>
      </c>
      <c r="M240" s="1151" t="s">
        <v>243</v>
      </c>
      <c r="N240" s="94" t="s">
        <v>244</v>
      </c>
      <c r="O240" s="141" t="s">
        <v>245</v>
      </c>
    </row>
    <row r="241" spans="1:15" ht="13.8" thickBot="1" x14ac:dyDescent="0.3">
      <c r="A241" s="69">
        <f>Coltura!A238</f>
        <v>50</v>
      </c>
      <c r="B241" s="1184" t="str">
        <f>Coltura!C238</f>
        <v>E17</v>
      </c>
      <c r="C241" s="1141" t="str">
        <f>DGET($A$3:$F$237,3,$A$240:$B$241)</f>
        <v>Grano duro (pianta intera)</v>
      </c>
      <c r="D241" s="709">
        <f>DGET($A$3:$F$237,4,$A$240:$B$241)</f>
        <v>3.11</v>
      </c>
      <c r="E241" s="709">
        <f>DGET($A$3:$F$237,5,$A$240:$B$241)</f>
        <v>1.06</v>
      </c>
      <c r="F241" s="709">
        <f>DGET($A$3:$F$237,6,$A$240:$B$241)</f>
        <v>1.99</v>
      </c>
      <c r="G241" s="709" t="str">
        <f>DGET($A$3:$G$237,7,$A$240:$B$241)</f>
        <v>sì</v>
      </c>
      <c r="H241" s="709">
        <f>DGET($A$3:$K$237,8,$A$240:$B$241)</f>
        <v>6</v>
      </c>
      <c r="I241" s="709">
        <f>DGET($A$3:$K$237,9,$A$240:$B$241)</f>
        <v>186.6</v>
      </c>
      <c r="J241" s="709">
        <f>DGET($A$3:$K$237,10,$A$240:$B$241)</f>
        <v>63.6</v>
      </c>
      <c r="K241" s="709">
        <f>DGET($A$3:$K$237,11,$A$240:$B$241)</f>
        <v>119.39999999999999</v>
      </c>
      <c r="L241" s="709" t="str">
        <f>DGET($A$3:$O$237,12,$A$240:$B$241)</f>
        <v>granella + residui</v>
      </c>
      <c r="M241" s="709" t="e">
        <f>DGET($A$3:$O$237,13,$A$240:$B$241)</f>
        <v>#VALUE!</v>
      </c>
      <c r="N241" s="709" t="e">
        <f>DGET($A$3:$O$237,14,$A$240:$B$241)</f>
        <v>#VALUE!</v>
      </c>
      <c r="O241" s="709" t="e">
        <f>DGET($A$3:$O$237,15,$A$240:$B$241)</f>
        <v>#VALUE!</v>
      </c>
    </row>
    <row r="243" spans="1:15" ht="13.8" thickBot="1" x14ac:dyDescent="0.3">
      <c r="D243" s="182"/>
      <c r="E243" s="1185" t="s">
        <v>15</v>
      </c>
      <c r="F243" s="182"/>
    </row>
    <row r="244" spans="1:15" x14ac:dyDescent="0.25">
      <c r="D244" s="51">
        <f>(D241*Codici!$M2)*10</f>
        <v>186.6</v>
      </c>
      <c r="E244" s="52">
        <f>(E241*Codici!$M2)*10</f>
        <v>63.6</v>
      </c>
      <c r="F244" s="51">
        <f>(F241*Codici!$M2)*10</f>
        <v>119.39999999999999</v>
      </c>
    </row>
    <row r="246" spans="1:15" ht="13.8" thickBot="1" x14ac:dyDescent="0.3">
      <c r="E246" s="1142" t="s">
        <v>1261</v>
      </c>
      <c r="F246" s="1142"/>
    </row>
    <row r="247" spans="1:15" x14ac:dyDescent="0.25">
      <c r="E247" s="49">
        <f>(E241*Codici!L2)*10</f>
        <v>0</v>
      </c>
      <c r="F247" s="49">
        <f>(F241*Codici!L2)*10</f>
        <v>0</v>
      </c>
    </row>
  </sheetData>
  <sheetProtection algorithmName="SHA-512" hashValue="oDQ0dFwKBss7Iw4XupqvHlW3/ZT4IutbajuO5og0rMoXHXr9iZMYlAZ8QvIC/KJDtBwE4VMQg77+9NPD2aWr4A==" saltValue="syCu6sp9MPyWTgdGseuStg==" spinCount="100000" sheet="1" objects="1" scenarios="1"/>
  <mergeCells count="5">
    <mergeCell ref="D1:F1"/>
    <mergeCell ref="E246:F246"/>
    <mergeCell ref="M1:O1"/>
    <mergeCell ref="J2:K2"/>
    <mergeCell ref="I1:K1"/>
  </mergeCells>
  <phoneticPr fontId="2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7"/>
  <dimension ref="A1:V258"/>
  <sheetViews>
    <sheetView zoomScale="80" zoomScaleNormal="80" workbookViewId="0">
      <pane ySplit="3" topLeftCell="A4" activePane="bottomLeft" state="frozen"/>
      <selection pane="bottomLeft" sqref="A1:XFD1048576"/>
    </sheetView>
  </sheetViews>
  <sheetFormatPr defaultRowHeight="13.2" x14ac:dyDescent="0.25"/>
  <cols>
    <col min="1" max="2" width="8.88671875" style="32"/>
    <col min="3" max="3" width="10.5546875" style="32" customWidth="1"/>
    <col min="4" max="4" width="15.33203125" style="32" customWidth="1"/>
    <col min="5" max="5" width="61.6640625" style="32" customWidth="1"/>
    <col min="6" max="6" width="9.6640625" style="32" customWidth="1"/>
    <col min="7" max="7" width="8.88671875" style="32"/>
    <col min="8" max="8" width="13.6640625" style="32" customWidth="1"/>
    <col min="9" max="9" width="11" style="32" customWidth="1"/>
    <col min="10" max="10" width="10" style="32" bestFit="1" customWidth="1"/>
    <col min="11" max="11" width="10" style="32" customWidth="1"/>
    <col min="12" max="12" width="10.44140625" style="32" customWidth="1"/>
    <col min="13" max="13" width="12.6640625" style="32" customWidth="1"/>
    <col min="14" max="14" width="6.44140625" style="32" bestFit="1" customWidth="1"/>
    <col min="15" max="16" width="4" style="32" bestFit="1" customWidth="1"/>
    <col min="17" max="17" width="12.33203125" style="32" customWidth="1"/>
    <col min="18" max="18" width="17" style="32" customWidth="1"/>
    <col min="19" max="19" width="10.6640625" style="32" bestFit="1" customWidth="1"/>
    <col min="20" max="20" width="10.5546875" style="32" customWidth="1"/>
    <col min="21" max="16384" width="8.88671875" style="32"/>
  </cols>
  <sheetData>
    <row r="1" spans="1:18" ht="21.75" customHeight="1" x14ac:dyDescent="0.25">
      <c r="C1" s="32" t="s">
        <v>1101</v>
      </c>
      <c r="F1" s="1186"/>
      <c r="G1" s="32" t="s">
        <v>1102</v>
      </c>
      <c r="M1" s="60"/>
      <c r="N1" s="32" t="s">
        <v>1103</v>
      </c>
      <c r="O1" s="1187"/>
      <c r="P1" s="1187"/>
      <c r="Q1" s="216"/>
    </row>
    <row r="2" spans="1:18" ht="78.75" customHeight="1" x14ac:dyDescent="0.25">
      <c r="F2" s="1188" t="s">
        <v>1483</v>
      </c>
      <c r="G2" s="41" t="s">
        <v>1104</v>
      </c>
      <c r="H2" s="41" t="s">
        <v>1105</v>
      </c>
      <c r="I2" s="41" t="s">
        <v>1106</v>
      </c>
      <c r="J2" s="41" t="s">
        <v>1107</v>
      </c>
      <c r="K2" s="191" t="s">
        <v>1</v>
      </c>
      <c r="L2" s="41" t="s">
        <v>1105</v>
      </c>
      <c r="M2" s="58" t="s">
        <v>1108</v>
      </c>
      <c r="N2" s="216" t="s">
        <v>577</v>
      </c>
      <c r="O2" s="216" t="s">
        <v>578</v>
      </c>
      <c r="P2" s="216" t="s">
        <v>1109</v>
      </c>
      <c r="Q2" s="216" t="s">
        <v>1110</v>
      </c>
    </row>
    <row r="3" spans="1:18" ht="39.6" x14ac:dyDescent="0.25">
      <c r="A3" s="32" t="s">
        <v>23</v>
      </c>
      <c r="B3" s="191" t="s">
        <v>1000</v>
      </c>
      <c r="C3" s="32" t="s">
        <v>24</v>
      </c>
      <c r="D3" s="41" t="s">
        <v>1208</v>
      </c>
      <c r="E3" s="32" t="s">
        <v>13</v>
      </c>
      <c r="F3" s="1186" t="s">
        <v>330</v>
      </c>
      <c r="G3" s="41" t="s">
        <v>330</v>
      </c>
      <c r="H3" s="41" t="s">
        <v>593</v>
      </c>
      <c r="I3" s="41" t="s">
        <v>1106</v>
      </c>
      <c r="J3" s="41" t="s">
        <v>1107</v>
      </c>
      <c r="K3" s="41" t="s">
        <v>2</v>
      </c>
      <c r="L3" s="41" t="s">
        <v>383</v>
      </c>
      <c r="M3" s="58" t="s">
        <v>356</v>
      </c>
      <c r="Q3" s="32" t="s">
        <v>330</v>
      </c>
      <c r="R3" s="714" t="s">
        <v>1508</v>
      </c>
    </row>
    <row r="4" spans="1:18" x14ac:dyDescent="0.25">
      <c r="A4" s="1189">
        <f>Coltura!A2</f>
        <v>1</v>
      </c>
      <c r="B4" s="1189">
        <f>Coltura!B2</f>
        <v>1</v>
      </c>
      <c r="C4" s="1189" t="str">
        <f>Coltura!C2</f>
        <v>A2</v>
      </c>
      <c r="D4" s="1190" t="s">
        <v>645</v>
      </c>
      <c r="E4" s="930" t="str">
        <f>Coltura!D2</f>
        <v>Actinidia polpa verde frutti, legno e foglie</v>
      </c>
      <c r="F4" s="1186">
        <v>340</v>
      </c>
      <c r="G4" s="41">
        <v>150</v>
      </c>
      <c r="H4" s="41">
        <v>25</v>
      </c>
      <c r="I4" s="41" t="s">
        <v>1111</v>
      </c>
      <c r="J4" s="41"/>
      <c r="K4" s="41" t="s">
        <v>570</v>
      </c>
      <c r="L4" s="49">
        <f>IF(I4="tq",H4,IF(I4="s.s.",(H4/(M4/100))))</f>
        <v>25</v>
      </c>
      <c r="M4" s="41"/>
      <c r="N4" s="45">
        <f>Standard!E4</f>
        <v>25</v>
      </c>
      <c r="O4" s="45">
        <f>Standard!F4</f>
        <v>120</v>
      </c>
      <c r="P4" s="45">
        <f>Standard!AU4</f>
        <v>40</v>
      </c>
      <c r="Q4" s="49">
        <f>(O4+P4)</f>
        <v>160</v>
      </c>
      <c r="R4" s="714" t="s">
        <v>1852</v>
      </c>
    </row>
    <row r="5" spans="1:18" x14ac:dyDescent="0.25">
      <c r="A5" s="1189">
        <f>Coltura!A3</f>
        <v>2</v>
      </c>
      <c r="B5" s="1189">
        <f>Coltura!B3</f>
        <v>2</v>
      </c>
      <c r="C5" s="1189" t="str">
        <f>Coltura!C3</f>
        <v>Ab2</v>
      </c>
      <c r="D5" s="1190" t="s">
        <v>645</v>
      </c>
      <c r="E5" s="930" t="str">
        <f>Coltura!D3</f>
        <v>Actinidia polpa gialla frutti, legno e foglie</v>
      </c>
      <c r="F5" s="1186">
        <v>340</v>
      </c>
      <c r="G5" s="41">
        <v>150</v>
      </c>
      <c r="H5" s="41">
        <v>25</v>
      </c>
      <c r="I5" s="41" t="s">
        <v>1111</v>
      </c>
      <c r="J5" s="41"/>
      <c r="K5" s="41" t="s">
        <v>570</v>
      </c>
      <c r="L5" s="49">
        <f>IF(I5="tq",H5,IF(I5="s.s.",(H5/(M5/100))))</f>
        <v>25</v>
      </c>
      <c r="M5" s="41"/>
      <c r="N5" s="45">
        <f>Standard!E5</f>
        <v>30</v>
      </c>
      <c r="O5" s="45">
        <f>Standard!F5</f>
        <v>150</v>
      </c>
      <c r="P5" s="45">
        <f>Standard!AU5</f>
        <v>40</v>
      </c>
      <c r="Q5" s="49">
        <f>(O5+P5)</f>
        <v>190</v>
      </c>
      <c r="R5" s="714" t="s">
        <v>1852</v>
      </c>
    </row>
    <row r="6" spans="1:18" x14ac:dyDescent="0.25">
      <c r="A6" s="1189">
        <f>Coltura!A4</f>
        <v>3</v>
      </c>
      <c r="B6" s="1189">
        <f>Coltura!B4</f>
        <v>3</v>
      </c>
      <c r="C6" s="1189" t="str">
        <f>Coltura!C4</f>
        <v>A4</v>
      </c>
      <c r="D6" s="1190" t="s">
        <v>645</v>
      </c>
      <c r="E6" s="930" t="str">
        <f>Coltura!D4</f>
        <v>Albicocco media produzione frutti, legno e foglie</v>
      </c>
      <c r="F6" s="1186">
        <v>340</v>
      </c>
      <c r="G6" s="41">
        <v>135</v>
      </c>
      <c r="H6" s="41">
        <v>13</v>
      </c>
      <c r="I6" s="41" t="s">
        <v>1111</v>
      </c>
      <c r="J6" s="41"/>
      <c r="K6" s="41" t="s">
        <v>570</v>
      </c>
      <c r="L6" s="49">
        <f t="shared" ref="L6:L75" si="0">IF(I6="tq",H6,IF(I6="s.s.",(H6/(M6/100))))</f>
        <v>13</v>
      </c>
      <c r="M6" s="41"/>
      <c r="N6" s="45">
        <f>Standard!E6</f>
        <v>13</v>
      </c>
      <c r="O6" s="45">
        <f>Standard!F6</f>
        <v>75</v>
      </c>
      <c r="P6" s="45">
        <f>Standard!AU6</f>
        <v>50</v>
      </c>
      <c r="Q6" s="49">
        <f t="shared" ref="Q6:Q75" si="1">(O6+P6)</f>
        <v>125</v>
      </c>
      <c r="R6" s="714" t="s">
        <v>1852</v>
      </c>
    </row>
    <row r="7" spans="1:18" x14ac:dyDescent="0.25">
      <c r="A7" s="1189">
        <f>Coltura!A5</f>
        <v>4</v>
      </c>
      <c r="B7" s="1189">
        <f>Coltura!B5</f>
        <v>4</v>
      </c>
      <c r="C7" s="1189" t="str">
        <f>Coltura!C5</f>
        <v>A5</v>
      </c>
      <c r="D7" s="1190" t="s">
        <v>645</v>
      </c>
      <c r="E7" s="930" t="str">
        <f>Coltura!D5</f>
        <v>Albicocco  alta produzione frutti, legno e foglie</v>
      </c>
      <c r="F7" s="1186">
        <v>340</v>
      </c>
      <c r="G7" s="41">
        <v>135</v>
      </c>
      <c r="H7" s="41">
        <v>13</v>
      </c>
      <c r="I7" s="41" t="s">
        <v>1111</v>
      </c>
      <c r="J7" s="41"/>
      <c r="K7" s="41" t="s">
        <v>570</v>
      </c>
      <c r="L7" s="49">
        <f t="shared" si="0"/>
        <v>13</v>
      </c>
      <c r="M7" s="41"/>
      <c r="N7" s="45">
        <f>Standard!E7</f>
        <v>18</v>
      </c>
      <c r="O7" s="45">
        <f>Standard!F7</f>
        <v>100</v>
      </c>
      <c r="P7" s="45">
        <f>Standard!AU7</f>
        <v>50</v>
      </c>
      <c r="Q7" s="49">
        <f t="shared" si="1"/>
        <v>150</v>
      </c>
      <c r="R7" s="714" t="s">
        <v>1852</v>
      </c>
    </row>
    <row r="8" spans="1:18" x14ac:dyDescent="0.25">
      <c r="A8" s="1189">
        <f>Coltura!A6</f>
        <v>5</v>
      </c>
      <c r="B8" s="1189">
        <f>Coltura!B6</f>
        <v>5</v>
      </c>
      <c r="C8" s="1189" t="str">
        <f>Coltura!C6</f>
        <v>A6</v>
      </c>
      <c r="D8" s="1190" t="s">
        <v>645</v>
      </c>
      <c r="E8" s="930" t="str">
        <f>Coltura!D6</f>
        <v>Altri fruttiferi frutti, legno e foglie</v>
      </c>
      <c r="F8" s="1186">
        <v>340</v>
      </c>
      <c r="G8" s="41" t="s">
        <v>645</v>
      </c>
      <c r="H8" s="41" t="s">
        <v>645</v>
      </c>
      <c r="I8" s="41" t="s">
        <v>645</v>
      </c>
      <c r="J8" s="41" t="s">
        <v>645</v>
      </c>
      <c r="K8" s="41" t="s">
        <v>570</v>
      </c>
      <c r="L8" s="49" t="b">
        <f t="shared" si="0"/>
        <v>0</v>
      </c>
      <c r="M8" s="41"/>
      <c r="N8" s="45" t="str">
        <f>Standard!E8</f>
        <v>nd</v>
      </c>
      <c r="O8" s="45" t="str">
        <f>Standard!F8</f>
        <v>nd</v>
      </c>
      <c r="P8" s="45">
        <f>Standard!AU8</f>
        <v>0</v>
      </c>
      <c r="Q8" s="49" t="e">
        <f t="shared" si="1"/>
        <v>#VALUE!</v>
      </c>
      <c r="R8" s="714"/>
    </row>
    <row r="9" spans="1:18" x14ac:dyDescent="0.25">
      <c r="A9" s="1189">
        <f>Coltura!A7</f>
        <v>6</v>
      </c>
      <c r="B9" s="1189">
        <f>Coltura!B7</f>
        <v>6</v>
      </c>
      <c r="C9" s="1189" t="str">
        <f>Coltura!C7</f>
        <v>A8</v>
      </c>
      <c r="D9" s="1190" t="s">
        <v>645</v>
      </c>
      <c r="E9" s="930" t="str">
        <f>Coltura!D7</f>
        <v>Arancio frutti, legno e foglie</v>
      </c>
      <c r="F9" s="1186">
        <v>340</v>
      </c>
      <c r="G9" s="41" t="s">
        <v>645</v>
      </c>
      <c r="H9" s="41" t="s">
        <v>645</v>
      </c>
      <c r="I9" s="41" t="s">
        <v>645</v>
      </c>
      <c r="J9" s="41" t="s">
        <v>645</v>
      </c>
      <c r="K9" s="41" t="s">
        <v>570</v>
      </c>
      <c r="L9" s="49" t="b">
        <f t="shared" si="0"/>
        <v>0</v>
      </c>
      <c r="M9" s="41"/>
      <c r="N9" s="45">
        <f>Standard!E9</f>
        <v>30</v>
      </c>
      <c r="O9" s="45">
        <f>Standard!F9</f>
        <v>120</v>
      </c>
      <c r="P9" s="45">
        <f>Standard!AU9</f>
        <v>50</v>
      </c>
      <c r="Q9" s="49">
        <f t="shared" si="1"/>
        <v>170</v>
      </c>
      <c r="R9" s="714" t="s">
        <v>1852</v>
      </c>
    </row>
    <row r="10" spans="1:18" x14ac:dyDescent="0.25">
      <c r="A10" s="1189">
        <f>Coltura!A8</f>
        <v>7</v>
      </c>
      <c r="B10" s="1189">
        <f>Coltura!B8</f>
        <v>7</v>
      </c>
      <c r="C10" s="1189" t="str">
        <f>Coltura!C8</f>
        <v>A10</v>
      </c>
      <c r="D10" s="1190" t="s">
        <v>645</v>
      </c>
      <c r="E10" s="930" t="str">
        <f>Coltura!D8</f>
        <v>Castagno solo frutti</v>
      </c>
      <c r="F10" s="1186">
        <v>340</v>
      </c>
      <c r="G10" s="41" t="s">
        <v>645</v>
      </c>
      <c r="H10" s="41" t="s">
        <v>645</v>
      </c>
      <c r="I10" s="41" t="s">
        <v>645</v>
      </c>
      <c r="J10" s="41" t="s">
        <v>645</v>
      </c>
      <c r="K10" s="41" t="s">
        <v>570</v>
      </c>
      <c r="L10" s="49" t="b">
        <f t="shared" si="0"/>
        <v>0</v>
      </c>
      <c r="M10" s="41"/>
      <c r="N10" s="45" t="str">
        <f>Standard!E10</f>
        <v>nd</v>
      </c>
      <c r="O10" s="45" t="str">
        <f>Standard!F10</f>
        <v>nd</v>
      </c>
      <c r="P10" s="45">
        <f>Standard!AU10</f>
        <v>0</v>
      </c>
      <c r="Q10" s="49" t="e">
        <f t="shared" si="1"/>
        <v>#VALUE!</v>
      </c>
      <c r="R10" s="714"/>
    </row>
    <row r="11" spans="1:18" x14ac:dyDescent="0.25">
      <c r="A11" s="1189">
        <f>Coltura!A9</f>
        <v>8</v>
      </c>
      <c r="B11" s="1189">
        <f>Coltura!B9</f>
        <v>8</v>
      </c>
      <c r="C11" s="1189" t="str">
        <f>Coltura!C9</f>
        <v>A12</v>
      </c>
      <c r="D11" s="1190" t="s">
        <v>645</v>
      </c>
      <c r="E11" s="930" t="str">
        <f>Coltura!D9</f>
        <v>Ciliegio frutti, legno e foglie</v>
      </c>
      <c r="F11" s="1186">
        <v>340</v>
      </c>
      <c r="G11" s="41">
        <v>120</v>
      </c>
      <c r="H11" s="41">
        <v>9</v>
      </c>
      <c r="I11" s="41" t="s">
        <v>1111</v>
      </c>
      <c r="J11" s="41"/>
      <c r="K11" s="41" t="s">
        <v>570</v>
      </c>
      <c r="L11" s="49">
        <f t="shared" si="0"/>
        <v>9</v>
      </c>
      <c r="M11" s="41"/>
      <c r="N11" s="45">
        <f>Standard!E11</f>
        <v>9</v>
      </c>
      <c r="O11" s="45">
        <f>Standard!F11</f>
        <v>70</v>
      </c>
      <c r="P11" s="45">
        <f>Standard!AU11</f>
        <v>50</v>
      </c>
      <c r="Q11" s="49">
        <f t="shared" si="1"/>
        <v>120</v>
      </c>
      <c r="R11" s="714" t="s">
        <v>1852</v>
      </c>
    </row>
    <row r="12" spans="1:18" x14ac:dyDescent="0.25">
      <c r="A12" s="1189">
        <f>Coltura!A10</f>
        <v>9</v>
      </c>
      <c r="B12" s="1189">
        <f>Coltura!B10</f>
        <v>9</v>
      </c>
      <c r="C12" s="1189" t="str">
        <f>Coltura!C10</f>
        <v>A14</v>
      </c>
      <c r="D12" s="1190" t="s">
        <v>645</v>
      </c>
      <c r="E12" s="930" t="str">
        <f>Coltura!D10</f>
        <v>Clementine frutti, legno e foglie</v>
      </c>
      <c r="F12" s="1186">
        <v>340</v>
      </c>
      <c r="G12" s="41" t="s">
        <v>645</v>
      </c>
      <c r="H12" s="41" t="s">
        <v>645</v>
      </c>
      <c r="I12" s="41" t="s">
        <v>645</v>
      </c>
      <c r="J12" s="41" t="s">
        <v>645</v>
      </c>
      <c r="K12" s="41" t="s">
        <v>570</v>
      </c>
      <c r="L12" s="49" t="b">
        <f t="shared" si="0"/>
        <v>0</v>
      </c>
      <c r="M12" s="41"/>
      <c r="N12" s="45">
        <f>Standard!E12</f>
        <v>25</v>
      </c>
      <c r="O12" s="45">
        <f>Standard!F12</f>
        <v>140</v>
      </c>
      <c r="P12" s="45">
        <f>Standard!AU12</f>
        <v>50</v>
      </c>
      <c r="Q12" s="49">
        <f t="shared" si="1"/>
        <v>190</v>
      </c>
      <c r="R12" s="714" t="s">
        <v>1852</v>
      </c>
    </row>
    <row r="13" spans="1:18" x14ac:dyDescent="0.25">
      <c r="A13" s="1189">
        <f>Coltura!A11</f>
        <v>10</v>
      </c>
      <c r="B13" s="1189">
        <f>Coltura!B11</f>
        <v>10</v>
      </c>
      <c r="C13" s="1189" t="str">
        <f>Coltura!C11</f>
        <v>A15</v>
      </c>
      <c r="D13" s="1190" t="s">
        <v>645</v>
      </c>
      <c r="E13" s="930" t="str">
        <f>Coltura!D11</f>
        <v>Cotogno (frutti, legno e foglie)</v>
      </c>
      <c r="F13" s="1186">
        <v>340</v>
      </c>
      <c r="G13" s="823" t="s">
        <v>645</v>
      </c>
      <c r="H13" s="41">
        <v>60</v>
      </c>
      <c r="I13" s="823" t="s">
        <v>1111</v>
      </c>
      <c r="J13" s="41"/>
      <c r="K13" s="41" t="s">
        <v>570</v>
      </c>
      <c r="L13" s="49">
        <f t="shared" ref="L13" si="2">IF(I13="tq",H13,IF(I13="s.s.",(H13/(M13/100))))</f>
        <v>60</v>
      </c>
      <c r="M13" s="41"/>
      <c r="N13" s="45">
        <f>Standard!E12</f>
        <v>25</v>
      </c>
      <c r="O13" s="45">
        <f>Standard!F12</f>
        <v>140</v>
      </c>
      <c r="P13" s="45">
        <f>Standard!AU12</f>
        <v>50</v>
      </c>
      <c r="Q13" s="49">
        <f t="shared" si="1"/>
        <v>190</v>
      </c>
      <c r="R13" s="714"/>
    </row>
    <row r="14" spans="1:18" x14ac:dyDescent="0.25">
      <c r="A14" s="1189">
        <f>Coltura!A12</f>
        <v>11</v>
      </c>
      <c r="B14" s="1189">
        <f>Coltura!B12</f>
        <v>11</v>
      </c>
      <c r="C14" s="1189" t="str">
        <f>Coltura!C12</f>
        <v>A16</v>
      </c>
      <c r="D14" s="1190" t="s">
        <v>645</v>
      </c>
      <c r="E14" s="930" t="str">
        <f>Coltura!D12</f>
        <v>Fico frutti, legno e foglie</v>
      </c>
      <c r="F14" s="1186">
        <v>340</v>
      </c>
      <c r="G14" s="41" t="s">
        <v>645</v>
      </c>
      <c r="H14" s="41" t="s">
        <v>645</v>
      </c>
      <c r="I14" s="41" t="s">
        <v>645</v>
      </c>
      <c r="J14" s="41" t="s">
        <v>645</v>
      </c>
      <c r="K14" s="41" t="s">
        <v>570</v>
      </c>
      <c r="L14" s="49" t="b">
        <f t="shared" si="0"/>
        <v>0</v>
      </c>
      <c r="M14" s="41"/>
      <c r="N14" s="45" t="str">
        <f>Standard!E14</f>
        <v>nd</v>
      </c>
      <c r="O14" s="45" t="str">
        <f>Standard!F14</f>
        <v>nd</v>
      </c>
      <c r="P14" s="45">
        <f>Standard!AU14</f>
        <v>0</v>
      </c>
      <c r="Q14" s="49" t="e">
        <f t="shared" si="1"/>
        <v>#VALUE!</v>
      </c>
      <c r="R14" s="714"/>
    </row>
    <row r="15" spans="1:18" x14ac:dyDescent="0.25">
      <c r="A15" s="1189">
        <f>Coltura!A13</f>
        <v>12</v>
      </c>
      <c r="B15" s="1189">
        <f>Coltura!B13</f>
        <v>12</v>
      </c>
      <c r="C15" s="1189" t="str">
        <f>Coltura!C13</f>
        <v>A17</v>
      </c>
      <c r="D15" s="1190" t="s">
        <v>645</v>
      </c>
      <c r="E15" s="930" t="str">
        <f>Coltura!D13</f>
        <v>Kaki frutti, legno e foglie</v>
      </c>
      <c r="F15" s="1186">
        <v>340</v>
      </c>
      <c r="G15" s="41" t="s">
        <v>645</v>
      </c>
      <c r="H15" s="41" t="s">
        <v>645</v>
      </c>
      <c r="I15" s="41" t="s">
        <v>645</v>
      </c>
      <c r="J15" s="41" t="s">
        <v>645</v>
      </c>
      <c r="K15" s="41" t="s">
        <v>570</v>
      </c>
      <c r="L15" s="49" t="b">
        <f t="shared" si="0"/>
        <v>0</v>
      </c>
      <c r="M15" s="41"/>
      <c r="N15" s="45">
        <f>Standard!E15</f>
        <v>25</v>
      </c>
      <c r="O15" s="45">
        <f>Standard!F15</f>
        <v>60</v>
      </c>
      <c r="P15" s="45">
        <f>Standard!AU15</f>
        <v>40</v>
      </c>
      <c r="Q15" s="49">
        <f t="shared" si="1"/>
        <v>100</v>
      </c>
      <c r="R15" s="714" t="s">
        <v>1852</v>
      </c>
    </row>
    <row r="16" spans="1:18" x14ac:dyDescent="0.25">
      <c r="A16" s="1189">
        <f>Coltura!A14</f>
        <v>13</v>
      </c>
      <c r="B16" s="1189">
        <f>Coltura!B14</f>
        <v>13</v>
      </c>
      <c r="C16" s="1189" t="str">
        <f>Coltura!C14</f>
        <v>A18</v>
      </c>
      <c r="D16" s="1190" t="s">
        <v>645</v>
      </c>
      <c r="E16" s="930" t="str">
        <f>Coltura!D14</f>
        <v>Limone frutti, legno e foglie</v>
      </c>
      <c r="F16" s="1186">
        <v>340</v>
      </c>
      <c r="G16" s="41" t="s">
        <v>645</v>
      </c>
      <c r="H16" s="41" t="s">
        <v>645</v>
      </c>
      <c r="I16" s="41" t="s">
        <v>645</v>
      </c>
      <c r="J16" s="41" t="s">
        <v>645</v>
      </c>
      <c r="K16" s="41" t="s">
        <v>570</v>
      </c>
      <c r="L16" s="49" t="b">
        <f t="shared" si="0"/>
        <v>0</v>
      </c>
      <c r="M16" s="41"/>
      <c r="N16" s="45">
        <f>Standard!E16</f>
        <v>30</v>
      </c>
      <c r="O16" s="45">
        <f>Standard!F16</f>
        <v>120</v>
      </c>
      <c r="P16" s="45">
        <f>Standard!AU16</f>
        <v>50</v>
      </c>
      <c r="Q16" s="49">
        <f t="shared" si="1"/>
        <v>170</v>
      </c>
      <c r="R16" s="714" t="s">
        <v>1852</v>
      </c>
    </row>
    <row r="17" spans="1:18" x14ac:dyDescent="0.25">
      <c r="A17" s="1189">
        <f>Coltura!A15</f>
        <v>14</v>
      </c>
      <c r="B17" s="1189">
        <f>Coltura!B15</f>
        <v>14</v>
      </c>
      <c r="C17" s="1189" t="str">
        <f>Coltura!C15</f>
        <v>A19</v>
      </c>
      <c r="D17" s="1190" t="s">
        <v>645</v>
      </c>
      <c r="E17" s="930" t="str">
        <f>Coltura!D15</f>
        <v>Luppolo (verde)</v>
      </c>
      <c r="F17" s="1186">
        <v>340</v>
      </c>
      <c r="G17" s="41" t="s">
        <v>645</v>
      </c>
      <c r="H17" s="41">
        <v>14</v>
      </c>
      <c r="I17" s="823" t="s">
        <v>1111</v>
      </c>
      <c r="J17" s="41"/>
      <c r="K17" s="41" t="s">
        <v>570</v>
      </c>
      <c r="L17" s="49">
        <f t="shared" si="0"/>
        <v>14</v>
      </c>
      <c r="M17" s="41"/>
      <c r="N17" s="45">
        <f>Standard!E17</f>
        <v>14</v>
      </c>
      <c r="O17" s="45">
        <f>Standard!F17</f>
        <v>120</v>
      </c>
      <c r="P17" s="45">
        <f>Standard!AU17</f>
        <v>40</v>
      </c>
      <c r="Q17" s="49">
        <f t="shared" ref="Q17" si="3">(O17+P17)</f>
        <v>160</v>
      </c>
      <c r="R17" s="714"/>
    </row>
    <row r="18" spans="1:18" x14ac:dyDescent="0.25">
      <c r="A18" s="1189">
        <f>Coltura!A16</f>
        <v>15</v>
      </c>
      <c r="B18" s="1189">
        <f>Coltura!B16</f>
        <v>15</v>
      </c>
      <c r="C18" s="1189" t="str">
        <f>Coltura!C16</f>
        <v>A20</v>
      </c>
      <c r="D18" s="1190" t="s">
        <v>645</v>
      </c>
      <c r="E18" s="930" t="str">
        <f>Coltura!D16</f>
        <v>Mandarino frutti, legno e foglie</v>
      </c>
      <c r="F18" s="1186">
        <v>340</v>
      </c>
      <c r="G18" s="41" t="s">
        <v>645</v>
      </c>
      <c r="H18" s="41" t="s">
        <v>645</v>
      </c>
      <c r="I18" s="41" t="s">
        <v>645</v>
      </c>
      <c r="J18" s="41" t="s">
        <v>645</v>
      </c>
      <c r="K18" s="41" t="s">
        <v>570</v>
      </c>
      <c r="L18" s="49" t="b">
        <f t="shared" si="0"/>
        <v>0</v>
      </c>
      <c r="M18" s="41"/>
      <c r="N18" s="45">
        <f>Standard!E18</f>
        <v>25</v>
      </c>
      <c r="O18" s="45">
        <f>Standard!F18</f>
        <v>140</v>
      </c>
      <c r="P18" s="45">
        <f>Standard!AU18</f>
        <v>50</v>
      </c>
      <c r="Q18" s="49">
        <f t="shared" si="1"/>
        <v>190</v>
      </c>
      <c r="R18" s="714" t="s">
        <v>1852</v>
      </c>
    </row>
    <row r="19" spans="1:18" x14ac:dyDescent="0.25">
      <c r="A19" s="1189">
        <f>Coltura!A17</f>
        <v>16</v>
      </c>
      <c r="B19" s="1189">
        <f>Coltura!B17</f>
        <v>16</v>
      </c>
      <c r="C19" s="1189" t="str">
        <f>Coltura!C17</f>
        <v>A21</v>
      </c>
      <c r="D19" s="1190" t="s">
        <v>645</v>
      </c>
      <c r="E19" s="930" t="str">
        <f>Coltura!D17</f>
        <v>Mandorlo frutti, legno e foglie</v>
      </c>
      <c r="F19" s="1186">
        <v>340</v>
      </c>
      <c r="G19" s="41" t="s">
        <v>645</v>
      </c>
      <c r="H19" s="41" t="s">
        <v>645</v>
      </c>
      <c r="I19" s="41" t="s">
        <v>645</v>
      </c>
      <c r="J19" s="41" t="s">
        <v>645</v>
      </c>
      <c r="K19" s="41" t="s">
        <v>570</v>
      </c>
      <c r="L19" s="49" t="b">
        <f t="shared" si="0"/>
        <v>0</v>
      </c>
      <c r="M19" s="41"/>
      <c r="N19" s="45" t="str">
        <f>Standard!E19</f>
        <v>nd</v>
      </c>
      <c r="O19" s="45" t="str">
        <f>Standard!F19</f>
        <v>nd</v>
      </c>
      <c r="P19" s="45">
        <f>Standard!AU19</f>
        <v>0</v>
      </c>
      <c r="Q19" s="49" t="e">
        <f t="shared" si="1"/>
        <v>#VALUE!</v>
      </c>
      <c r="R19" s="714"/>
    </row>
    <row r="20" spans="1:18" x14ac:dyDescent="0.25">
      <c r="A20" s="1189">
        <f>Coltura!A18</f>
        <v>17</v>
      </c>
      <c r="B20" s="1189">
        <f>Coltura!B18</f>
        <v>17</v>
      </c>
      <c r="C20" s="1189" t="str">
        <f>Coltura!C18</f>
        <v>A22</v>
      </c>
      <c r="D20" s="1190" t="s">
        <v>645</v>
      </c>
      <c r="E20" s="930" t="str">
        <f>Coltura!D18</f>
        <v>Melo frutti, legno e foglie</v>
      </c>
      <c r="F20" s="1186">
        <v>340</v>
      </c>
      <c r="G20" s="41">
        <v>120</v>
      </c>
      <c r="H20" s="41">
        <v>35</v>
      </c>
      <c r="I20" s="41" t="s">
        <v>1111</v>
      </c>
      <c r="J20" s="41"/>
      <c r="K20" s="41" t="s">
        <v>570</v>
      </c>
      <c r="L20" s="49">
        <f t="shared" si="0"/>
        <v>35</v>
      </c>
      <c r="M20" s="41"/>
      <c r="N20" s="45">
        <f>Standard!E20</f>
        <v>40</v>
      </c>
      <c r="O20" s="45">
        <f>Standard!F20</f>
        <v>80</v>
      </c>
      <c r="P20" s="45">
        <f>Standard!AU20</f>
        <v>60</v>
      </c>
      <c r="Q20" s="49">
        <f t="shared" si="1"/>
        <v>140</v>
      </c>
      <c r="R20" s="714" t="s">
        <v>1852</v>
      </c>
    </row>
    <row r="21" spans="1:18" x14ac:dyDescent="0.25">
      <c r="A21" s="1189">
        <f>Coltura!A19</f>
        <v>18</v>
      </c>
      <c r="B21" s="1189">
        <f>Coltura!B19</f>
        <v>18</v>
      </c>
      <c r="C21" s="1189" t="str">
        <f>Coltura!C19</f>
        <v>A23</v>
      </c>
      <c r="D21" s="1190" t="s">
        <v>645</v>
      </c>
      <c r="E21" s="930" t="str">
        <f>Coltura!D19</f>
        <v>Mirtillo</v>
      </c>
      <c r="F21" s="1186">
        <v>340</v>
      </c>
      <c r="G21" s="41" t="s">
        <v>645</v>
      </c>
      <c r="H21" s="41">
        <v>17.5</v>
      </c>
      <c r="I21" s="823" t="s">
        <v>645</v>
      </c>
      <c r="J21" s="41"/>
      <c r="K21" s="41" t="s">
        <v>570</v>
      </c>
      <c r="L21" s="49" t="b">
        <f t="shared" si="0"/>
        <v>0</v>
      </c>
      <c r="M21" s="41"/>
      <c r="N21" s="45">
        <f>Standard!E21</f>
        <v>17.5</v>
      </c>
      <c r="O21" s="45">
        <f>Standard!F21</f>
        <v>125</v>
      </c>
      <c r="P21" s="45">
        <f>Standard!AU21</f>
        <v>30</v>
      </c>
      <c r="Q21" s="49">
        <f t="shared" ref="Q21" si="4">(O21+P21)</f>
        <v>155</v>
      </c>
      <c r="R21" s="714"/>
    </row>
    <row r="22" spans="1:18" x14ac:dyDescent="0.25">
      <c r="A22" s="1189">
        <f>Coltura!A20</f>
        <v>19</v>
      </c>
      <c r="B22" s="1189">
        <f>Coltura!B20</f>
        <v>19</v>
      </c>
      <c r="C22" s="1189" t="str">
        <f>Coltura!C20</f>
        <v>A24</v>
      </c>
      <c r="D22" s="1190" t="s">
        <v>645</v>
      </c>
      <c r="E22" s="930" t="str">
        <f>Coltura!D20</f>
        <v>Nashi frutti, legno e foglie</v>
      </c>
      <c r="F22" s="1186">
        <v>340</v>
      </c>
      <c r="G22" s="41" t="s">
        <v>645</v>
      </c>
      <c r="H22" s="41" t="s">
        <v>645</v>
      </c>
      <c r="I22" s="41" t="s">
        <v>645</v>
      </c>
      <c r="J22" s="41" t="s">
        <v>645</v>
      </c>
      <c r="K22" s="41" t="s">
        <v>570</v>
      </c>
      <c r="L22" s="49" t="b">
        <f t="shared" si="0"/>
        <v>0</v>
      </c>
      <c r="M22" s="41"/>
      <c r="N22" s="45" t="str">
        <f>Standard!E22</f>
        <v>nd</v>
      </c>
      <c r="O22" s="45" t="str">
        <f>Standard!F22</f>
        <v>nd</v>
      </c>
      <c r="P22" s="45">
        <f>Standard!AU22</f>
        <v>0</v>
      </c>
      <c r="Q22" s="49" t="e">
        <f t="shared" si="1"/>
        <v>#VALUE!</v>
      </c>
      <c r="R22" s="714"/>
    </row>
    <row r="23" spans="1:18" x14ac:dyDescent="0.25">
      <c r="A23" s="1189">
        <f>Coltura!A21</f>
        <v>20</v>
      </c>
      <c r="B23" s="1189">
        <f>Coltura!B21</f>
        <v>20</v>
      </c>
      <c r="C23" s="1189" t="str">
        <f>Coltura!C21</f>
        <v>A25</v>
      </c>
      <c r="D23" s="1190" t="s">
        <v>645</v>
      </c>
      <c r="E23" s="930" t="str">
        <f>Coltura!D21</f>
        <v>Nespolo frutti, legno e foglie</v>
      </c>
      <c r="F23" s="1186">
        <v>340</v>
      </c>
      <c r="G23" s="41" t="s">
        <v>645</v>
      </c>
      <c r="H23" s="41" t="s">
        <v>645</v>
      </c>
      <c r="I23" s="41" t="s">
        <v>645</v>
      </c>
      <c r="J23" s="41" t="s">
        <v>645</v>
      </c>
      <c r="K23" s="41" t="s">
        <v>570</v>
      </c>
      <c r="L23" s="49" t="b">
        <f t="shared" si="0"/>
        <v>0</v>
      </c>
      <c r="M23" s="41"/>
      <c r="N23" s="45" t="str">
        <f>Standard!E23</f>
        <v>nd</v>
      </c>
      <c r="O23" s="45" t="str">
        <f>Standard!F23</f>
        <v>nd</v>
      </c>
      <c r="P23" s="45">
        <f>Standard!AU23</f>
        <v>0</v>
      </c>
      <c r="Q23" s="49" t="e">
        <f t="shared" si="1"/>
        <v>#VALUE!</v>
      </c>
      <c r="R23" s="714"/>
    </row>
    <row r="24" spans="1:18" x14ac:dyDescent="0.25">
      <c r="A24" s="1189">
        <f>Coltura!A22</f>
        <v>21</v>
      </c>
      <c r="B24" s="1189">
        <f>Coltura!B22</f>
        <v>21</v>
      </c>
      <c r="C24" s="1189" t="str">
        <f>Coltura!C22</f>
        <v>A26</v>
      </c>
      <c r="D24" s="1190" t="s">
        <v>645</v>
      </c>
      <c r="E24" s="930" t="str">
        <f>Coltura!D22</f>
        <v>Nettarine frutti, legno e foglie</v>
      </c>
      <c r="F24" s="1186">
        <v>340</v>
      </c>
      <c r="G24" s="41">
        <v>175</v>
      </c>
      <c r="H24" s="41">
        <v>25</v>
      </c>
      <c r="I24" s="41" t="s">
        <v>1111</v>
      </c>
      <c r="J24" s="41"/>
      <c r="K24" s="41" t="s">
        <v>570</v>
      </c>
      <c r="L24" s="49">
        <f t="shared" si="0"/>
        <v>25</v>
      </c>
      <c r="M24" s="41"/>
      <c r="N24" s="45">
        <f>Standard!E24</f>
        <v>25</v>
      </c>
      <c r="O24" s="45">
        <f>Standard!F24</f>
        <v>100</v>
      </c>
      <c r="P24" s="45">
        <f>Standard!AU24</f>
        <v>50</v>
      </c>
      <c r="Q24" s="49">
        <f t="shared" si="1"/>
        <v>150</v>
      </c>
      <c r="R24" s="714" t="s">
        <v>1852</v>
      </c>
    </row>
    <row r="25" spans="1:18" x14ac:dyDescent="0.25">
      <c r="A25" s="1189">
        <f>Coltura!A23</f>
        <v>22</v>
      </c>
      <c r="B25" s="1189">
        <f>Coltura!B23</f>
        <v>22</v>
      </c>
      <c r="C25" s="1189" t="str">
        <f>Coltura!C23</f>
        <v>A27</v>
      </c>
      <c r="D25" s="1190" t="s">
        <v>645</v>
      </c>
      <c r="E25" s="930" t="str">
        <f>Coltura!D23</f>
        <v>Nocciolo frutti, legno e foglie</v>
      </c>
      <c r="F25" s="1186">
        <v>340</v>
      </c>
      <c r="G25" s="41">
        <v>100</v>
      </c>
      <c r="H25" s="41">
        <v>2</v>
      </c>
      <c r="I25" s="41" t="s">
        <v>1111</v>
      </c>
      <c r="J25" s="41"/>
      <c r="K25" s="41" t="s">
        <v>570</v>
      </c>
      <c r="L25" s="49">
        <f t="shared" si="0"/>
        <v>2</v>
      </c>
      <c r="M25" s="41"/>
      <c r="N25" s="45" t="str">
        <f>Standard!E25</f>
        <v>nd</v>
      </c>
      <c r="O25" s="45" t="str">
        <f>Standard!F25</f>
        <v>nd</v>
      </c>
      <c r="P25" s="45">
        <f>Standard!AU25</f>
        <v>0</v>
      </c>
      <c r="Q25" s="49" t="e">
        <f t="shared" si="1"/>
        <v>#VALUE!</v>
      </c>
      <c r="R25" s="714"/>
    </row>
    <row r="26" spans="1:18" x14ac:dyDescent="0.25">
      <c r="A26" s="1189">
        <f>Coltura!A24</f>
        <v>23</v>
      </c>
      <c r="B26" s="1189">
        <f>Coltura!B24</f>
        <v>23</v>
      </c>
      <c r="C26" s="1189" t="str">
        <f>Coltura!C24</f>
        <v>A28</v>
      </c>
      <c r="D26" s="1190" t="s">
        <v>645</v>
      </c>
      <c r="E26" s="930" t="str">
        <f>Coltura!D24</f>
        <v>Noce da frutto frutti, legno e foglie</v>
      </c>
      <c r="F26" s="1186">
        <v>340</v>
      </c>
      <c r="G26" s="41">
        <v>120</v>
      </c>
      <c r="H26" s="41">
        <v>4</v>
      </c>
      <c r="I26" s="41" t="s">
        <v>1111</v>
      </c>
      <c r="J26" s="41"/>
      <c r="K26" s="41" t="s">
        <v>570</v>
      </c>
      <c r="L26" s="49">
        <f t="shared" si="0"/>
        <v>4</v>
      </c>
      <c r="M26" s="41"/>
      <c r="N26" s="45">
        <f>Standard!E26</f>
        <v>4</v>
      </c>
      <c r="O26" s="45">
        <f>Standard!F26</f>
        <v>90</v>
      </c>
      <c r="P26" s="45">
        <f>Standard!AU26</f>
        <v>50</v>
      </c>
      <c r="Q26" s="49">
        <f t="shared" si="1"/>
        <v>140</v>
      </c>
      <c r="R26" s="714" t="s">
        <v>1852</v>
      </c>
    </row>
    <row r="27" spans="1:18" x14ac:dyDescent="0.25">
      <c r="A27" s="1189">
        <f>Coltura!A25</f>
        <v>24</v>
      </c>
      <c r="B27" s="1189">
        <f>Coltura!B25</f>
        <v>24</v>
      </c>
      <c r="C27" s="1189" t="str">
        <f>Coltura!C25</f>
        <v>A29</v>
      </c>
      <c r="D27" s="1190" t="s">
        <v>645</v>
      </c>
      <c r="E27" s="930" t="str">
        <f>Coltura!D25</f>
        <v>Olivo olive, legno e foglie</v>
      </c>
      <c r="F27" s="1186">
        <v>340</v>
      </c>
      <c r="G27" s="41" t="s">
        <v>645</v>
      </c>
      <c r="H27" s="41" t="s">
        <v>645</v>
      </c>
      <c r="I27" s="41" t="s">
        <v>645</v>
      </c>
      <c r="J27" s="41" t="s">
        <v>645</v>
      </c>
      <c r="K27" s="41" t="s">
        <v>570</v>
      </c>
      <c r="L27" s="49" t="b">
        <f t="shared" si="0"/>
        <v>0</v>
      </c>
      <c r="M27" s="41"/>
      <c r="N27" s="45">
        <f>Standard!E27</f>
        <v>4</v>
      </c>
      <c r="O27" s="45">
        <f>Standard!F27</f>
        <v>70</v>
      </c>
      <c r="P27" s="45">
        <f>Standard!AU27</f>
        <v>30</v>
      </c>
      <c r="Q27" s="49">
        <f t="shared" si="1"/>
        <v>100</v>
      </c>
      <c r="R27" s="714" t="s">
        <v>1852</v>
      </c>
    </row>
    <row r="28" spans="1:18" x14ac:dyDescent="0.25">
      <c r="A28" s="1189">
        <f>Coltura!A26</f>
        <v>25</v>
      </c>
      <c r="B28" s="1189">
        <f>Coltura!B26</f>
        <v>25</v>
      </c>
      <c r="C28" s="1189" t="str">
        <f>Coltura!C26</f>
        <v>A30</v>
      </c>
      <c r="D28" s="1190" t="s">
        <v>645</v>
      </c>
      <c r="E28" s="930" t="str">
        <f>Coltura!D26</f>
        <v>Pero media produzione frutti, legno e foglie</v>
      </c>
      <c r="F28" s="1186">
        <v>340</v>
      </c>
      <c r="G28" s="41">
        <v>120</v>
      </c>
      <c r="H28" s="41">
        <v>30</v>
      </c>
      <c r="I28" s="41" t="s">
        <v>1111</v>
      </c>
      <c r="J28" s="41"/>
      <c r="K28" s="41" t="s">
        <v>570</v>
      </c>
      <c r="L28" s="49">
        <f t="shared" si="0"/>
        <v>30</v>
      </c>
      <c r="M28" s="41"/>
      <c r="N28" s="45">
        <f>Standard!E28</f>
        <v>30</v>
      </c>
      <c r="O28" s="45">
        <f>Standard!F28</f>
        <v>90</v>
      </c>
      <c r="P28" s="45">
        <f>Standard!AU28</f>
        <v>50</v>
      </c>
      <c r="Q28" s="49">
        <f t="shared" si="1"/>
        <v>140</v>
      </c>
      <c r="R28" s="714" t="s">
        <v>1852</v>
      </c>
    </row>
    <row r="29" spans="1:18" x14ac:dyDescent="0.25">
      <c r="A29" s="1189">
        <f>Coltura!A27</f>
        <v>26</v>
      </c>
      <c r="B29" s="1189">
        <f>Coltura!B27</f>
        <v>26</v>
      </c>
      <c r="C29" s="1189" t="str">
        <f>Coltura!C27</f>
        <v>A31</v>
      </c>
      <c r="D29" s="1190" t="s">
        <v>645</v>
      </c>
      <c r="E29" s="1191" t="str">
        <f>Coltura!D27</f>
        <v>Pero alta produzione frutti, legno e foglie</v>
      </c>
      <c r="F29" s="1186">
        <v>340</v>
      </c>
      <c r="G29" s="41">
        <v>120</v>
      </c>
      <c r="H29" s="41">
        <v>30</v>
      </c>
      <c r="I29" s="41" t="s">
        <v>1111</v>
      </c>
      <c r="J29" s="41"/>
      <c r="K29" s="41" t="s">
        <v>570</v>
      </c>
      <c r="L29" s="49">
        <f t="shared" ref="L29" si="5">IF(I29="tq",H29,IF(I29="s.s.",(H29/(M29/100))))</f>
        <v>30</v>
      </c>
      <c r="M29" s="41"/>
      <c r="N29" s="45">
        <f>Standard!E29</f>
        <v>40</v>
      </c>
      <c r="O29" s="45">
        <f>Standard!F29</f>
        <v>120</v>
      </c>
      <c r="P29" s="45">
        <f>Standard!AU29</f>
        <v>50</v>
      </c>
      <c r="Q29" s="49">
        <f t="shared" ref="Q29" si="6">(O29+P29)</f>
        <v>170</v>
      </c>
      <c r="R29" s="714" t="s">
        <v>1852</v>
      </c>
    </row>
    <row r="30" spans="1:18" x14ac:dyDescent="0.25">
      <c r="A30" s="1189">
        <f>Coltura!A28</f>
        <v>27</v>
      </c>
      <c r="B30" s="1189">
        <f>Coltura!B28</f>
        <v>27</v>
      </c>
      <c r="C30" s="1189" t="str">
        <f>Coltura!C28</f>
        <v>A32</v>
      </c>
      <c r="D30" s="1190" t="s">
        <v>645</v>
      </c>
      <c r="E30" s="930" t="str">
        <f>Coltura!D28</f>
        <v>Pesco frutti, legno e foglie</v>
      </c>
      <c r="F30" s="1186">
        <v>340</v>
      </c>
      <c r="G30" s="41">
        <v>175</v>
      </c>
      <c r="H30" s="41">
        <v>25</v>
      </c>
      <c r="I30" s="41" t="s">
        <v>1111</v>
      </c>
      <c r="J30" s="41"/>
      <c r="K30" s="41" t="s">
        <v>570</v>
      </c>
      <c r="L30" s="49">
        <f t="shared" si="0"/>
        <v>25</v>
      </c>
      <c r="M30" s="41"/>
      <c r="N30" s="45">
        <f>Standard!E30</f>
        <v>25</v>
      </c>
      <c r="O30" s="45">
        <f>Standard!F30</f>
        <v>100</v>
      </c>
      <c r="P30" s="45">
        <f>Standard!AU30</f>
        <v>50</v>
      </c>
      <c r="Q30" s="49">
        <f t="shared" si="1"/>
        <v>150</v>
      </c>
      <c r="R30" s="714" t="s">
        <v>1852</v>
      </c>
    </row>
    <row r="31" spans="1:18" x14ac:dyDescent="0.25">
      <c r="A31" s="1189">
        <f>Coltura!A29</f>
        <v>28</v>
      </c>
      <c r="B31" s="1189">
        <f>Coltura!B29</f>
        <v>28</v>
      </c>
      <c r="C31" s="1189" t="str">
        <f>Coltura!C29</f>
        <v>A33</v>
      </c>
      <c r="D31" s="1190" t="s">
        <v>645</v>
      </c>
      <c r="E31" s="930" t="str">
        <f>Coltura!D29</f>
        <v>Pioppo</v>
      </c>
      <c r="F31" s="1186">
        <v>340</v>
      </c>
      <c r="G31" s="41" t="s">
        <v>645</v>
      </c>
      <c r="H31" s="41" t="s">
        <v>645</v>
      </c>
      <c r="I31" s="41" t="s">
        <v>645</v>
      </c>
      <c r="J31" s="41" t="s">
        <v>645</v>
      </c>
      <c r="K31" s="41" t="s">
        <v>570</v>
      </c>
      <c r="L31" s="49" t="b">
        <f t="shared" si="0"/>
        <v>0</v>
      </c>
      <c r="M31" s="41"/>
      <c r="N31" s="45" t="str">
        <f>Standard!E31</f>
        <v>nd</v>
      </c>
      <c r="O31" s="45" t="str">
        <f>Standard!F31</f>
        <v>nd</v>
      </c>
      <c r="P31" s="45">
        <f>Standard!AU31</f>
        <v>0</v>
      </c>
      <c r="Q31" s="49" t="e">
        <f t="shared" si="1"/>
        <v>#VALUE!</v>
      </c>
      <c r="R31" s="714"/>
    </row>
    <row r="32" spans="1:18" x14ac:dyDescent="0.25">
      <c r="A32" s="1189">
        <f>Coltura!A30</f>
        <v>29</v>
      </c>
      <c r="B32" s="1189">
        <f>Coltura!B30</f>
        <v>29</v>
      </c>
      <c r="C32" s="1189" t="str">
        <f>Coltura!C30</f>
        <v>A34</v>
      </c>
      <c r="D32" s="1190" t="s">
        <v>645</v>
      </c>
      <c r="E32" s="930" t="str">
        <f>Coltura!D30</f>
        <v>Pioppo da energia</v>
      </c>
      <c r="F32" s="1186">
        <v>340</v>
      </c>
      <c r="G32" s="41" t="s">
        <v>645</v>
      </c>
      <c r="H32" s="41" t="s">
        <v>645</v>
      </c>
      <c r="I32" s="41" t="s">
        <v>645</v>
      </c>
      <c r="J32" s="41" t="s">
        <v>645</v>
      </c>
      <c r="K32" s="41" t="s">
        <v>570</v>
      </c>
      <c r="L32" s="49" t="b">
        <f t="shared" si="0"/>
        <v>0</v>
      </c>
      <c r="M32" s="41"/>
      <c r="N32" s="45" t="str">
        <f>Standard!E32</f>
        <v>nd</v>
      </c>
      <c r="O32" s="45" t="str">
        <f>Standard!F32</f>
        <v>nd</v>
      </c>
      <c r="P32" s="45">
        <f>Standard!AU32</f>
        <v>0</v>
      </c>
      <c r="Q32" s="49" t="e">
        <f t="shared" si="1"/>
        <v>#VALUE!</v>
      </c>
      <c r="R32" s="714"/>
    </row>
    <row r="33" spans="1:18" x14ac:dyDescent="0.25">
      <c r="A33" s="1189">
        <f>Coltura!A31</f>
        <v>30</v>
      </c>
      <c r="B33" s="1189">
        <f>Coltura!B31</f>
        <v>30</v>
      </c>
      <c r="C33" s="1189" t="str">
        <f>Coltura!C31</f>
        <v>A35</v>
      </c>
      <c r="D33" s="1190" t="s">
        <v>645</v>
      </c>
      <c r="E33" s="930" t="str">
        <f>Coltura!D31</f>
        <v>Susino frutti, legno e foglie</v>
      </c>
      <c r="F33" s="1186">
        <v>340</v>
      </c>
      <c r="G33" s="41">
        <v>120</v>
      </c>
      <c r="H33" s="41">
        <v>20</v>
      </c>
      <c r="I33" s="41" t="s">
        <v>1111</v>
      </c>
      <c r="J33" s="41"/>
      <c r="K33" s="41" t="s">
        <v>570</v>
      </c>
      <c r="L33" s="49">
        <f t="shared" si="0"/>
        <v>20</v>
      </c>
      <c r="M33" s="41"/>
      <c r="N33" s="45">
        <f>Standard!E33</f>
        <v>25</v>
      </c>
      <c r="O33" s="45">
        <f>Standard!F33</f>
        <v>90</v>
      </c>
      <c r="P33" s="45">
        <f>Standard!AU33</f>
        <v>50</v>
      </c>
      <c r="Q33" s="49">
        <f t="shared" si="1"/>
        <v>140</v>
      </c>
      <c r="R33" s="714" t="s">
        <v>1852</v>
      </c>
    </row>
    <row r="34" spans="1:18" x14ac:dyDescent="0.25">
      <c r="A34" s="1189">
        <f>Coltura!A32</f>
        <v>31</v>
      </c>
      <c r="B34" s="1189">
        <f>Coltura!B32</f>
        <v>31</v>
      </c>
      <c r="C34" s="1189" t="str">
        <f>Coltura!C32</f>
        <v>A36</v>
      </c>
      <c r="D34" s="1190" t="s">
        <v>645</v>
      </c>
      <c r="E34" s="930" t="str">
        <f>Coltura!D32</f>
        <v>Uva da tavola grappoli, tralci e foglie</v>
      </c>
      <c r="F34" s="1186">
        <v>340</v>
      </c>
      <c r="G34" s="41">
        <v>100</v>
      </c>
      <c r="H34" s="41">
        <v>18</v>
      </c>
      <c r="I34" s="41" t="s">
        <v>1111</v>
      </c>
      <c r="J34" s="41"/>
      <c r="K34" s="41" t="s">
        <v>570</v>
      </c>
      <c r="L34" s="49">
        <f t="shared" si="0"/>
        <v>18</v>
      </c>
      <c r="M34" s="41"/>
      <c r="N34" s="45">
        <f>Standard!E34</f>
        <v>25</v>
      </c>
      <c r="O34" s="45">
        <f>Standard!F34</f>
        <v>90</v>
      </c>
      <c r="P34" s="45">
        <f>Standard!AU34</f>
        <v>50</v>
      </c>
      <c r="Q34" s="49">
        <f t="shared" si="1"/>
        <v>140</v>
      </c>
      <c r="R34" s="714" t="s">
        <v>1852</v>
      </c>
    </row>
    <row r="35" spans="1:18" x14ac:dyDescent="0.25">
      <c r="A35" s="1189">
        <f>Coltura!A33</f>
        <v>32</v>
      </c>
      <c r="B35" s="1189">
        <f>Coltura!B33</f>
        <v>32</v>
      </c>
      <c r="C35" s="1189" t="str">
        <f>Coltura!C33</f>
        <v>A37</v>
      </c>
      <c r="D35" s="1190" t="s">
        <v>645</v>
      </c>
      <c r="E35" s="930" t="str">
        <f>Coltura!D33</f>
        <v xml:space="preserve">Vite per uva da vino (collina e montagna) grappoli, tralci e foglie </v>
      </c>
      <c r="F35" s="1186">
        <v>340</v>
      </c>
      <c r="G35" s="41">
        <v>70</v>
      </c>
      <c r="H35" s="41">
        <v>9</v>
      </c>
      <c r="I35" s="41" t="s">
        <v>1111</v>
      </c>
      <c r="J35" s="41"/>
      <c r="K35" s="41" t="s">
        <v>570</v>
      </c>
      <c r="L35" s="49">
        <f t="shared" si="0"/>
        <v>9</v>
      </c>
      <c r="M35" s="41"/>
      <c r="N35" s="45">
        <f>Standard!E35</f>
        <v>10</v>
      </c>
      <c r="O35" s="45">
        <f>Standard!F35</f>
        <v>50</v>
      </c>
      <c r="P35" s="45">
        <f>Standard!AU35</f>
        <v>40</v>
      </c>
      <c r="Q35" s="49">
        <f t="shared" si="1"/>
        <v>90</v>
      </c>
      <c r="R35" s="714" t="s">
        <v>1852</v>
      </c>
    </row>
    <row r="36" spans="1:18" x14ac:dyDescent="0.25">
      <c r="A36" s="1189">
        <f>Coltura!A34</f>
        <v>33</v>
      </c>
      <c r="B36" s="1189">
        <f>Coltura!B34</f>
        <v>33</v>
      </c>
      <c r="C36" s="1189" t="str">
        <f>Coltura!C34</f>
        <v>A38</v>
      </c>
      <c r="D36" s="1190" t="s">
        <v>645</v>
      </c>
      <c r="E36" s="930" t="str">
        <f>Coltura!D34</f>
        <v>Vite per uva da vino (pianura) grappoli, legno e foglie</v>
      </c>
      <c r="F36" s="1186">
        <v>340</v>
      </c>
      <c r="G36" s="41">
        <v>100</v>
      </c>
      <c r="H36" s="41">
        <v>18</v>
      </c>
      <c r="I36" s="41" t="s">
        <v>1111</v>
      </c>
      <c r="J36" s="41"/>
      <c r="K36" s="41" t="s">
        <v>570</v>
      </c>
      <c r="L36" s="49">
        <f>IF(I36="tq",H36,IF(I36="s.s.",(H36/(M36/100))))</f>
        <v>18</v>
      </c>
      <c r="M36" s="41"/>
      <c r="N36" s="45">
        <f>Standard!E36</f>
        <v>20</v>
      </c>
      <c r="O36" s="45">
        <f>Standard!F36</f>
        <v>80</v>
      </c>
      <c r="P36" s="45">
        <f>Standard!AU36</f>
        <v>30</v>
      </c>
      <c r="Q36" s="49">
        <f t="shared" si="1"/>
        <v>110</v>
      </c>
      <c r="R36" s="714" t="s">
        <v>1852</v>
      </c>
    </row>
    <row r="37" spans="1:18" x14ac:dyDescent="0.25">
      <c r="A37" s="1189">
        <f>Coltura!A35</f>
        <v>34</v>
      </c>
      <c r="B37" s="1189">
        <f>Coltura!B35</f>
        <v>1</v>
      </c>
      <c r="C37" s="1189" t="str">
        <f>Coltura!C35</f>
        <v>E1</v>
      </c>
      <c r="D37" s="1190" t="s">
        <v>645</v>
      </c>
      <c r="E37" s="930" t="str">
        <f>Coltura!D35</f>
        <v>Altri cereali a paglia (pianta intera)</v>
      </c>
      <c r="F37" s="1186">
        <v>340</v>
      </c>
      <c r="G37" s="41" t="s">
        <v>645</v>
      </c>
      <c r="H37" s="41" t="s">
        <v>645</v>
      </c>
      <c r="I37" s="41" t="s">
        <v>645</v>
      </c>
      <c r="J37" s="41" t="s">
        <v>645</v>
      </c>
      <c r="K37" s="41" t="s">
        <v>570</v>
      </c>
      <c r="L37" s="49" t="b">
        <f t="shared" si="0"/>
        <v>0</v>
      </c>
      <c r="M37" s="41"/>
      <c r="N37" s="45" t="str">
        <f>Standard!E37</f>
        <v>nd</v>
      </c>
      <c r="O37" s="45" t="str">
        <f>Standard!F37</f>
        <v>nd</v>
      </c>
      <c r="P37" s="45">
        <f>Standard!AU37</f>
        <v>0</v>
      </c>
      <c r="Q37" s="49" t="e">
        <f t="shared" si="1"/>
        <v>#VALUE!</v>
      </c>
      <c r="R37" s="714"/>
    </row>
    <row r="38" spans="1:18" x14ac:dyDescent="0.25">
      <c r="A38" s="1189">
        <f>Coltura!A36</f>
        <v>35</v>
      </c>
      <c r="B38" s="1189">
        <f>Coltura!B36</f>
        <v>2</v>
      </c>
      <c r="C38" s="1189" t="str">
        <f>Coltura!C36</f>
        <v>E2</v>
      </c>
      <c r="D38" s="1190" t="s">
        <v>645</v>
      </c>
      <c r="E38" s="930" t="str">
        <f>Coltura!D36</f>
        <v>Avena</v>
      </c>
      <c r="F38" s="1186">
        <v>340</v>
      </c>
      <c r="G38" s="41">
        <v>110</v>
      </c>
      <c r="H38" s="41">
        <v>4.5</v>
      </c>
      <c r="I38" s="41" t="s">
        <v>1111</v>
      </c>
      <c r="J38" s="41" t="s">
        <v>1112</v>
      </c>
      <c r="K38" s="41" t="s">
        <v>570</v>
      </c>
      <c r="L38" s="49">
        <f t="shared" si="0"/>
        <v>4.5</v>
      </c>
      <c r="M38" s="41">
        <v>87</v>
      </c>
      <c r="N38" s="45">
        <f>Standard!E38</f>
        <v>3.2</v>
      </c>
      <c r="O38" s="45">
        <f>Standard!F38</f>
        <v>60</v>
      </c>
      <c r="P38" s="45">
        <f>Standard!AU38</f>
        <v>40</v>
      </c>
      <c r="Q38" s="49">
        <f t="shared" si="1"/>
        <v>100</v>
      </c>
      <c r="R38" s="714" t="s">
        <v>1852</v>
      </c>
    </row>
    <row r="39" spans="1:18" x14ac:dyDescent="0.25">
      <c r="A39" s="1189">
        <f>Coltura!A37</f>
        <v>36</v>
      </c>
      <c r="B39" s="1189">
        <f>Coltura!B37</f>
        <v>3</v>
      </c>
      <c r="C39" s="1189" t="str">
        <f>Coltura!C37</f>
        <v>E3</v>
      </c>
      <c r="D39" s="1190" t="s">
        <v>645</v>
      </c>
      <c r="E39" s="930" t="str">
        <f>Coltura!D37</f>
        <v>Avena pianta intera</v>
      </c>
      <c r="F39" s="1186">
        <v>340</v>
      </c>
      <c r="G39" s="41">
        <v>110</v>
      </c>
      <c r="H39" s="41">
        <v>4.5</v>
      </c>
      <c r="I39" s="41" t="s">
        <v>1111</v>
      </c>
      <c r="J39" s="41" t="s">
        <v>1112</v>
      </c>
      <c r="K39" s="41" t="s">
        <v>570</v>
      </c>
      <c r="L39" s="49">
        <f t="shared" si="0"/>
        <v>4.5</v>
      </c>
      <c r="M39" s="41">
        <v>87</v>
      </c>
      <c r="N39" s="45">
        <f>Standard!E39</f>
        <v>3.2</v>
      </c>
      <c r="O39" s="45">
        <f>Standard!F39</f>
        <v>60</v>
      </c>
      <c r="P39" s="45">
        <f>Standard!AU39</f>
        <v>40</v>
      </c>
      <c r="Q39" s="49">
        <f t="shared" si="1"/>
        <v>100</v>
      </c>
      <c r="R39" s="714" t="s">
        <v>1852</v>
      </c>
    </row>
    <row r="40" spans="1:18" x14ac:dyDescent="0.25">
      <c r="A40" s="1189">
        <f>Coltura!A38</f>
        <v>37</v>
      </c>
      <c r="B40" s="1189">
        <f>Coltura!B38</f>
        <v>4</v>
      </c>
      <c r="C40" s="1189" t="str">
        <f>Coltura!C38</f>
        <v>E4</v>
      </c>
      <c r="D40" s="1190" t="s">
        <v>645</v>
      </c>
      <c r="E40" s="930" t="str">
        <f>Coltura!D38</f>
        <v>Barbababietola da zucchero (pianta intera)</v>
      </c>
      <c r="F40" s="1186">
        <v>340</v>
      </c>
      <c r="G40" s="41">
        <v>160</v>
      </c>
      <c r="H40" s="41">
        <v>60</v>
      </c>
      <c r="I40" s="41" t="s">
        <v>1111</v>
      </c>
      <c r="J40" s="41"/>
      <c r="K40" s="41" t="s">
        <v>570</v>
      </c>
      <c r="L40" s="49">
        <f t="shared" si="0"/>
        <v>60</v>
      </c>
      <c r="M40" s="41">
        <v>23</v>
      </c>
      <c r="N40" s="45">
        <f>Standard!E40</f>
        <v>70</v>
      </c>
      <c r="O40" s="45">
        <f>Standard!F40</f>
        <v>120</v>
      </c>
      <c r="P40" s="45">
        <f>Standard!AU40</f>
        <v>40</v>
      </c>
      <c r="Q40" s="49">
        <f t="shared" si="1"/>
        <v>160</v>
      </c>
      <c r="R40" s="714" t="s">
        <v>1852</v>
      </c>
    </row>
    <row r="41" spans="1:18" x14ac:dyDescent="0.25">
      <c r="A41" s="1189">
        <f>Coltura!A39</f>
        <v>38</v>
      </c>
      <c r="B41" s="1189">
        <f>Coltura!B39</f>
        <v>5</v>
      </c>
      <c r="C41" s="1189" t="str">
        <f>Coltura!C39</f>
        <v>E5</v>
      </c>
      <c r="D41" s="1190" t="s">
        <v>645</v>
      </c>
      <c r="E41" s="930" t="str">
        <f>Coltura!D39</f>
        <v>Barbabietola da zucchero  (radici)</v>
      </c>
      <c r="F41" s="1186">
        <v>340</v>
      </c>
      <c r="G41" s="41">
        <v>160</v>
      </c>
      <c r="H41" s="41">
        <v>60</v>
      </c>
      <c r="I41" s="41" t="s">
        <v>1111</v>
      </c>
      <c r="J41" s="41"/>
      <c r="K41" s="41" t="s">
        <v>570</v>
      </c>
      <c r="L41" s="49">
        <f t="shared" si="0"/>
        <v>60</v>
      </c>
      <c r="M41" s="41">
        <v>23</v>
      </c>
      <c r="N41" s="45">
        <f>Standard!E41</f>
        <v>50</v>
      </c>
      <c r="O41" s="45">
        <f>Standard!F41</f>
        <v>120</v>
      </c>
      <c r="P41" s="45">
        <f>Standard!AU41</f>
        <v>40</v>
      </c>
      <c r="Q41" s="49">
        <f t="shared" si="1"/>
        <v>160</v>
      </c>
      <c r="R41" s="714" t="s">
        <v>1852</v>
      </c>
    </row>
    <row r="42" spans="1:18" x14ac:dyDescent="0.25">
      <c r="A42" s="1189">
        <f>Coltura!A40</f>
        <v>39</v>
      </c>
      <c r="B42" s="1189">
        <f>Coltura!B40</f>
        <v>6</v>
      </c>
      <c r="C42" s="1189" t="str">
        <f>Coltura!C40</f>
        <v>E6</v>
      </c>
      <c r="D42" s="1190" t="s">
        <v>645</v>
      </c>
      <c r="E42" s="930" t="str">
        <f>Coltura!D40</f>
        <v>Canapa da fibra</v>
      </c>
      <c r="F42" s="1186">
        <v>340</v>
      </c>
      <c r="G42" s="41" t="s">
        <v>645</v>
      </c>
      <c r="H42" s="41" t="s">
        <v>645</v>
      </c>
      <c r="I42" s="41" t="s">
        <v>645</v>
      </c>
      <c r="J42" s="41" t="s">
        <v>645</v>
      </c>
      <c r="K42" s="41" t="s">
        <v>570</v>
      </c>
      <c r="L42" s="49" t="b">
        <f t="shared" si="0"/>
        <v>0</v>
      </c>
      <c r="M42" s="41">
        <v>30</v>
      </c>
      <c r="N42" s="45" t="str">
        <f>Standard!E42</f>
        <v>nd</v>
      </c>
      <c r="O42" s="45" t="str">
        <f>Standard!F42</f>
        <v>nd</v>
      </c>
      <c r="P42" s="45">
        <f>Standard!AU42</f>
        <v>0</v>
      </c>
      <c r="Q42" s="49" t="e">
        <f t="shared" si="1"/>
        <v>#VALUE!</v>
      </c>
      <c r="R42" s="714"/>
    </row>
    <row r="43" spans="1:18" x14ac:dyDescent="0.25">
      <c r="A43" s="1189">
        <f>Coltura!A41</f>
        <v>40</v>
      </c>
      <c r="B43" s="1189">
        <f>Coltura!B41</f>
        <v>7</v>
      </c>
      <c r="C43" s="1189" t="str">
        <f>Coltura!C41</f>
        <v>E7</v>
      </c>
      <c r="D43" s="1190" t="s">
        <v>645</v>
      </c>
      <c r="E43" s="930" t="str">
        <f>Coltura!D41</f>
        <v>Cavolo abissino</v>
      </c>
      <c r="F43" s="1186">
        <v>340</v>
      </c>
      <c r="G43" s="41" t="s">
        <v>645</v>
      </c>
      <c r="H43" s="41" t="s">
        <v>645</v>
      </c>
      <c r="I43" s="41" t="s">
        <v>645</v>
      </c>
      <c r="J43" s="41" t="s">
        <v>645</v>
      </c>
      <c r="K43" s="41" t="s">
        <v>570</v>
      </c>
      <c r="L43" s="49" t="b">
        <f t="shared" si="0"/>
        <v>0</v>
      </c>
      <c r="M43" s="41">
        <v>90</v>
      </c>
      <c r="N43" s="45" t="str">
        <f>Standard!E43</f>
        <v>nd</v>
      </c>
      <c r="O43" s="45" t="str">
        <f>Standard!F43</f>
        <v>nd</v>
      </c>
      <c r="P43" s="45">
        <f>Standard!AU43</f>
        <v>0</v>
      </c>
      <c r="Q43" s="49" t="e">
        <f t="shared" si="1"/>
        <v>#VALUE!</v>
      </c>
      <c r="R43" s="714"/>
    </row>
    <row r="44" spans="1:18" x14ac:dyDescent="0.25">
      <c r="A44" s="1189">
        <f>Coltura!A42</f>
        <v>41</v>
      </c>
      <c r="B44" s="1189">
        <f>Coltura!B42</f>
        <v>8</v>
      </c>
      <c r="C44" s="1189" t="str">
        <f>Coltura!C42</f>
        <v>E8</v>
      </c>
      <c r="D44" s="1190" t="s">
        <v>645</v>
      </c>
      <c r="E44" s="930" t="str">
        <f>Coltura!D42</f>
        <v>Cece</v>
      </c>
      <c r="F44" s="1186">
        <v>340</v>
      </c>
      <c r="G44" s="41">
        <v>80</v>
      </c>
      <c r="H44" s="41">
        <v>3</v>
      </c>
      <c r="I44" s="41" t="s">
        <v>1111</v>
      </c>
      <c r="J44" s="41"/>
      <c r="K44" s="41" t="s">
        <v>570</v>
      </c>
      <c r="L44" s="49">
        <f t="shared" si="0"/>
        <v>3</v>
      </c>
      <c r="M44" s="41">
        <v>86</v>
      </c>
      <c r="N44" s="45">
        <f>Standard!E44</f>
        <v>2</v>
      </c>
      <c r="O44" s="45">
        <f>Standard!F44</f>
        <v>40</v>
      </c>
      <c r="P44" s="45">
        <f>Standard!AU44</f>
        <v>30</v>
      </c>
      <c r="Q44" s="49">
        <f t="shared" si="1"/>
        <v>70</v>
      </c>
      <c r="R44" s="714" t="s">
        <v>1852</v>
      </c>
    </row>
    <row r="45" spans="1:18" x14ac:dyDescent="0.25">
      <c r="A45" s="1189">
        <f>Coltura!A43</f>
        <v>42</v>
      </c>
      <c r="B45" s="1189">
        <f>Coltura!B43</f>
        <v>9</v>
      </c>
      <c r="C45" s="1189" t="str">
        <f>Coltura!C43</f>
        <v>E9</v>
      </c>
      <c r="D45" s="1190" t="s">
        <v>645</v>
      </c>
      <c r="E45" s="930" t="str">
        <f>Coltura!D43</f>
        <v>Colza</v>
      </c>
      <c r="F45" s="1186">
        <v>340</v>
      </c>
      <c r="G45" s="41">
        <v>150</v>
      </c>
      <c r="H45" s="41">
        <v>4</v>
      </c>
      <c r="I45" s="41" t="s">
        <v>1111</v>
      </c>
      <c r="J45" s="41" t="s">
        <v>1112</v>
      </c>
      <c r="K45" s="41" t="s">
        <v>570</v>
      </c>
      <c r="L45" s="49">
        <f t="shared" si="0"/>
        <v>4</v>
      </c>
      <c r="M45" s="41">
        <v>90</v>
      </c>
      <c r="N45" s="45">
        <f>Standard!E45</f>
        <v>2.5</v>
      </c>
      <c r="O45" s="45">
        <f>Standard!F45</f>
        <v>135</v>
      </c>
      <c r="P45" s="45">
        <f>Standard!AU45</f>
        <v>40</v>
      </c>
      <c r="Q45" s="49">
        <f t="shared" si="1"/>
        <v>175</v>
      </c>
      <c r="R45" s="714" t="s">
        <v>1852</v>
      </c>
    </row>
    <row r="46" spans="1:18" x14ac:dyDescent="0.25">
      <c r="A46" s="1189">
        <f>Coltura!A44</f>
        <v>43</v>
      </c>
      <c r="B46" s="1189">
        <f>Coltura!B44</f>
        <v>10</v>
      </c>
      <c r="C46" s="1189" t="str">
        <f>Coltura!C44</f>
        <v>E10</v>
      </c>
      <c r="D46" s="1190" t="s">
        <v>645</v>
      </c>
      <c r="E46" s="930" t="str">
        <f>Coltura!D44</f>
        <v>Colza pianta intera</v>
      </c>
      <c r="F46" s="1186">
        <v>340</v>
      </c>
      <c r="G46" s="41">
        <v>150</v>
      </c>
      <c r="H46" s="41">
        <v>4</v>
      </c>
      <c r="I46" s="41" t="s">
        <v>1111</v>
      </c>
      <c r="J46" s="41" t="s">
        <v>1112</v>
      </c>
      <c r="K46" s="41" t="s">
        <v>570</v>
      </c>
      <c r="L46" s="49">
        <f t="shared" si="0"/>
        <v>4</v>
      </c>
      <c r="M46" s="41">
        <v>90</v>
      </c>
      <c r="N46" s="45">
        <f>Standard!E46</f>
        <v>2.5</v>
      </c>
      <c r="O46" s="45">
        <f>Standard!F46</f>
        <v>135</v>
      </c>
      <c r="P46" s="45">
        <f>Standard!AU46</f>
        <v>40</v>
      </c>
      <c r="Q46" s="49">
        <f t="shared" si="1"/>
        <v>175</v>
      </c>
      <c r="R46" s="714" t="s">
        <v>1852</v>
      </c>
    </row>
    <row r="47" spans="1:18" x14ac:dyDescent="0.25">
      <c r="A47" s="1189">
        <f>Coltura!A45</f>
        <v>44</v>
      </c>
      <c r="B47" s="1189">
        <f>Coltura!B45</f>
        <v>11</v>
      </c>
      <c r="C47" s="1189" t="str">
        <f>Coltura!C45</f>
        <v>E11</v>
      </c>
      <c r="D47" s="1190" t="s">
        <v>645</v>
      </c>
      <c r="E47" s="930" t="str">
        <f>Coltura!D45</f>
        <v>Farro</v>
      </c>
      <c r="F47" s="1186">
        <v>340</v>
      </c>
      <c r="G47" s="41" t="s">
        <v>645</v>
      </c>
      <c r="H47" s="41" t="s">
        <v>645</v>
      </c>
      <c r="I47" s="41" t="s">
        <v>645</v>
      </c>
      <c r="J47" s="41" t="s">
        <v>645</v>
      </c>
      <c r="K47" s="41" t="s">
        <v>570</v>
      </c>
      <c r="L47" s="49" t="b">
        <f t="shared" si="0"/>
        <v>0</v>
      </c>
      <c r="M47" s="41">
        <v>87</v>
      </c>
      <c r="N47" s="45">
        <f>Standard!E47</f>
        <v>2</v>
      </c>
      <c r="O47" s="45">
        <f>Standard!F47</f>
        <v>40</v>
      </c>
      <c r="P47" s="45">
        <f>Standard!AU47</f>
        <v>30</v>
      </c>
      <c r="Q47" s="49">
        <f t="shared" si="1"/>
        <v>70</v>
      </c>
      <c r="R47" s="714" t="s">
        <v>1852</v>
      </c>
    </row>
    <row r="48" spans="1:18" x14ac:dyDescent="0.25">
      <c r="A48" s="1189">
        <f>Coltura!A46</f>
        <v>45</v>
      </c>
      <c r="B48" s="1189">
        <f>Coltura!B46</f>
        <v>12</v>
      </c>
      <c r="C48" s="1189" t="str">
        <f>Coltura!C46</f>
        <v>E12</v>
      </c>
      <c r="D48" s="1190" t="s">
        <v>645</v>
      </c>
      <c r="E48" s="930" t="str">
        <f>Coltura!D46</f>
        <v>Farro (pianta intera)</v>
      </c>
      <c r="F48" s="1186">
        <v>340</v>
      </c>
      <c r="G48" s="41" t="s">
        <v>645</v>
      </c>
      <c r="H48" s="41" t="s">
        <v>645</v>
      </c>
      <c r="I48" s="41" t="s">
        <v>645</v>
      </c>
      <c r="J48" s="41" t="s">
        <v>645</v>
      </c>
      <c r="K48" s="41" t="s">
        <v>570</v>
      </c>
      <c r="L48" s="49" t="b">
        <f t="shared" si="0"/>
        <v>0</v>
      </c>
      <c r="M48" s="41">
        <v>87</v>
      </c>
      <c r="N48" s="45">
        <f>Standard!E48</f>
        <v>2</v>
      </c>
      <c r="O48" s="45">
        <f>Standard!F48</f>
        <v>40</v>
      </c>
      <c r="P48" s="45">
        <f>Standard!AU48</f>
        <v>30</v>
      </c>
      <c r="Q48" s="49">
        <f t="shared" si="1"/>
        <v>70</v>
      </c>
      <c r="R48" s="714" t="s">
        <v>1852</v>
      </c>
    </row>
    <row r="49" spans="1:18" x14ac:dyDescent="0.25">
      <c r="A49" s="1189">
        <f>Coltura!A47</f>
        <v>46</v>
      </c>
      <c r="B49" s="1189">
        <f>Coltura!B47</f>
        <v>13</v>
      </c>
      <c r="C49" s="1189" t="str">
        <f>Coltura!C47</f>
        <v>E13</v>
      </c>
      <c r="D49" s="1190" t="s">
        <v>645</v>
      </c>
      <c r="E49" s="930" t="str">
        <f>Coltura!D47</f>
        <v>Favino da granella</v>
      </c>
      <c r="F49" s="1186">
        <v>340</v>
      </c>
      <c r="G49" s="41" t="s">
        <v>645</v>
      </c>
      <c r="H49" s="41" t="s">
        <v>645</v>
      </c>
      <c r="I49" s="41" t="s">
        <v>645</v>
      </c>
      <c r="J49" s="41" t="s">
        <v>645</v>
      </c>
      <c r="K49" s="41" t="s">
        <v>570</v>
      </c>
      <c r="L49" s="49" t="b">
        <f t="shared" si="0"/>
        <v>0</v>
      </c>
      <c r="M49" s="41">
        <v>86</v>
      </c>
      <c r="N49" s="45">
        <f>Standard!E49</f>
        <v>2</v>
      </c>
      <c r="O49" s="45">
        <f>Standard!F49</f>
        <v>0</v>
      </c>
      <c r="P49" s="45">
        <f>Standard!AU49</f>
        <v>40</v>
      </c>
      <c r="Q49" s="49">
        <f t="shared" si="1"/>
        <v>40</v>
      </c>
      <c r="R49" s="714" t="s">
        <v>1852</v>
      </c>
    </row>
    <row r="50" spans="1:18" x14ac:dyDescent="0.25">
      <c r="A50" s="1189">
        <f>Coltura!A48</f>
        <v>47</v>
      </c>
      <c r="B50" s="1189">
        <f>Coltura!B48</f>
        <v>14</v>
      </c>
      <c r="C50" s="1189" t="str">
        <f>Coltura!C48</f>
        <v>E14</v>
      </c>
      <c r="D50" s="1190" t="s">
        <v>645</v>
      </c>
      <c r="E50" s="930" t="str">
        <f>Coltura!D48</f>
        <v>Girasole (acheni)</v>
      </c>
      <c r="F50" s="1186">
        <v>340</v>
      </c>
      <c r="G50" s="41">
        <v>120</v>
      </c>
      <c r="H50" s="41">
        <v>3.5</v>
      </c>
      <c r="I50" s="41" t="s">
        <v>1111</v>
      </c>
      <c r="J50" s="41" t="s">
        <v>1112</v>
      </c>
      <c r="K50" s="41" t="s">
        <v>570</v>
      </c>
      <c r="L50" s="49">
        <f t="shared" si="0"/>
        <v>3.5</v>
      </c>
      <c r="M50" s="41">
        <v>90</v>
      </c>
      <c r="N50" s="45">
        <f>Standard!E50</f>
        <v>3</v>
      </c>
      <c r="O50" s="45">
        <f>Standard!F50</f>
        <v>90</v>
      </c>
      <c r="P50" s="45">
        <f>Standard!AU50</f>
        <v>40</v>
      </c>
      <c r="Q50" s="49">
        <f t="shared" si="1"/>
        <v>130</v>
      </c>
      <c r="R50" s="714" t="s">
        <v>1852</v>
      </c>
    </row>
    <row r="51" spans="1:18" x14ac:dyDescent="0.25">
      <c r="A51" s="1189">
        <f>Coltura!A49</f>
        <v>48</v>
      </c>
      <c r="B51" s="1189">
        <f>Coltura!B49</f>
        <v>15</v>
      </c>
      <c r="C51" s="1189" t="str">
        <f>Coltura!C49</f>
        <v>E15</v>
      </c>
      <c r="D51" s="1190" t="s">
        <v>645</v>
      </c>
      <c r="E51" s="930" t="str">
        <f>Coltura!D49</f>
        <v>Girasole (pianta intera)</v>
      </c>
      <c r="F51" s="1186">
        <v>340</v>
      </c>
      <c r="G51" s="41">
        <v>120</v>
      </c>
      <c r="H51" s="41">
        <v>3.5</v>
      </c>
      <c r="I51" s="41" t="s">
        <v>1111</v>
      </c>
      <c r="J51" s="41" t="s">
        <v>1112</v>
      </c>
      <c r="K51" s="41" t="s">
        <v>570</v>
      </c>
      <c r="L51" s="49">
        <f t="shared" si="0"/>
        <v>3.5</v>
      </c>
      <c r="M51" s="41">
        <v>90</v>
      </c>
      <c r="N51" s="45">
        <f>Standard!E51</f>
        <v>3</v>
      </c>
      <c r="O51" s="45">
        <f>Standard!F51</f>
        <v>90</v>
      </c>
      <c r="P51" s="45">
        <f>Standard!AU51</f>
        <v>40</v>
      </c>
      <c r="Q51" s="49">
        <f t="shared" si="1"/>
        <v>130</v>
      </c>
      <c r="R51" s="714" t="s">
        <v>1852</v>
      </c>
    </row>
    <row r="52" spans="1:18" x14ac:dyDescent="0.25">
      <c r="A52" s="1189">
        <f>Coltura!A50</f>
        <v>49</v>
      </c>
      <c r="B52" s="1189">
        <f>Coltura!B50</f>
        <v>16</v>
      </c>
      <c r="C52" s="1189" t="str">
        <f>Coltura!C50</f>
        <v>E16</v>
      </c>
      <c r="D52" s="1190" t="s">
        <v>645</v>
      </c>
      <c r="E52" s="930" t="str">
        <f>Coltura!D50</f>
        <v>Grano duro (granella)</v>
      </c>
      <c r="F52" s="1186">
        <v>340</v>
      </c>
      <c r="G52" s="41">
        <v>190</v>
      </c>
      <c r="H52" s="41">
        <v>6</v>
      </c>
      <c r="I52" s="41" t="s">
        <v>1111</v>
      </c>
      <c r="J52" s="41" t="s">
        <v>1112</v>
      </c>
      <c r="K52" s="41" t="s">
        <v>570</v>
      </c>
      <c r="L52" s="49">
        <f t="shared" si="0"/>
        <v>6</v>
      </c>
      <c r="M52" s="41">
        <v>87</v>
      </c>
      <c r="N52" s="45">
        <f>Standard!E52</f>
        <v>6</v>
      </c>
      <c r="O52" s="45">
        <f>Standard!F52</f>
        <v>160</v>
      </c>
      <c r="P52" s="45">
        <f>Standard!AU52</f>
        <v>40</v>
      </c>
      <c r="Q52" s="49">
        <f t="shared" si="1"/>
        <v>200</v>
      </c>
      <c r="R52" s="714" t="s">
        <v>1852</v>
      </c>
    </row>
    <row r="53" spans="1:18" x14ac:dyDescent="0.25">
      <c r="A53" s="1189">
        <f>Coltura!A51</f>
        <v>50</v>
      </c>
      <c r="B53" s="1189">
        <f>Coltura!B51</f>
        <v>17</v>
      </c>
      <c r="C53" s="1189" t="str">
        <f>Coltura!C51</f>
        <v>E17</v>
      </c>
      <c r="D53" s="1190" t="s">
        <v>645</v>
      </c>
      <c r="E53" s="930" t="str">
        <f>Coltura!D51</f>
        <v>Grano duro (pianta intera)</v>
      </c>
      <c r="F53" s="1186">
        <v>340</v>
      </c>
      <c r="G53" s="41">
        <v>190</v>
      </c>
      <c r="H53" s="41">
        <v>6</v>
      </c>
      <c r="I53" s="41" t="s">
        <v>1111</v>
      </c>
      <c r="J53" s="41" t="s">
        <v>1112</v>
      </c>
      <c r="K53" s="41" t="s">
        <v>570</v>
      </c>
      <c r="L53" s="49">
        <f t="shared" si="0"/>
        <v>6</v>
      </c>
      <c r="M53" s="41">
        <v>87</v>
      </c>
      <c r="N53" s="45">
        <f>Standard!E53</f>
        <v>6</v>
      </c>
      <c r="O53" s="45">
        <f>Standard!F53</f>
        <v>160</v>
      </c>
      <c r="P53" s="45">
        <f>Standard!AU53</f>
        <v>40</v>
      </c>
      <c r="Q53" s="49">
        <f t="shared" si="1"/>
        <v>200</v>
      </c>
      <c r="R53" s="714" t="s">
        <v>1852</v>
      </c>
    </row>
    <row r="54" spans="1:18" x14ac:dyDescent="0.25">
      <c r="A54" s="1189">
        <f>Coltura!A52</f>
        <v>51</v>
      </c>
      <c r="B54" s="1189">
        <f>Coltura!B52</f>
        <v>18</v>
      </c>
      <c r="C54" s="1189" t="str">
        <f>Coltura!C52</f>
        <v>E18</v>
      </c>
      <c r="D54" s="1190" t="s">
        <v>645</v>
      </c>
      <c r="E54" s="930" t="str">
        <f>Coltura!D52</f>
        <v>Grano tenero FP/FPS (granella)</v>
      </c>
      <c r="F54" s="1186">
        <v>340</v>
      </c>
      <c r="G54" s="41">
        <v>180</v>
      </c>
      <c r="H54" s="41">
        <v>6.5</v>
      </c>
      <c r="I54" s="41" t="s">
        <v>1111</v>
      </c>
      <c r="J54" s="41" t="s">
        <v>1112</v>
      </c>
      <c r="K54" s="41" t="s">
        <v>570</v>
      </c>
      <c r="L54" s="49">
        <f t="shared" si="0"/>
        <v>6.5</v>
      </c>
      <c r="M54" s="41">
        <v>87</v>
      </c>
      <c r="N54" s="45">
        <f>Standard!E54</f>
        <v>6</v>
      </c>
      <c r="O54" s="45">
        <f>Standard!F54</f>
        <v>155</v>
      </c>
      <c r="P54" s="45">
        <f>Standard!AU54</f>
        <v>40</v>
      </c>
      <c r="Q54" s="49">
        <f t="shared" si="1"/>
        <v>195</v>
      </c>
      <c r="R54" s="714" t="s">
        <v>1852</v>
      </c>
    </row>
    <row r="55" spans="1:18" x14ac:dyDescent="0.25">
      <c r="A55" s="1189">
        <f>Coltura!A53</f>
        <v>52</v>
      </c>
      <c r="B55" s="1189">
        <f>Coltura!B53</f>
        <v>19</v>
      </c>
      <c r="C55" s="1189" t="str">
        <f>Coltura!C53</f>
        <v>E19</v>
      </c>
      <c r="D55" s="1190" t="s">
        <v>645</v>
      </c>
      <c r="E55" s="930" t="str">
        <f>Coltura!D53</f>
        <v>Grano tenero FP/FPS (pianta intera)</v>
      </c>
      <c r="F55" s="1186">
        <v>340</v>
      </c>
      <c r="G55" s="41">
        <v>180</v>
      </c>
      <c r="H55" s="41">
        <v>6.5</v>
      </c>
      <c r="I55" s="41" t="s">
        <v>1111</v>
      </c>
      <c r="J55" s="41" t="s">
        <v>1112</v>
      </c>
      <c r="K55" s="41" t="s">
        <v>570</v>
      </c>
      <c r="L55" s="49">
        <f t="shared" si="0"/>
        <v>6.5</v>
      </c>
      <c r="M55" s="41">
        <v>87</v>
      </c>
      <c r="N55" s="45">
        <f>Standard!E55</f>
        <v>6</v>
      </c>
      <c r="O55" s="45">
        <f>Standard!F55</f>
        <v>155</v>
      </c>
      <c r="P55" s="45">
        <f>Standard!AU55</f>
        <v>40</v>
      </c>
      <c r="Q55" s="49">
        <f t="shared" si="1"/>
        <v>195</v>
      </c>
      <c r="R55" s="714" t="s">
        <v>1852</v>
      </c>
    </row>
    <row r="56" spans="1:18" x14ac:dyDescent="0.25">
      <c r="A56" s="1189">
        <f>Coltura!A54</f>
        <v>53</v>
      </c>
      <c r="B56" s="1189">
        <f>Coltura!B54</f>
        <v>20</v>
      </c>
      <c r="C56" s="1189" t="str">
        <f>Coltura!C54</f>
        <v>E20</v>
      </c>
      <c r="D56" s="1190" t="s">
        <v>645</v>
      </c>
      <c r="E56" s="930" t="str">
        <f>Coltura!D54</f>
        <v>Grano tenero biscottiero  (granella)</v>
      </c>
      <c r="F56" s="1186">
        <v>340</v>
      </c>
      <c r="G56" s="41">
        <v>180</v>
      </c>
      <c r="H56" s="41">
        <v>6.5</v>
      </c>
      <c r="I56" s="41" t="s">
        <v>1111</v>
      </c>
      <c r="J56" s="41" t="s">
        <v>1112</v>
      </c>
      <c r="K56" s="41" t="s">
        <v>570</v>
      </c>
      <c r="L56" s="49">
        <f t="shared" si="0"/>
        <v>6.5</v>
      </c>
      <c r="M56" s="41">
        <v>87</v>
      </c>
      <c r="N56" s="45">
        <f>Standard!E56</f>
        <v>6</v>
      </c>
      <c r="O56" s="45">
        <f>Standard!F56</f>
        <v>140</v>
      </c>
      <c r="P56" s="45">
        <f>Standard!AU56</f>
        <v>40</v>
      </c>
      <c r="Q56" s="49">
        <f t="shared" si="1"/>
        <v>180</v>
      </c>
      <c r="R56" s="714" t="s">
        <v>1852</v>
      </c>
    </row>
    <row r="57" spans="1:18" x14ac:dyDescent="0.25">
      <c r="A57" s="1189">
        <f>Coltura!A55</f>
        <v>54</v>
      </c>
      <c r="B57" s="1189">
        <f>Coltura!B55</f>
        <v>21</v>
      </c>
      <c r="C57" s="1189" t="str">
        <f>Coltura!C55</f>
        <v>E21</v>
      </c>
      <c r="D57" s="1190" t="s">
        <v>645</v>
      </c>
      <c r="E57" s="930" t="str">
        <f>Coltura!D55</f>
        <v>Grano tenero biscottiero pianta intera</v>
      </c>
      <c r="F57" s="1186">
        <v>340</v>
      </c>
      <c r="G57" s="41">
        <v>180</v>
      </c>
      <c r="H57" s="41">
        <v>6.5</v>
      </c>
      <c r="I57" s="41" t="s">
        <v>1111</v>
      </c>
      <c r="J57" s="41" t="s">
        <v>1112</v>
      </c>
      <c r="K57" s="41" t="s">
        <v>570</v>
      </c>
      <c r="L57" s="49">
        <f t="shared" si="0"/>
        <v>6.5</v>
      </c>
      <c r="M57" s="41">
        <v>87</v>
      </c>
      <c r="N57" s="45">
        <f>Standard!E57</f>
        <v>6</v>
      </c>
      <c r="O57" s="45">
        <f>Standard!F57</f>
        <v>140</v>
      </c>
      <c r="P57" s="45">
        <f>Standard!AU57</f>
        <v>40</v>
      </c>
      <c r="Q57" s="49">
        <f t="shared" si="1"/>
        <v>180</v>
      </c>
      <c r="R57" s="714" t="s">
        <v>1852</v>
      </c>
    </row>
    <row r="58" spans="1:18" x14ac:dyDescent="0.25">
      <c r="A58" s="1189">
        <f>Coltura!A56</f>
        <v>55</v>
      </c>
      <c r="B58" s="1189">
        <f>Coltura!B56</f>
        <v>22</v>
      </c>
      <c r="C58" s="1189" t="str">
        <f>Coltura!C56</f>
        <v>E22</v>
      </c>
      <c r="D58" s="1190" t="s">
        <v>645</v>
      </c>
      <c r="E58" s="930" t="str">
        <f>Coltura!D56</f>
        <v>Grano tenero FF (granella)</v>
      </c>
      <c r="F58" s="1186">
        <v>340</v>
      </c>
      <c r="G58" s="41">
        <v>190</v>
      </c>
      <c r="H58" s="41">
        <v>6</v>
      </c>
      <c r="I58" s="41" t="s">
        <v>1111</v>
      </c>
      <c r="J58" s="41" t="s">
        <v>1112</v>
      </c>
      <c r="K58" s="41" t="s">
        <v>570</v>
      </c>
      <c r="L58" s="49">
        <f t="shared" si="0"/>
        <v>6</v>
      </c>
      <c r="M58" s="41">
        <v>87</v>
      </c>
      <c r="N58" s="45">
        <f>Standard!E58</f>
        <v>6</v>
      </c>
      <c r="O58" s="45">
        <f>Standard!F58</f>
        <v>160</v>
      </c>
      <c r="P58" s="45">
        <f>Standard!AU58</f>
        <v>40</v>
      </c>
      <c r="Q58" s="49">
        <f t="shared" si="1"/>
        <v>200</v>
      </c>
      <c r="R58" s="714" t="s">
        <v>1852</v>
      </c>
    </row>
    <row r="59" spans="1:18" x14ac:dyDescent="0.25">
      <c r="A59" s="1189">
        <f>Coltura!A57</f>
        <v>56</v>
      </c>
      <c r="B59" s="1189">
        <f>Coltura!B57</f>
        <v>23</v>
      </c>
      <c r="C59" s="1189" t="str">
        <f>Coltura!C57</f>
        <v>E23</v>
      </c>
      <c r="D59" s="1190" t="s">
        <v>645</v>
      </c>
      <c r="E59" s="930" t="str">
        <f>Coltura!D57</f>
        <v>Grano tenero FF (pianta intera)</v>
      </c>
      <c r="F59" s="1186">
        <v>340</v>
      </c>
      <c r="G59" s="41">
        <v>190</v>
      </c>
      <c r="H59" s="41">
        <v>6</v>
      </c>
      <c r="I59" s="41" t="s">
        <v>1111</v>
      </c>
      <c r="J59" s="41" t="s">
        <v>1112</v>
      </c>
      <c r="K59" s="41" t="s">
        <v>570</v>
      </c>
      <c r="L59" s="49">
        <f t="shared" si="0"/>
        <v>6</v>
      </c>
      <c r="M59" s="41">
        <v>87</v>
      </c>
      <c r="N59" s="45">
        <f>Standard!E59</f>
        <v>6</v>
      </c>
      <c r="O59" s="45">
        <f>Standard!F59</f>
        <v>160</v>
      </c>
      <c r="P59" s="45">
        <f>Standard!AU59</f>
        <v>40</v>
      </c>
      <c r="Q59" s="49">
        <f t="shared" si="1"/>
        <v>200</v>
      </c>
      <c r="R59" s="714" t="s">
        <v>1852</v>
      </c>
    </row>
    <row r="60" spans="1:18" x14ac:dyDescent="0.25">
      <c r="A60" s="1189">
        <f>Coltura!A58</f>
        <v>57</v>
      </c>
      <c r="B60" s="1189">
        <f>Coltura!B58</f>
        <v>24</v>
      </c>
      <c r="C60" s="1189" t="str">
        <f>Coltura!C58</f>
        <v>E24</v>
      </c>
      <c r="D60" s="1190" t="s">
        <v>645</v>
      </c>
      <c r="E60" s="930" t="str">
        <f>Coltura!D58</f>
        <v>Lenticchia</v>
      </c>
      <c r="F60" s="1186">
        <v>340</v>
      </c>
      <c r="G60" s="41" t="s">
        <v>645</v>
      </c>
      <c r="H60" s="41" t="s">
        <v>645</v>
      </c>
      <c r="I60" s="41" t="s">
        <v>645</v>
      </c>
      <c r="J60" s="41" t="s">
        <v>645</v>
      </c>
      <c r="K60" s="41" t="s">
        <v>570</v>
      </c>
      <c r="L60" s="49" t="b">
        <f t="shared" si="0"/>
        <v>0</v>
      </c>
      <c r="M60" s="41">
        <v>89</v>
      </c>
      <c r="N60" s="45" t="str">
        <f>Standard!E60</f>
        <v>nd</v>
      </c>
      <c r="O60" s="45" t="str">
        <f>Standard!F60</f>
        <v>nd</v>
      </c>
      <c r="P60" s="45">
        <f>Standard!AU60</f>
        <v>0</v>
      </c>
      <c r="Q60" s="49" t="e">
        <f t="shared" si="1"/>
        <v>#VALUE!</v>
      </c>
      <c r="R60" s="714"/>
    </row>
    <row r="61" spans="1:18" x14ac:dyDescent="0.25">
      <c r="A61" s="1189">
        <f>Coltura!A59</f>
        <v>58</v>
      </c>
      <c r="B61" s="1189">
        <f>Coltura!B59</f>
        <v>25</v>
      </c>
      <c r="C61" s="1189" t="str">
        <f>Coltura!C59</f>
        <v>E25</v>
      </c>
      <c r="D61" s="1190" t="s">
        <v>645</v>
      </c>
      <c r="E61" s="930" t="str">
        <f>Coltura!D59</f>
        <v>Lino  fibra</v>
      </c>
      <c r="F61" s="1186">
        <v>340</v>
      </c>
      <c r="G61" s="41" t="s">
        <v>645</v>
      </c>
      <c r="H61" s="41" t="s">
        <v>645</v>
      </c>
      <c r="I61" s="41" t="s">
        <v>645</v>
      </c>
      <c r="J61" s="41" t="s">
        <v>645</v>
      </c>
      <c r="K61" s="41" t="s">
        <v>570</v>
      </c>
      <c r="L61" s="49" t="b">
        <f t="shared" si="0"/>
        <v>0</v>
      </c>
      <c r="M61" s="41">
        <v>90</v>
      </c>
      <c r="N61" s="45" t="str">
        <f>Standard!E61</f>
        <v>nd</v>
      </c>
      <c r="O61" s="45" t="str">
        <f>Standard!F61</f>
        <v>nd</v>
      </c>
      <c r="P61" s="45">
        <f>Standard!AU61</f>
        <v>0</v>
      </c>
      <c r="Q61" s="49" t="e">
        <f t="shared" si="1"/>
        <v>#VALUE!</v>
      </c>
      <c r="R61" s="714"/>
    </row>
    <row r="62" spans="1:18" x14ac:dyDescent="0.25">
      <c r="A62" s="1189">
        <f>Coltura!A60</f>
        <v>59</v>
      </c>
      <c r="B62" s="1189">
        <f>Coltura!B60</f>
        <v>26</v>
      </c>
      <c r="C62" s="1189" t="str">
        <f>Coltura!C60</f>
        <v>E26</v>
      </c>
      <c r="D62" s="1190" t="s">
        <v>645</v>
      </c>
      <c r="E62" s="930" t="str">
        <f>Coltura!D60</f>
        <v>Lino granella</v>
      </c>
      <c r="F62" s="1186">
        <v>340</v>
      </c>
      <c r="G62" s="41" t="s">
        <v>645</v>
      </c>
      <c r="H62" s="41" t="s">
        <v>645</v>
      </c>
      <c r="I62" s="41" t="s">
        <v>645</v>
      </c>
      <c r="J62" s="41" t="s">
        <v>645</v>
      </c>
      <c r="K62" s="41" t="s">
        <v>570</v>
      </c>
      <c r="L62" s="49" t="b">
        <f t="shared" si="0"/>
        <v>0</v>
      </c>
      <c r="M62" s="41">
        <v>90</v>
      </c>
      <c r="N62" s="45" t="str">
        <f>Standard!E62</f>
        <v>nd</v>
      </c>
      <c r="O62" s="45" t="str">
        <f>Standard!F62</f>
        <v>nd</v>
      </c>
      <c r="P62" s="45">
        <f>Standard!AU62</f>
        <v>0</v>
      </c>
      <c r="Q62" s="49" t="e">
        <f t="shared" si="1"/>
        <v>#VALUE!</v>
      </c>
      <c r="R62" s="714"/>
    </row>
    <row r="63" spans="1:18" x14ac:dyDescent="0.25">
      <c r="A63" s="1189">
        <f>Coltura!A61</f>
        <v>60</v>
      </c>
      <c r="B63" s="1189">
        <f>Coltura!B61</f>
        <v>27</v>
      </c>
      <c r="C63" s="1189" t="str">
        <f>Coltura!C61</f>
        <v>E27</v>
      </c>
      <c r="D63" s="1190" t="s">
        <v>645</v>
      </c>
      <c r="E63" s="930" t="str">
        <f>Coltura!D61</f>
        <v>Lupino</v>
      </c>
      <c r="F63" s="1186">
        <v>340</v>
      </c>
      <c r="G63" s="41" t="s">
        <v>645</v>
      </c>
      <c r="H63" s="41" t="s">
        <v>645</v>
      </c>
      <c r="I63" s="41" t="s">
        <v>645</v>
      </c>
      <c r="J63" s="41" t="s">
        <v>645</v>
      </c>
      <c r="K63" s="41" t="s">
        <v>570</v>
      </c>
      <c r="L63" s="49" t="b">
        <f t="shared" si="0"/>
        <v>0</v>
      </c>
      <c r="M63" s="41">
        <v>86</v>
      </c>
      <c r="N63" s="45" t="str">
        <f>Standard!E63</f>
        <v>nd</v>
      </c>
      <c r="O63" s="45" t="str">
        <f>Standard!F63</f>
        <v>nd</v>
      </c>
      <c r="P63" s="45">
        <f>Standard!AU63</f>
        <v>0</v>
      </c>
      <c r="Q63" s="49" t="e">
        <f t="shared" si="1"/>
        <v>#VALUE!</v>
      </c>
      <c r="R63" s="714"/>
    </row>
    <row r="64" spans="1:18" x14ac:dyDescent="0.25">
      <c r="A64" s="1189">
        <f>Coltura!A62</f>
        <v>61</v>
      </c>
      <c r="B64" s="1189">
        <f>Coltura!B62</f>
        <v>28</v>
      </c>
      <c r="C64" s="1189" t="str">
        <f>Coltura!C62</f>
        <v>E28</v>
      </c>
      <c r="D64" s="1190" t="s">
        <v>645</v>
      </c>
      <c r="E64" s="930" t="str">
        <f>Coltura!D62</f>
        <v>Mais da granella 300-400 (granella)</v>
      </c>
      <c r="F64" s="1186">
        <v>340</v>
      </c>
      <c r="G64" s="41">
        <v>280</v>
      </c>
      <c r="H64" s="41">
        <v>13</v>
      </c>
      <c r="I64" s="41" t="s">
        <v>1111</v>
      </c>
      <c r="J64" s="41" t="s">
        <v>1112</v>
      </c>
      <c r="K64" s="41" t="s">
        <v>570</v>
      </c>
      <c r="L64" s="49">
        <f t="shared" si="0"/>
        <v>13</v>
      </c>
      <c r="M64" s="41">
        <v>86</v>
      </c>
      <c r="N64" s="45">
        <f>Standard!E64</f>
        <v>7</v>
      </c>
      <c r="O64" s="45">
        <f>Standard!F64</f>
        <v>150</v>
      </c>
      <c r="P64" s="45">
        <f>Standard!AU64</f>
        <v>70</v>
      </c>
      <c r="Q64" s="49">
        <f t="shared" si="1"/>
        <v>220</v>
      </c>
      <c r="R64" s="714" t="s">
        <v>1852</v>
      </c>
    </row>
    <row r="65" spans="1:22" x14ac:dyDescent="0.25">
      <c r="A65" s="1189">
        <f>Coltura!A63</f>
        <v>62</v>
      </c>
      <c r="B65" s="1189">
        <f>Coltura!B63</f>
        <v>29</v>
      </c>
      <c r="C65" s="1189" t="str">
        <f>Coltura!C63</f>
        <v>E29</v>
      </c>
      <c r="D65" s="1190" t="s">
        <v>645</v>
      </c>
      <c r="E65" s="930" t="str">
        <f>Coltura!D63</f>
        <v>Mais da granella 300-400 (pianta intera)</v>
      </c>
      <c r="F65" s="1186">
        <v>340</v>
      </c>
      <c r="G65" s="41">
        <v>280</v>
      </c>
      <c r="H65" s="41">
        <v>13</v>
      </c>
      <c r="I65" s="41" t="s">
        <v>1111</v>
      </c>
      <c r="J65" s="41" t="s">
        <v>1112</v>
      </c>
      <c r="K65" s="41" t="s">
        <v>571</v>
      </c>
      <c r="L65" s="49">
        <f t="shared" si="0"/>
        <v>13</v>
      </c>
      <c r="M65" s="41">
        <v>86</v>
      </c>
      <c r="N65" s="45">
        <f>Standard!E65</f>
        <v>7</v>
      </c>
      <c r="O65" s="45">
        <f>Standard!F65</f>
        <v>150</v>
      </c>
      <c r="P65" s="45">
        <f>Standard!AU65</f>
        <v>70</v>
      </c>
      <c r="Q65" s="49">
        <f t="shared" si="1"/>
        <v>220</v>
      </c>
      <c r="R65" s="714" t="s">
        <v>1852</v>
      </c>
    </row>
    <row r="66" spans="1:22" x14ac:dyDescent="0.25">
      <c r="A66" s="1189">
        <f>Coltura!A64</f>
        <v>63</v>
      </c>
      <c r="B66" s="1189">
        <f>Coltura!B64</f>
        <v>30</v>
      </c>
      <c r="C66" s="1189" t="str">
        <f>Coltura!C64</f>
        <v>E30</v>
      </c>
      <c r="D66" s="1190" t="s">
        <v>645</v>
      </c>
      <c r="E66" s="930" t="str">
        <f>Coltura!D64</f>
        <v>Mais da granella 500-700 (granella)</v>
      </c>
      <c r="F66" s="1186">
        <v>340</v>
      </c>
      <c r="G66" s="41">
        <v>280</v>
      </c>
      <c r="H66" s="41">
        <v>13</v>
      </c>
      <c r="I66" s="41" t="s">
        <v>1111</v>
      </c>
      <c r="J66" s="41" t="s">
        <v>1112</v>
      </c>
      <c r="K66" s="41" t="s">
        <v>571</v>
      </c>
      <c r="L66" s="49">
        <f t="shared" si="0"/>
        <v>13</v>
      </c>
      <c r="M66" s="41">
        <v>86</v>
      </c>
      <c r="N66" s="45">
        <f>Standard!E66</f>
        <v>12</v>
      </c>
      <c r="O66" s="45">
        <f>Standard!F66</f>
        <v>240</v>
      </c>
      <c r="P66" s="45">
        <f>Standard!AU66</f>
        <v>70</v>
      </c>
      <c r="Q66" s="49">
        <f t="shared" si="1"/>
        <v>310</v>
      </c>
      <c r="R66" s="714" t="s">
        <v>1852</v>
      </c>
    </row>
    <row r="67" spans="1:22" x14ac:dyDescent="0.25">
      <c r="A67" s="1189">
        <f>Coltura!A65</f>
        <v>64</v>
      </c>
      <c r="B67" s="1189">
        <f>Coltura!B65</f>
        <v>31</v>
      </c>
      <c r="C67" s="1189" t="str">
        <f>Coltura!C65</f>
        <v>E31</v>
      </c>
      <c r="D67" s="1190" t="s">
        <v>645</v>
      </c>
      <c r="E67" s="930" t="str">
        <f>Coltura!D65</f>
        <v>Mais da granella 500-700 (pianta intera)</v>
      </c>
      <c r="F67" s="1186">
        <v>340</v>
      </c>
      <c r="G67" s="41">
        <v>280</v>
      </c>
      <c r="H67" s="41">
        <v>13</v>
      </c>
      <c r="I67" s="41" t="s">
        <v>1111</v>
      </c>
      <c r="J67" s="41" t="s">
        <v>1112</v>
      </c>
      <c r="K67" s="41" t="s">
        <v>571</v>
      </c>
      <c r="L67" s="49">
        <f t="shared" si="0"/>
        <v>13</v>
      </c>
      <c r="M67" s="41">
        <v>86</v>
      </c>
      <c r="N67" s="45">
        <f>Standard!E67</f>
        <v>12</v>
      </c>
      <c r="O67" s="45">
        <f>Standard!F67</f>
        <v>240</v>
      </c>
      <c r="P67" s="45">
        <f>Standard!AU67</f>
        <v>70</v>
      </c>
      <c r="Q67" s="49">
        <f t="shared" si="1"/>
        <v>310</v>
      </c>
      <c r="R67" s="714" t="s">
        <v>1852</v>
      </c>
    </row>
    <row r="68" spans="1:22" x14ac:dyDescent="0.25">
      <c r="A68" s="1189">
        <f>Coltura!A66</f>
        <v>65</v>
      </c>
      <c r="B68" s="1189">
        <f>Coltura!B66</f>
        <v>32</v>
      </c>
      <c r="C68" s="1189" t="str">
        <f>Coltura!C66</f>
        <v>E32</v>
      </c>
      <c r="D68" s="1190" t="s">
        <v>645</v>
      </c>
      <c r="E68" s="930" t="str">
        <f>Coltura!D66</f>
        <v>Mais dolce  (spighe)</v>
      </c>
      <c r="F68" s="1186">
        <v>340</v>
      </c>
      <c r="G68" s="41">
        <v>170</v>
      </c>
      <c r="H68" s="41">
        <v>16</v>
      </c>
      <c r="I68" s="41" t="s">
        <v>1111</v>
      </c>
      <c r="J68" s="41" t="s">
        <v>1113</v>
      </c>
      <c r="K68" s="41" t="s">
        <v>570</v>
      </c>
      <c r="L68" s="49">
        <f t="shared" si="0"/>
        <v>16</v>
      </c>
      <c r="M68" s="41">
        <v>27.5</v>
      </c>
      <c r="N68" s="45">
        <f>Standard!E68</f>
        <v>16</v>
      </c>
      <c r="O68" s="45">
        <f>Standard!F68</f>
        <v>170</v>
      </c>
      <c r="P68" s="45">
        <f>Standard!AU68</f>
        <v>40</v>
      </c>
      <c r="Q68" s="49">
        <f t="shared" si="1"/>
        <v>210</v>
      </c>
      <c r="R68" s="714" t="s">
        <v>1852</v>
      </c>
    </row>
    <row r="69" spans="1:22" x14ac:dyDescent="0.25">
      <c r="A69" s="1189">
        <f>Coltura!A67</f>
        <v>66</v>
      </c>
      <c r="B69" s="1189">
        <f>Coltura!B67</f>
        <v>33</v>
      </c>
      <c r="C69" s="1189" t="str">
        <f>Coltura!C67</f>
        <v>E33</v>
      </c>
      <c r="D69" s="1190" t="s">
        <v>645</v>
      </c>
      <c r="E69" s="930" t="str">
        <f>Coltura!D67</f>
        <v>Mais dolce (pianta intera)</v>
      </c>
      <c r="F69" s="1186">
        <v>340</v>
      </c>
      <c r="G69" s="41">
        <v>170</v>
      </c>
      <c r="H69" s="41">
        <v>16</v>
      </c>
      <c r="I69" s="41" t="s">
        <v>1111</v>
      </c>
      <c r="J69" s="41" t="s">
        <v>1113</v>
      </c>
      <c r="K69" s="41" t="s">
        <v>570</v>
      </c>
      <c r="L69" s="49">
        <f t="shared" si="0"/>
        <v>16</v>
      </c>
      <c r="M69" s="41">
        <v>27.5</v>
      </c>
      <c r="N69" s="45">
        <f>Standard!E69</f>
        <v>16</v>
      </c>
      <c r="O69" s="45">
        <f>Standard!F69</f>
        <v>170</v>
      </c>
      <c r="P69" s="45">
        <f>Standard!AU69</f>
        <v>40</v>
      </c>
      <c r="Q69" s="49">
        <f t="shared" si="1"/>
        <v>210</v>
      </c>
      <c r="R69" s="714" t="s">
        <v>1852</v>
      </c>
    </row>
    <row r="70" spans="1:22" x14ac:dyDescent="0.25">
      <c r="A70" s="1189">
        <f>Coltura!A68</f>
        <v>67</v>
      </c>
      <c r="B70" s="1189">
        <f>Coltura!B68</f>
        <v>34</v>
      </c>
      <c r="C70" s="1189" t="str">
        <f>Coltura!C68</f>
        <v>E34</v>
      </c>
      <c r="D70" s="1190" t="s">
        <v>645</v>
      </c>
      <c r="E70" s="930" t="str">
        <f>Coltura!D68</f>
        <v>Mais trinciato classe 500</v>
      </c>
      <c r="F70" s="1186">
        <v>340</v>
      </c>
      <c r="G70" s="41">
        <v>280</v>
      </c>
      <c r="H70" s="41">
        <v>23</v>
      </c>
      <c r="I70" s="41" t="s">
        <v>1114</v>
      </c>
      <c r="J70" s="41" t="s">
        <v>1115</v>
      </c>
      <c r="K70" s="41" t="s">
        <v>571</v>
      </c>
      <c r="L70" s="49">
        <f t="shared" si="0"/>
        <v>76.666666666666671</v>
      </c>
      <c r="M70" s="41">
        <v>30</v>
      </c>
      <c r="N70" s="45">
        <v>45</v>
      </c>
      <c r="O70" s="45">
        <v>150</v>
      </c>
      <c r="P70" s="45">
        <v>50</v>
      </c>
      <c r="Q70" s="49">
        <f t="shared" si="1"/>
        <v>200</v>
      </c>
      <c r="R70" s="714" t="s">
        <v>1852</v>
      </c>
      <c r="S70" s="41"/>
      <c r="T70" s="41"/>
      <c r="U70" s="41"/>
      <c r="V70" s="41"/>
    </row>
    <row r="71" spans="1:22" x14ac:dyDescent="0.25">
      <c r="A71" s="1189">
        <f>Coltura!A69</f>
        <v>68</v>
      </c>
      <c r="B71" s="1189">
        <f>Coltura!B69</f>
        <v>35</v>
      </c>
      <c r="C71" s="1189" t="str">
        <f>Coltura!C69</f>
        <v>E35</v>
      </c>
      <c r="D71" s="1190" t="s">
        <v>645</v>
      </c>
      <c r="E71" s="930" t="str">
        <f>Coltura!D69</f>
        <v>Mais trinciato classe 700</v>
      </c>
      <c r="F71" s="1186">
        <v>340</v>
      </c>
      <c r="G71" s="41">
        <v>280</v>
      </c>
      <c r="H71" s="41">
        <v>23</v>
      </c>
      <c r="I71" s="41" t="s">
        <v>1114</v>
      </c>
      <c r="J71" s="41" t="s">
        <v>1115</v>
      </c>
      <c r="K71" s="41" t="s">
        <v>571</v>
      </c>
      <c r="L71" s="49">
        <f t="shared" si="0"/>
        <v>76.666666666666671</v>
      </c>
      <c r="M71" s="41">
        <v>30</v>
      </c>
      <c r="N71" s="45">
        <v>65</v>
      </c>
      <c r="O71" s="45">
        <v>240</v>
      </c>
      <c r="P71" s="45">
        <v>70</v>
      </c>
      <c r="Q71" s="49">
        <f t="shared" si="1"/>
        <v>310</v>
      </c>
      <c r="R71" s="714" t="s">
        <v>1852</v>
      </c>
    </row>
    <row r="72" spans="1:22" x14ac:dyDescent="0.25">
      <c r="A72" s="1189">
        <f>Coltura!A70</f>
        <v>69</v>
      </c>
      <c r="B72" s="1189">
        <f>Coltura!B70</f>
        <v>36</v>
      </c>
      <c r="C72" s="1189" t="str">
        <f>Coltura!C70</f>
        <v>E36</v>
      </c>
      <c r="D72" s="1190" t="s">
        <v>645</v>
      </c>
      <c r="E72" s="930" t="str">
        <f>Coltura!D70</f>
        <v>Orzo (granella)</v>
      </c>
      <c r="F72" s="1186">
        <v>340</v>
      </c>
      <c r="G72" s="41">
        <v>150</v>
      </c>
      <c r="H72" s="41">
        <v>6</v>
      </c>
      <c r="I72" s="41" t="s">
        <v>1111</v>
      </c>
      <c r="J72" s="41" t="s">
        <v>1112</v>
      </c>
      <c r="K72" s="41" t="s">
        <v>570</v>
      </c>
      <c r="L72" s="49">
        <f t="shared" si="0"/>
        <v>6</v>
      </c>
      <c r="M72" s="41">
        <v>87</v>
      </c>
      <c r="N72" s="45">
        <f>Standard!E72</f>
        <v>6.5</v>
      </c>
      <c r="O72" s="45">
        <f>Standard!F72</f>
        <v>125</v>
      </c>
      <c r="P72" s="45">
        <f>Standard!AU72</f>
        <v>40</v>
      </c>
      <c r="Q72" s="49">
        <f t="shared" si="1"/>
        <v>165</v>
      </c>
      <c r="R72" s="714" t="s">
        <v>1852</v>
      </c>
    </row>
    <row r="73" spans="1:22" x14ac:dyDescent="0.25">
      <c r="A73" s="1189">
        <f>Coltura!A71</f>
        <v>70</v>
      </c>
      <c r="B73" s="1189">
        <f>Coltura!B71</f>
        <v>37</v>
      </c>
      <c r="C73" s="1189" t="str">
        <f>Coltura!C71</f>
        <v>E37</v>
      </c>
      <c r="D73" s="1190" t="s">
        <v>645</v>
      </c>
      <c r="E73" s="930" t="str">
        <f>Coltura!D71</f>
        <v>Orzo (pianta intera)</v>
      </c>
      <c r="F73" s="1186">
        <v>340</v>
      </c>
      <c r="G73" s="41">
        <v>150</v>
      </c>
      <c r="H73" s="41">
        <v>6</v>
      </c>
      <c r="I73" s="41" t="s">
        <v>1111</v>
      </c>
      <c r="J73" s="41" t="s">
        <v>1112</v>
      </c>
      <c r="K73" s="41" t="s">
        <v>570</v>
      </c>
      <c r="L73" s="49">
        <f t="shared" si="0"/>
        <v>6</v>
      </c>
      <c r="M73" s="41">
        <v>87</v>
      </c>
      <c r="N73" s="45">
        <f>Standard!E73</f>
        <v>6.5</v>
      </c>
      <c r="O73" s="45">
        <f>Standard!F73</f>
        <v>125</v>
      </c>
      <c r="P73" s="45">
        <f>Standard!AU73</f>
        <v>40</v>
      </c>
      <c r="Q73" s="49">
        <f t="shared" si="1"/>
        <v>165</v>
      </c>
      <c r="R73" s="714" t="s">
        <v>1852</v>
      </c>
    </row>
    <row r="74" spans="1:22" x14ac:dyDescent="0.25">
      <c r="A74" s="1189">
        <f>Coltura!A72</f>
        <v>71</v>
      </c>
      <c r="B74" s="1189">
        <f>Coltura!B72</f>
        <v>38</v>
      </c>
      <c r="C74" s="1189" t="str">
        <f>Coltura!C72</f>
        <v>E38</v>
      </c>
      <c r="D74" s="1190" t="s">
        <v>645</v>
      </c>
      <c r="E74" s="930" t="str">
        <f>Coltura!D72</f>
        <v>Panico</v>
      </c>
      <c r="F74" s="1186">
        <v>340</v>
      </c>
      <c r="G74" s="41" t="s">
        <v>645</v>
      </c>
      <c r="H74" s="41" t="s">
        <v>645</v>
      </c>
      <c r="I74" s="41" t="s">
        <v>645</v>
      </c>
      <c r="J74" s="41" t="s">
        <v>645</v>
      </c>
      <c r="K74" s="41" t="s">
        <v>570</v>
      </c>
      <c r="L74" s="49" t="b">
        <f t="shared" si="0"/>
        <v>0</v>
      </c>
      <c r="M74" s="41">
        <v>85</v>
      </c>
      <c r="N74" s="45" t="str">
        <f>Standard!E74</f>
        <v>nd</v>
      </c>
      <c r="O74" s="45" t="str">
        <f>Standard!F74</f>
        <v>nd</v>
      </c>
      <c r="P74" s="45">
        <f>Standard!AU74</f>
        <v>0</v>
      </c>
      <c r="Q74" s="49" t="e">
        <f t="shared" si="1"/>
        <v>#VALUE!</v>
      </c>
      <c r="R74" s="714"/>
    </row>
    <row r="75" spans="1:22" x14ac:dyDescent="0.25">
      <c r="A75" s="1189">
        <f>Coltura!A73</f>
        <v>72</v>
      </c>
      <c r="B75" s="1189">
        <f>Coltura!B73</f>
        <v>39</v>
      </c>
      <c r="C75" s="1189" t="str">
        <f>Coltura!C73</f>
        <v>E39</v>
      </c>
      <c r="D75" s="1190" t="s">
        <v>645</v>
      </c>
      <c r="E75" s="930" t="str">
        <f>Coltura!D73</f>
        <v>Pisello proteico</v>
      </c>
      <c r="F75" s="1186">
        <v>50</v>
      </c>
      <c r="G75" s="41" t="s">
        <v>645</v>
      </c>
      <c r="H75" s="41" t="s">
        <v>645</v>
      </c>
      <c r="I75" s="41" t="s">
        <v>645</v>
      </c>
      <c r="J75" s="41" t="s">
        <v>645</v>
      </c>
      <c r="K75" s="41" t="s">
        <v>570</v>
      </c>
      <c r="L75" s="49" t="b">
        <f t="shared" si="0"/>
        <v>0</v>
      </c>
      <c r="M75" s="41">
        <v>87</v>
      </c>
      <c r="N75" s="45">
        <f>Standard!E75</f>
        <v>5</v>
      </c>
      <c r="O75" s="45">
        <f>Standard!F75</f>
        <v>40</v>
      </c>
      <c r="P75" s="45">
        <f>Standard!AU75</f>
        <v>20</v>
      </c>
      <c r="Q75" s="49">
        <f t="shared" si="1"/>
        <v>60</v>
      </c>
      <c r="R75" s="714" t="s">
        <v>1852</v>
      </c>
    </row>
    <row r="76" spans="1:22" x14ac:dyDescent="0.25">
      <c r="A76" s="1189">
        <f>Coltura!A74</f>
        <v>73</v>
      </c>
      <c r="B76" s="1189">
        <f>Coltura!B74</f>
        <v>40</v>
      </c>
      <c r="C76" s="1189" t="str">
        <f>Coltura!C74</f>
        <v>E40</v>
      </c>
      <c r="D76" s="1190" t="s">
        <v>645</v>
      </c>
      <c r="E76" s="930" t="str">
        <f>Coltura!D74</f>
        <v>Pisello proteico + residui</v>
      </c>
      <c r="F76" s="1186">
        <v>50</v>
      </c>
      <c r="G76" s="41" t="s">
        <v>645</v>
      </c>
      <c r="H76" s="41" t="s">
        <v>645</v>
      </c>
      <c r="I76" s="41" t="s">
        <v>645</v>
      </c>
      <c r="J76" s="41" t="s">
        <v>645</v>
      </c>
      <c r="K76" s="41" t="s">
        <v>570</v>
      </c>
      <c r="L76" s="49" t="b">
        <f t="shared" ref="L76:L157" si="7">IF(I76="tq",H76,IF(I76="s.s.",(H76/(M76/100))))</f>
        <v>0</v>
      </c>
      <c r="M76" s="41">
        <v>87</v>
      </c>
      <c r="N76" s="45">
        <f>Standard!E76</f>
        <v>5</v>
      </c>
      <c r="O76" s="45">
        <f>Standard!F76</f>
        <v>40</v>
      </c>
      <c r="P76" s="45">
        <f>Standard!AU76</f>
        <v>20</v>
      </c>
      <c r="Q76" s="49">
        <f t="shared" ref="Q76:Q157" si="8">(O76+P76)</f>
        <v>60</v>
      </c>
      <c r="R76" s="714" t="s">
        <v>1852</v>
      </c>
    </row>
    <row r="77" spans="1:22" x14ac:dyDescent="0.25">
      <c r="A77" s="1189">
        <f>Coltura!A75</f>
        <v>74</v>
      </c>
      <c r="B77" s="1189">
        <f>Coltura!B75</f>
        <v>41</v>
      </c>
      <c r="C77" s="1189" t="str">
        <f>Coltura!C75</f>
        <v>E41</v>
      </c>
      <c r="D77" s="1190" t="s">
        <v>645</v>
      </c>
      <c r="E77" s="930" t="str">
        <f>Coltura!D75</f>
        <v>Rafano (da sovescio)</v>
      </c>
      <c r="F77" s="1186">
        <v>340</v>
      </c>
      <c r="G77" s="41" t="s">
        <v>645</v>
      </c>
      <c r="H77" s="41" t="s">
        <v>645</v>
      </c>
      <c r="I77" s="41" t="s">
        <v>645</v>
      </c>
      <c r="J77" s="41" t="s">
        <v>645</v>
      </c>
      <c r="K77" s="41" t="s">
        <v>570</v>
      </c>
      <c r="L77" s="49" t="b">
        <f t="shared" si="7"/>
        <v>0</v>
      </c>
      <c r="M77" s="41">
        <v>15</v>
      </c>
      <c r="N77" s="45" t="str">
        <f>Standard!E77</f>
        <v>nd</v>
      </c>
      <c r="O77" s="45" t="str">
        <f>Standard!F77</f>
        <v>nd</v>
      </c>
      <c r="P77" s="45">
        <f>Standard!AU77</f>
        <v>0</v>
      </c>
      <c r="Q77" s="49" t="e">
        <f t="shared" si="8"/>
        <v>#VALUE!</v>
      </c>
      <c r="R77" s="714"/>
    </row>
    <row r="78" spans="1:22" x14ac:dyDescent="0.25">
      <c r="A78" s="1189">
        <f>Coltura!A76</f>
        <v>75</v>
      </c>
      <c r="B78" s="1189">
        <f>Coltura!B76</f>
        <v>42</v>
      </c>
      <c r="C78" s="1189" t="str">
        <f>Coltura!C76</f>
        <v>E42</v>
      </c>
      <c r="D78" s="1190" t="s">
        <v>645</v>
      </c>
      <c r="E78" s="930" t="str">
        <f>Coltura!D76</f>
        <v>Riso (granella)</v>
      </c>
      <c r="F78" s="1186">
        <v>340</v>
      </c>
      <c r="G78" s="41">
        <v>160</v>
      </c>
      <c r="H78" s="41">
        <v>7</v>
      </c>
      <c r="I78" s="41" t="s">
        <v>1111</v>
      </c>
      <c r="J78" s="41" t="s">
        <v>1112</v>
      </c>
      <c r="K78" s="41" t="s">
        <v>570</v>
      </c>
      <c r="L78" s="49">
        <f t="shared" si="7"/>
        <v>7</v>
      </c>
      <c r="M78" s="41">
        <v>86</v>
      </c>
      <c r="N78" s="45">
        <f>Standard!E78</f>
        <v>7</v>
      </c>
      <c r="O78" s="45">
        <f>Standard!F78</f>
        <v>110</v>
      </c>
      <c r="P78" s="45">
        <f>Standard!AU78</f>
        <v>40</v>
      </c>
      <c r="Q78" s="49">
        <f t="shared" si="8"/>
        <v>150</v>
      </c>
      <c r="R78" s="714" t="s">
        <v>1852</v>
      </c>
    </row>
    <row r="79" spans="1:22" x14ac:dyDescent="0.25">
      <c r="A79" s="1189">
        <f>Coltura!A77</f>
        <v>76</v>
      </c>
      <c r="B79" s="1189">
        <f>Coltura!B77</f>
        <v>43</v>
      </c>
      <c r="C79" s="1189" t="str">
        <f>Coltura!C77</f>
        <v>E43</v>
      </c>
      <c r="D79" s="1190" t="s">
        <v>645</v>
      </c>
      <c r="E79" s="930" t="str">
        <f>Coltura!D77</f>
        <v>Riso (granella+paglia)</v>
      </c>
      <c r="F79" s="1186">
        <v>340</v>
      </c>
      <c r="G79" s="41">
        <v>160</v>
      </c>
      <c r="H79" s="41">
        <v>7</v>
      </c>
      <c r="I79" s="41" t="s">
        <v>1111</v>
      </c>
      <c r="J79" s="41" t="s">
        <v>1112</v>
      </c>
      <c r="K79" s="41" t="s">
        <v>570</v>
      </c>
      <c r="L79" s="49">
        <f t="shared" si="7"/>
        <v>7</v>
      </c>
      <c r="M79" s="41">
        <v>86</v>
      </c>
      <c r="N79" s="45">
        <f>Standard!E79</f>
        <v>7</v>
      </c>
      <c r="O79" s="45">
        <f>Standard!F79</f>
        <v>110</v>
      </c>
      <c r="P79" s="45">
        <f>Standard!AU79</f>
        <v>40</v>
      </c>
      <c r="Q79" s="49">
        <f t="shared" si="8"/>
        <v>150</v>
      </c>
      <c r="R79" s="714" t="s">
        <v>1852</v>
      </c>
    </row>
    <row r="80" spans="1:22" x14ac:dyDescent="0.25">
      <c r="A80" s="1189">
        <f>Coltura!A78</f>
        <v>77</v>
      </c>
      <c r="B80" s="1189">
        <f>Coltura!B78</f>
        <v>44</v>
      </c>
      <c r="C80" s="1189" t="str">
        <f>Coltura!C78</f>
        <v>E44</v>
      </c>
      <c r="D80" s="1190" t="s">
        <v>645</v>
      </c>
      <c r="E80" s="930" t="str">
        <f>Coltura!D78</f>
        <v>Segale (granella)</v>
      </c>
      <c r="F80" s="1186">
        <v>340</v>
      </c>
      <c r="G80" s="41">
        <v>120</v>
      </c>
      <c r="H80" s="41">
        <v>4.5</v>
      </c>
      <c r="I80" s="41" t="s">
        <v>1111</v>
      </c>
      <c r="J80" s="41" t="s">
        <v>1112</v>
      </c>
      <c r="K80" s="41" t="s">
        <v>570</v>
      </c>
      <c r="L80" s="49">
        <f t="shared" si="7"/>
        <v>4.5</v>
      </c>
      <c r="M80" s="41">
        <v>87</v>
      </c>
      <c r="N80" s="45">
        <f>Standard!E80</f>
        <v>4</v>
      </c>
      <c r="O80" s="45">
        <f>Standard!F80</f>
        <v>100</v>
      </c>
      <c r="P80" s="45">
        <f>Standard!AU80</f>
        <v>50</v>
      </c>
      <c r="Q80" s="49">
        <f t="shared" si="8"/>
        <v>150</v>
      </c>
      <c r="R80" s="714" t="s">
        <v>1852</v>
      </c>
    </row>
    <row r="81" spans="1:18" x14ac:dyDescent="0.25">
      <c r="A81" s="1189">
        <f>Coltura!A79</f>
        <v>78</v>
      </c>
      <c r="B81" s="1189">
        <f>Coltura!B79</f>
        <v>45</v>
      </c>
      <c r="C81" s="1189" t="str">
        <f>Coltura!C79</f>
        <v>E45</v>
      </c>
      <c r="D81" s="1190" t="s">
        <v>645</v>
      </c>
      <c r="E81" s="930" t="str">
        <f>Coltura!D79</f>
        <v>Segale pianta intera</v>
      </c>
      <c r="F81" s="1186">
        <v>340</v>
      </c>
      <c r="G81" s="41">
        <v>120</v>
      </c>
      <c r="H81" s="41">
        <v>4.5</v>
      </c>
      <c r="I81" s="41" t="s">
        <v>1111</v>
      </c>
      <c r="J81" s="41" t="s">
        <v>1112</v>
      </c>
      <c r="K81" s="41" t="s">
        <v>570</v>
      </c>
      <c r="L81" s="49">
        <f t="shared" si="7"/>
        <v>4.5</v>
      </c>
      <c r="M81" s="41">
        <v>87</v>
      </c>
      <c r="N81" s="45">
        <f>Standard!E81</f>
        <v>4</v>
      </c>
      <c r="O81" s="45">
        <f>Standard!F81</f>
        <v>100</v>
      </c>
      <c r="P81" s="45">
        <f>Standard!AU81</f>
        <v>50</v>
      </c>
      <c r="Q81" s="49">
        <f t="shared" si="8"/>
        <v>150</v>
      </c>
      <c r="R81" s="714" t="s">
        <v>1852</v>
      </c>
    </row>
    <row r="82" spans="1:18" x14ac:dyDescent="0.25">
      <c r="A82" s="1189">
        <f>Coltura!A80</f>
        <v>79</v>
      </c>
      <c r="B82" s="1189">
        <f>Coltura!B80</f>
        <v>46</v>
      </c>
      <c r="C82" s="1189" t="str">
        <f>Coltura!C80</f>
        <v>E46</v>
      </c>
      <c r="D82" s="1190" t="s">
        <v>645</v>
      </c>
      <c r="E82" s="930" t="str">
        <f>Coltura!D80</f>
        <v>Senape indiana</v>
      </c>
      <c r="F82" s="1186">
        <v>340</v>
      </c>
      <c r="G82" s="41" t="s">
        <v>645</v>
      </c>
      <c r="H82" s="41" t="s">
        <v>645</v>
      </c>
      <c r="I82" s="41" t="s">
        <v>645</v>
      </c>
      <c r="J82" s="41" t="s">
        <v>645</v>
      </c>
      <c r="K82" s="41" t="s">
        <v>570</v>
      </c>
      <c r="L82" s="49" t="b">
        <f t="shared" si="7"/>
        <v>0</v>
      </c>
      <c r="M82" s="41">
        <v>90</v>
      </c>
      <c r="N82" s="45" t="str">
        <f>Standard!E82</f>
        <v>nd</v>
      </c>
      <c r="O82" s="45" t="str">
        <f>Standard!F82</f>
        <v>nd</v>
      </c>
      <c r="P82" s="45">
        <f>Standard!AU82</f>
        <v>0</v>
      </c>
      <c r="Q82" s="49" t="e">
        <f t="shared" si="8"/>
        <v>#VALUE!</v>
      </c>
      <c r="R82" s="714"/>
    </row>
    <row r="83" spans="1:18" x14ac:dyDescent="0.25">
      <c r="A83" s="1189">
        <f>Coltura!A81</f>
        <v>80</v>
      </c>
      <c r="B83" s="1189">
        <f>Coltura!B81</f>
        <v>47</v>
      </c>
      <c r="C83" s="1189" t="str">
        <f>Coltura!C81</f>
        <v>E47</v>
      </c>
      <c r="D83" s="1190" t="s">
        <v>645</v>
      </c>
      <c r="E83" s="930" t="str">
        <f>Coltura!D81</f>
        <v>Soia (granella)</v>
      </c>
      <c r="F83" s="1186">
        <v>120</v>
      </c>
      <c r="G83" s="41">
        <v>30</v>
      </c>
      <c r="H83" s="1192">
        <v>3.5</v>
      </c>
      <c r="I83" s="823" t="s">
        <v>1111</v>
      </c>
      <c r="J83" s="823" t="s">
        <v>1112</v>
      </c>
      <c r="K83" s="41" t="s">
        <v>570</v>
      </c>
      <c r="L83" s="49">
        <f t="shared" si="7"/>
        <v>3.5</v>
      </c>
      <c r="M83" s="41">
        <v>86</v>
      </c>
      <c r="N83" s="45">
        <f>Standard!E83</f>
        <v>3.5</v>
      </c>
      <c r="O83" s="45">
        <f>Standard!F83</f>
        <v>0</v>
      </c>
      <c r="P83" s="45">
        <f>Standard!AU83</f>
        <v>120</v>
      </c>
      <c r="Q83" s="49">
        <f t="shared" si="8"/>
        <v>120</v>
      </c>
      <c r="R83" s="714" t="s">
        <v>1852</v>
      </c>
    </row>
    <row r="84" spans="1:18" x14ac:dyDescent="0.25">
      <c r="A84" s="1189">
        <f>Coltura!A82</f>
        <v>81</v>
      </c>
      <c r="B84" s="1189">
        <f>Coltura!B82</f>
        <v>48</v>
      </c>
      <c r="C84" s="1189" t="str">
        <f>Coltura!C82</f>
        <v>E48</v>
      </c>
      <c r="D84" s="1190" t="s">
        <v>645</v>
      </c>
      <c r="E84" s="930" t="str">
        <f>Coltura!D82</f>
        <v>Soia (pianta intera)</v>
      </c>
      <c r="F84" s="1186">
        <v>120</v>
      </c>
      <c r="G84" s="41">
        <v>30</v>
      </c>
      <c r="H84" s="1192">
        <v>3.5</v>
      </c>
      <c r="I84" s="823" t="s">
        <v>1111</v>
      </c>
      <c r="J84" s="823" t="s">
        <v>1112</v>
      </c>
      <c r="K84" s="41" t="s">
        <v>570</v>
      </c>
      <c r="L84" s="49">
        <f t="shared" si="7"/>
        <v>3.5</v>
      </c>
      <c r="M84" s="41">
        <v>86</v>
      </c>
      <c r="N84" s="45">
        <f>Standard!E84</f>
        <v>3.5</v>
      </c>
      <c r="O84" s="45">
        <f>Standard!F84</f>
        <v>0</v>
      </c>
      <c r="P84" s="45">
        <f>Standard!AU84</f>
        <v>120</v>
      </c>
      <c r="Q84" s="49">
        <f t="shared" si="8"/>
        <v>120</v>
      </c>
      <c r="R84" s="714" t="s">
        <v>1852</v>
      </c>
    </row>
    <row r="85" spans="1:18" x14ac:dyDescent="0.25">
      <c r="A85" s="1189">
        <f>Coltura!A83</f>
        <v>82</v>
      </c>
      <c r="B85" s="1189">
        <f>Coltura!B83</f>
        <v>49</v>
      </c>
      <c r="C85" s="1189" t="str">
        <f>Coltura!C83</f>
        <v>E49</v>
      </c>
      <c r="D85" s="1190" t="s">
        <v>645</v>
      </c>
      <c r="E85" s="930" t="str">
        <f>Coltura!D83</f>
        <v>Sorgo da foraggio</v>
      </c>
      <c r="F85" s="1186">
        <v>340</v>
      </c>
      <c r="G85" s="41" t="s">
        <v>645</v>
      </c>
      <c r="H85" s="41" t="s">
        <v>645</v>
      </c>
      <c r="I85" s="41" t="s">
        <v>645</v>
      </c>
      <c r="J85" s="41" t="s">
        <v>645</v>
      </c>
      <c r="K85" s="41" t="s">
        <v>570</v>
      </c>
      <c r="L85" s="49" t="b">
        <f t="shared" si="7"/>
        <v>0</v>
      </c>
      <c r="M85" s="41">
        <v>30</v>
      </c>
      <c r="N85" s="45" t="str">
        <f>Standard!E85</f>
        <v>nd</v>
      </c>
      <c r="O85" s="45" t="str">
        <f>Standard!F85</f>
        <v>nd</v>
      </c>
      <c r="P85" s="45">
        <f>Standard!AU85</f>
        <v>0</v>
      </c>
      <c r="Q85" s="49" t="e">
        <f t="shared" si="8"/>
        <v>#VALUE!</v>
      </c>
      <c r="R85" s="714"/>
    </row>
    <row r="86" spans="1:18" x14ac:dyDescent="0.25">
      <c r="A86" s="1189">
        <f>Coltura!A84</f>
        <v>83</v>
      </c>
      <c r="B86" s="1189">
        <f>Coltura!B84</f>
        <v>50</v>
      </c>
      <c r="C86" s="1189" t="str">
        <f>Coltura!C84</f>
        <v>E50</v>
      </c>
      <c r="D86" s="1190" t="s">
        <v>645</v>
      </c>
      <c r="E86" s="930" t="str">
        <f>Coltura!D84</f>
        <v>Sorgo da granella  (solo granella)</v>
      </c>
      <c r="F86" s="1186">
        <v>340</v>
      </c>
      <c r="G86" s="41">
        <v>220</v>
      </c>
      <c r="H86" s="41">
        <v>7.5</v>
      </c>
      <c r="I86" s="41" t="s">
        <v>1111</v>
      </c>
      <c r="J86" s="41" t="s">
        <v>1112</v>
      </c>
      <c r="K86" s="41" t="s">
        <v>570</v>
      </c>
      <c r="L86" s="49">
        <f t="shared" si="7"/>
        <v>7.5</v>
      </c>
      <c r="M86" s="41">
        <v>86</v>
      </c>
      <c r="N86" s="45">
        <f>Standard!E86</f>
        <v>7.5</v>
      </c>
      <c r="O86" s="45">
        <f>Standard!F86</f>
        <v>160</v>
      </c>
      <c r="P86" s="45">
        <f>Standard!AU86</f>
        <v>30</v>
      </c>
      <c r="Q86" s="49">
        <f t="shared" si="8"/>
        <v>190</v>
      </c>
      <c r="R86" s="714" t="s">
        <v>1852</v>
      </c>
    </row>
    <row r="87" spans="1:18" x14ac:dyDescent="0.25">
      <c r="A87" s="1189">
        <f>Coltura!A85</f>
        <v>84</v>
      </c>
      <c r="B87" s="1189">
        <f>Coltura!B85</f>
        <v>51</v>
      </c>
      <c r="C87" s="1189" t="str">
        <f>Coltura!C85</f>
        <v>E51</v>
      </c>
      <c r="D87" s="1190" t="s">
        <v>645</v>
      </c>
      <c r="E87" s="930" t="str">
        <f>Coltura!D85</f>
        <v>Sorgo da granella (pianta intera)</v>
      </c>
      <c r="F87" s="1186">
        <v>340</v>
      </c>
      <c r="G87" s="41">
        <v>220</v>
      </c>
      <c r="H87" s="41">
        <v>7.5</v>
      </c>
      <c r="I87" s="41" t="s">
        <v>1111</v>
      </c>
      <c r="J87" s="41" t="s">
        <v>1112</v>
      </c>
      <c r="K87" s="41" t="s">
        <v>570</v>
      </c>
      <c r="L87" s="49">
        <f t="shared" si="7"/>
        <v>7.5</v>
      </c>
      <c r="M87" s="41">
        <v>86</v>
      </c>
      <c r="N87" s="45">
        <f>Standard!E87</f>
        <v>7.5</v>
      </c>
      <c r="O87" s="45">
        <f>Standard!F87</f>
        <v>160</v>
      </c>
      <c r="P87" s="45">
        <f>Standard!AU87</f>
        <v>30</v>
      </c>
      <c r="Q87" s="49">
        <f t="shared" si="8"/>
        <v>190</v>
      </c>
      <c r="R87" s="714" t="s">
        <v>1852</v>
      </c>
    </row>
    <row r="88" spans="1:18" x14ac:dyDescent="0.25">
      <c r="A88" s="1189">
        <f>Coltura!A86</f>
        <v>85</v>
      </c>
      <c r="B88" s="1189">
        <f>Coltura!B86</f>
        <v>52</v>
      </c>
      <c r="C88" s="1189" t="str">
        <f>Coltura!C86</f>
        <v>E52</v>
      </c>
      <c r="D88" s="1190" t="s">
        <v>645</v>
      </c>
      <c r="E88" s="930" t="str">
        <f>Coltura!D86</f>
        <v>Tabacco Bright</v>
      </c>
      <c r="F88" s="1186">
        <v>340</v>
      </c>
      <c r="G88" s="41">
        <v>200</v>
      </c>
      <c r="H88" s="41">
        <v>4.4000000000000004</v>
      </c>
      <c r="I88" s="41" t="s">
        <v>1111</v>
      </c>
      <c r="J88" s="41"/>
      <c r="K88" s="41" t="s">
        <v>570</v>
      </c>
      <c r="L88" s="49">
        <f t="shared" si="7"/>
        <v>4.4000000000000004</v>
      </c>
      <c r="M88" s="41">
        <v>81</v>
      </c>
      <c r="N88" s="45" t="str">
        <f>Standard!E88</f>
        <v>nd</v>
      </c>
      <c r="O88" s="45" t="str">
        <f>Standard!F88</f>
        <v>nd</v>
      </c>
      <c r="P88" s="45">
        <f>Standard!AU88</f>
        <v>0</v>
      </c>
      <c r="Q88" s="49" t="e">
        <f t="shared" si="8"/>
        <v>#VALUE!</v>
      </c>
      <c r="R88" s="714"/>
    </row>
    <row r="89" spans="1:18" x14ac:dyDescent="0.25">
      <c r="A89" s="1189">
        <f>Coltura!A87</f>
        <v>86</v>
      </c>
      <c r="B89" s="1189">
        <f>Coltura!B87</f>
        <v>53</v>
      </c>
      <c r="C89" s="1189" t="str">
        <f>Coltura!C87</f>
        <v>E53</v>
      </c>
      <c r="D89" s="1190" t="s">
        <v>645</v>
      </c>
      <c r="E89" s="930" t="str">
        <f>Coltura!D87</f>
        <v>Tabacco Bright pianta intera</v>
      </c>
      <c r="F89" s="1186">
        <v>340</v>
      </c>
      <c r="G89" s="41">
        <v>200</v>
      </c>
      <c r="H89" s="41">
        <v>4.4000000000000004</v>
      </c>
      <c r="I89" s="41" t="s">
        <v>1111</v>
      </c>
      <c r="J89" s="41"/>
      <c r="K89" s="41" t="s">
        <v>570</v>
      </c>
      <c r="L89" s="49">
        <f t="shared" si="7"/>
        <v>4.4000000000000004</v>
      </c>
      <c r="M89" s="41">
        <v>81</v>
      </c>
      <c r="N89" s="45" t="str">
        <f>Standard!E89</f>
        <v>nd</v>
      </c>
      <c r="O89" s="45" t="str">
        <f>Standard!F89</f>
        <v>nd</v>
      </c>
      <c r="P89" s="45">
        <f>Standard!AU89</f>
        <v>0</v>
      </c>
      <c r="Q89" s="49" t="e">
        <f t="shared" si="8"/>
        <v>#VALUE!</v>
      </c>
      <c r="R89" s="714"/>
    </row>
    <row r="90" spans="1:18" x14ac:dyDescent="0.25">
      <c r="A90" s="1189">
        <f>Coltura!A88</f>
        <v>87</v>
      </c>
      <c r="B90" s="1189">
        <f>Coltura!B88</f>
        <v>54</v>
      </c>
      <c r="C90" s="1189" t="str">
        <f>Coltura!C88</f>
        <v>E54</v>
      </c>
      <c r="D90" s="1190" t="s">
        <v>645</v>
      </c>
      <c r="E90" s="930" t="str">
        <f>Coltura!D88</f>
        <v>Tabacco Burley</v>
      </c>
      <c r="F90" s="1186">
        <v>340</v>
      </c>
      <c r="G90" s="41">
        <v>200</v>
      </c>
      <c r="H90" s="41">
        <v>4.4000000000000004</v>
      </c>
      <c r="I90" s="41" t="s">
        <v>1111</v>
      </c>
      <c r="J90" s="41"/>
      <c r="K90" s="41" t="s">
        <v>570</v>
      </c>
      <c r="L90" s="49">
        <f t="shared" si="7"/>
        <v>4.4000000000000004</v>
      </c>
      <c r="M90" s="41">
        <v>81</v>
      </c>
      <c r="N90" s="45" t="str">
        <f>Standard!E90</f>
        <v>nd</v>
      </c>
      <c r="O90" s="45" t="str">
        <f>Standard!F90</f>
        <v>nd</v>
      </c>
      <c r="P90" s="45">
        <f>Standard!AU90</f>
        <v>0</v>
      </c>
      <c r="Q90" s="49" t="e">
        <f t="shared" si="8"/>
        <v>#VALUE!</v>
      </c>
      <c r="R90" s="714"/>
    </row>
    <row r="91" spans="1:18" x14ac:dyDescent="0.25">
      <c r="A91" s="1189">
        <f>Coltura!A89</f>
        <v>88</v>
      </c>
      <c r="B91" s="1189">
        <f>Coltura!B89</f>
        <v>55</v>
      </c>
      <c r="C91" s="1189" t="str">
        <f>Coltura!C89</f>
        <v>E55</v>
      </c>
      <c r="D91" s="1190" t="s">
        <v>645</v>
      </c>
      <c r="E91" s="930" t="str">
        <f>Coltura!D89</f>
        <v>Tabacco Burley pianta intera</v>
      </c>
      <c r="F91" s="1186">
        <v>340</v>
      </c>
      <c r="G91" s="41">
        <v>200</v>
      </c>
      <c r="H91" s="41">
        <v>4.4000000000000004</v>
      </c>
      <c r="I91" s="41" t="s">
        <v>1111</v>
      </c>
      <c r="J91" s="41"/>
      <c r="K91" s="41" t="s">
        <v>570</v>
      </c>
      <c r="L91" s="49">
        <f t="shared" si="7"/>
        <v>4.4000000000000004</v>
      </c>
      <c r="M91" s="41">
        <v>81</v>
      </c>
      <c r="N91" s="45" t="str">
        <f>Standard!E91</f>
        <v>nd</v>
      </c>
      <c r="O91" s="45" t="str">
        <f>Standard!F91</f>
        <v>nd</v>
      </c>
      <c r="P91" s="45">
        <f>Standard!AU91</f>
        <v>0</v>
      </c>
      <c r="Q91" s="49" t="e">
        <f t="shared" si="8"/>
        <v>#VALUE!</v>
      </c>
      <c r="R91" s="714"/>
    </row>
    <row r="92" spans="1:18" x14ac:dyDescent="0.25">
      <c r="A92" s="1189">
        <f>Coltura!A90</f>
        <v>89</v>
      </c>
      <c r="B92" s="1189">
        <f>Coltura!B90</f>
        <v>56</v>
      </c>
      <c r="C92" s="1189" t="str">
        <f>Coltura!C90</f>
        <v>E56</v>
      </c>
      <c r="D92" s="1190" t="s">
        <v>645</v>
      </c>
      <c r="E92" s="930" t="str">
        <f>Coltura!D90</f>
        <v>Triticale</v>
      </c>
      <c r="F92" s="1186">
        <v>340</v>
      </c>
      <c r="G92" s="41">
        <v>150</v>
      </c>
      <c r="H92" s="41">
        <v>6</v>
      </c>
      <c r="I92" s="41" t="s">
        <v>1111</v>
      </c>
      <c r="J92" s="41" t="s">
        <v>1112</v>
      </c>
      <c r="K92" s="41" t="s">
        <v>570</v>
      </c>
      <c r="L92" s="49">
        <f t="shared" si="7"/>
        <v>6</v>
      </c>
      <c r="M92" s="41">
        <v>87</v>
      </c>
      <c r="N92" s="45">
        <f>Standard!E92</f>
        <v>7.5</v>
      </c>
      <c r="O92" s="45">
        <f>Standard!F92</f>
        <v>140</v>
      </c>
      <c r="P92" s="45">
        <f>Standard!AU92</f>
        <v>50</v>
      </c>
      <c r="Q92" s="49">
        <f t="shared" si="8"/>
        <v>190</v>
      </c>
      <c r="R92" s="714" t="s">
        <v>1852</v>
      </c>
    </row>
    <row r="93" spans="1:18" x14ac:dyDescent="0.25">
      <c r="A93" s="1189">
        <f>Coltura!A91</f>
        <v>90</v>
      </c>
      <c r="B93" s="1189">
        <f>Coltura!B91</f>
        <v>57</v>
      </c>
      <c r="C93" s="1189" t="str">
        <f>Coltura!C91</f>
        <v>E57</v>
      </c>
      <c r="D93" s="1190" t="s">
        <v>645</v>
      </c>
      <c r="E93" s="930" t="str">
        <f>Coltura!D91</f>
        <v>Triticale pianta intera</v>
      </c>
      <c r="F93" s="1186">
        <v>340</v>
      </c>
      <c r="G93" s="41">
        <v>150</v>
      </c>
      <c r="H93" s="41">
        <v>6</v>
      </c>
      <c r="I93" s="41" t="s">
        <v>1111</v>
      </c>
      <c r="J93" s="41" t="s">
        <v>1112</v>
      </c>
      <c r="K93" s="41" t="s">
        <v>570</v>
      </c>
      <c r="L93" s="49">
        <f t="shared" si="7"/>
        <v>6</v>
      </c>
      <c r="M93" s="41">
        <v>87</v>
      </c>
      <c r="N93" s="45">
        <f>Standard!E93</f>
        <v>7.5</v>
      </c>
      <c r="O93" s="45">
        <f>Standard!F93</f>
        <v>140</v>
      </c>
      <c r="P93" s="45">
        <f>Standard!AU93</f>
        <v>50</v>
      </c>
      <c r="Q93" s="49">
        <f t="shared" si="8"/>
        <v>190</v>
      </c>
      <c r="R93" s="714" t="s">
        <v>1852</v>
      </c>
    </row>
    <row r="94" spans="1:18" x14ac:dyDescent="0.25">
      <c r="A94" s="1189">
        <f>Coltura!A92</f>
        <v>91</v>
      </c>
      <c r="B94" s="1189">
        <f>Coltura!B92</f>
        <v>1</v>
      </c>
      <c r="C94" s="1189" t="str">
        <f>Coltura!C92</f>
        <v>F1</v>
      </c>
      <c r="D94" s="1190" t="s">
        <v>645</v>
      </c>
      <c r="E94" s="930" t="str">
        <f>Coltura!D92</f>
        <v>Avena insilata</v>
      </c>
      <c r="F94" s="1186">
        <v>340</v>
      </c>
      <c r="G94" s="41" t="s">
        <v>645</v>
      </c>
      <c r="H94" s="41" t="s">
        <v>645</v>
      </c>
      <c r="I94" s="41" t="s">
        <v>645</v>
      </c>
      <c r="J94" s="41" t="s">
        <v>645</v>
      </c>
      <c r="K94" s="41" t="s">
        <v>570</v>
      </c>
      <c r="L94" s="49" t="b">
        <f t="shared" si="7"/>
        <v>0</v>
      </c>
      <c r="M94" s="41">
        <v>35</v>
      </c>
      <c r="N94" s="45" t="str">
        <f>Standard!E94</f>
        <v>nd</v>
      </c>
      <c r="O94" s="45" t="str">
        <f>Standard!F94</f>
        <v>nd</v>
      </c>
      <c r="P94" s="45">
        <f>Standard!AU94</f>
        <v>0</v>
      </c>
      <c r="Q94" s="49" t="e">
        <f t="shared" si="8"/>
        <v>#VALUE!</v>
      </c>
      <c r="R94" s="714"/>
    </row>
    <row r="95" spans="1:18" x14ac:dyDescent="0.25">
      <c r="A95" s="1189">
        <f>Coltura!A93</f>
        <v>92</v>
      </c>
      <c r="B95" s="1189">
        <f>Coltura!B93</f>
        <v>2</v>
      </c>
      <c r="C95" s="1189" t="str">
        <f>Coltura!C93</f>
        <v>F2</v>
      </c>
      <c r="D95" s="1190" t="s">
        <v>645</v>
      </c>
      <c r="E95" s="930" t="str">
        <f>Coltura!D93</f>
        <v>Colza insilato</v>
      </c>
      <c r="F95" s="1186">
        <v>340</v>
      </c>
      <c r="G95" s="41" t="s">
        <v>645</v>
      </c>
      <c r="H95" s="41" t="s">
        <v>645</v>
      </c>
      <c r="I95" s="41" t="s">
        <v>645</v>
      </c>
      <c r="J95" s="41" t="s">
        <v>645</v>
      </c>
      <c r="K95" s="41" t="s">
        <v>570</v>
      </c>
      <c r="L95" s="49" t="b">
        <f t="shared" si="7"/>
        <v>0</v>
      </c>
      <c r="M95" s="41">
        <v>35</v>
      </c>
      <c r="N95" s="45" t="str">
        <f>Standard!E95</f>
        <v>nd</v>
      </c>
      <c r="O95" s="45" t="str">
        <f>Standard!F95</f>
        <v>nd</v>
      </c>
      <c r="P95" s="45">
        <f>Standard!AU95</f>
        <v>0</v>
      </c>
      <c r="Q95" s="49" t="e">
        <f t="shared" si="8"/>
        <v>#VALUE!</v>
      </c>
      <c r="R95" s="714"/>
    </row>
    <row r="96" spans="1:18" x14ac:dyDescent="0.25">
      <c r="A96" s="1189">
        <f>Coltura!A94</f>
        <v>93</v>
      </c>
      <c r="B96" s="1189">
        <f>Coltura!B94</f>
        <v>3</v>
      </c>
      <c r="C96" s="1189" t="str">
        <f>Coltura!C94</f>
        <v>F3</v>
      </c>
      <c r="D96" s="1190" t="s">
        <v>645</v>
      </c>
      <c r="E96" s="930" t="str">
        <f>Coltura!D94</f>
        <v>Erba mazzolina</v>
      </c>
      <c r="F96" s="1186">
        <v>340</v>
      </c>
      <c r="G96" s="41">
        <v>300</v>
      </c>
      <c r="H96" s="41">
        <v>13</v>
      </c>
      <c r="I96" s="41" t="s">
        <v>1114</v>
      </c>
      <c r="J96" s="41" t="s">
        <v>1116</v>
      </c>
      <c r="K96" s="41" t="s">
        <v>570</v>
      </c>
      <c r="L96" s="49">
        <f t="shared" si="7"/>
        <v>15.294117647058824</v>
      </c>
      <c r="M96" s="41">
        <v>85</v>
      </c>
      <c r="N96" s="45">
        <f>Standard!E96</f>
        <v>12.5</v>
      </c>
      <c r="O96" s="45">
        <f>Standard!F96</f>
        <v>200</v>
      </c>
      <c r="P96" s="45">
        <f>Standard!AU96</f>
        <v>50</v>
      </c>
      <c r="Q96" s="49">
        <f t="shared" si="8"/>
        <v>250</v>
      </c>
      <c r="R96" s="714" t="s">
        <v>1852</v>
      </c>
    </row>
    <row r="97" spans="1:18" x14ac:dyDescent="0.25">
      <c r="A97" s="1189">
        <f>Coltura!A95</f>
        <v>94</v>
      </c>
      <c r="B97" s="1189">
        <f>Coltura!B95</f>
        <v>4</v>
      </c>
      <c r="C97" s="1189" t="str">
        <f>Coltura!C95</f>
        <v>F4</v>
      </c>
      <c r="D97" s="1190" t="s">
        <v>645</v>
      </c>
      <c r="E97" s="930" t="str">
        <f>Coltura!D95</f>
        <v>Erba medica</v>
      </c>
      <c r="F97" s="1186">
        <v>100</v>
      </c>
      <c r="G97" s="41">
        <v>170</v>
      </c>
      <c r="H97" s="41"/>
      <c r="I97" s="41"/>
      <c r="J97" s="41"/>
      <c r="K97" s="41" t="s">
        <v>570</v>
      </c>
      <c r="L97" s="49" t="b">
        <f t="shared" si="7"/>
        <v>0</v>
      </c>
      <c r="M97" s="41">
        <v>85</v>
      </c>
      <c r="N97" s="45">
        <f>Standard!E97</f>
        <v>12.5</v>
      </c>
      <c r="O97" s="45">
        <f>Standard!F97</f>
        <v>0</v>
      </c>
      <c r="P97" s="45">
        <f>Standard!AU97</f>
        <v>100</v>
      </c>
      <c r="Q97" s="49">
        <f t="shared" si="8"/>
        <v>100</v>
      </c>
      <c r="R97" s="714" t="s">
        <v>1852</v>
      </c>
    </row>
    <row r="98" spans="1:18" x14ac:dyDescent="0.25">
      <c r="A98" s="1189">
        <f>Coltura!A96</f>
        <v>95</v>
      </c>
      <c r="B98" s="1189">
        <f>Coltura!B96</f>
        <v>5</v>
      </c>
      <c r="C98" s="1189" t="str">
        <f>Coltura!C96</f>
        <v>F5</v>
      </c>
      <c r="D98" s="1190" t="s">
        <v>645</v>
      </c>
      <c r="E98" s="930" t="str">
        <f>Coltura!D96</f>
        <v>Erbai aut prim. Di cer. O cruc.</v>
      </c>
      <c r="F98" s="1186">
        <v>340</v>
      </c>
      <c r="G98" s="41">
        <v>120</v>
      </c>
      <c r="H98" s="41">
        <v>7</v>
      </c>
      <c r="I98" s="41" t="s">
        <v>1114</v>
      </c>
      <c r="J98" s="41" t="s">
        <v>1116</v>
      </c>
      <c r="K98" s="41" t="s">
        <v>570</v>
      </c>
      <c r="L98" s="49">
        <f t="shared" si="7"/>
        <v>8.2352941176470598</v>
      </c>
      <c r="M98" s="41">
        <v>85</v>
      </c>
      <c r="N98" s="45" t="str">
        <f>Standard!E98</f>
        <v>nd</v>
      </c>
      <c r="O98" s="45" t="str">
        <f>Standard!F98</f>
        <v>nd</v>
      </c>
      <c r="P98" s="45">
        <f>Standard!AU98</f>
        <v>0</v>
      </c>
      <c r="Q98" s="49" t="e">
        <f t="shared" si="8"/>
        <v>#VALUE!</v>
      </c>
      <c r="R98" s="714"/>
    </row>
    <row r="99" spans="1:18" x14ac:dyDescent="0.25">
      <c r="A99" s="1189">
        <f>Coltura!A97</f>
        <v>96</v>
      </c>
      <c r="B99" s="1189">
        <f>Coltura!B97</f>
        <v>6</v>
      </c>
      <c r="C99" s="1189" t="str">
        <f>Coltura!C97</f>
        <v>F6</v>
      </c>
      <c r="D99" s="1190" t="s">
        <v>645</v>
      </c>
      <c r="E99" s="930" t="str">
        <f>Coltura!D97</f>
        <v>Erbai aut prim. Di leguminose</v>
      </c>
      <c r="F99" s="1186">
        <v>340</v>
      </c>
      <c r="G99" s="41" t="s">
        <v>645</v>
      </c>
      <c r="H99" s="41" t="s">
        <v>645</v>
      </c>
      <c r="I99" s="41" t="s">
        <v>645</v>
      </c>
      <c r="J99" s="41" t="s">
        <v>645</v>
      </c>
      <c r="K99" s="41" t="s">
        <v>570</v>
      </c>
      <c r="L99" s="49" t="b">
        <f t="shared" si="7"/>
        <v>0</v>
      </c>
      <c r="M99" s="41">
        <v>85</v>
      </c>
      <c r="N99" s="45" t="str">
        <f>Standard!E99</f>
        <v>nd</v>
      </c>
      <c r="O99" s="45" t="str">
        <f>Standard!F99</f>
        <v>nd</v>
      </c>
      <c r="P99" s="45">
        <f>Standard!AU99</f>
        <v>0</v>
      </c>
      <c r="Q99" s="49" t="e">
        <f t="shared" si="8"/>
        <v>#VALUE!</v>
      </c>
      <c r="R99" s="714"/>
    </row>
    <row r="100" spans="1:18" x14ac:dyDescent="0.25">
      <c r="A100" s="1189">
        <f>Coltura!A98</f>
        <v>97</v>
      </c>
      <c r="B100" s="1189">
        <f>Coltura!B98</f>
        <v>7</v>
      </c>
      <c r="C100" s="1189" t="str">
        <f>Coltura!C98</f>
        <v>F7</v>
      </c>
      <c r="D100" s="1190" t="s">
        <v>645</v>
      </c>
      <c r="E100" s="930" t="str">
        <f>Coltura!D98</f>
        <v>Erbai biennali o Prati avv. di Graminacee</v>
      </c>
      <c r="F100" s="1186">
        <v>340</v>
      </c>
      <c r="G100" s="41">
        <v>300</v>
      </c>
      <c r="H100" s="41">
        <v>13</v>
      </c>
      <c r="I100" s="41" t="s">
        <v>1114</v>
      </c>
      <c r="J100" s="41" t="s">
        <v>1116</v>
      </c>
      <c r="K100" s="41" t="s">
        <v>570</v>
      </c>
      <c r="L100" s="49">
        <f t="shared" si="7"/>
        <v>15.294117647058824</v>
      </c>
      <c r="M100" s="41">
        <v>85</v>
      </c>
      <c r="N100" s="45" t="str">
        <f>Standard!E100</f>
        <v>nd</v>
      </c>
      <c r="O100" s="45" t="str">
        <f>Standard!F100</f>
        <v>nd</v>
      </c>
      <c r="P100" s="45">
        <f>Standard!AU100</f>
        <v>0</v>
      </c>
      <c r="Q100" s="49" t="e">
        <f t="shared" si="8"/>
        <v>#VALUE!</v>
      </c>
      <c r="R100" s="714"/>
    </row>
    <row r="101" spans="1:18" x14ac:dyDescent="0.25">
      <c r="A101" s="1189">
        <f>Coltura!A99</f>
        <v>98</v>
      </c>
      <c r="B101" s="1189">
        <f>Coltura!B99</f>
        <v>8</v>
      </c>
      <c r="C101" s="1189" t="str">
        <f>Coltura!C99</f>
        <v>F8</v>
      </c>
      <c r="D101" s="1190" t="s">
        <v>645</v>
      </c>
      <c r="E101" s="930" t="str">
        <f>Coltura!D99</f>
        <v>Erbai biennali misti o Prati avv. Polifita</v>
      </c>
      <c r="F101" s="1186">
        <v>340</v>
      </c>
      <c r="G101" s="41">
        <v>300</v>
      </c>
      <c r="H101" s="41">
        <v>13</v>
      </c>
      <c r="I101" s="41" t="s">
        <v>1114</v>
      </c>
      <c r="J101" s="41" t="s">
        <v>1116</v>
      </c>
      <c r="K101" s="41" t="s">
        <v>570</v>
      </c>
      <c r="L101" s="49">
        <f t="shared" si="7"/>
        <v>15.294117647058824</v>
      </c>
      <c r="M101" s="41">
        <v>85</v>
      </c>
      <c r="N101" s="45" t="str">
        <f>Standard!E101</f>
        <v>nd</v>
      </c>
      <c r="O101" s="45" t="str">
        <f>Standard!F101</f>
        <v>nd</v>
      </c>
      <c r="P101" s="45">
        <f>Standard!AU101</f>
        <v>0</v>
      </c>
      <c r="Q101" s="49" t="e">
        <f t="shared" si="8"/>
        <v>#VALUE!</v>
      </c>
      <c r="R101" s="714"/>
    </row>
    <row r="102" spans="1:18" x14ac:dyDescent="0.25">
      <c r="A102" s="1189">
        <f>Coltura!A100</f>
        <v>99</v>
      </c>
      <c r="B102" s="1189">
        <f>Coltura!B100</f>
        <v>9</v>
      </c>
      <c r="C102" s="1189" t="str">
        <f>Coltura!C100</f>
        <v>F9</v>
      </c>
      <c r="D102" s="1190" t="s">
        <v>645</v>
      </c>
      <c r="E102" s="930" t="str">
        <f>Coltura!D100</f>
        <v>Farro insilato</v>
      </c>
      <c r="F102" s="1186">
        <v>340</v>
      </c>
      <c r="G102" s="41" t="s">
        <v>645</v>
      </c>
      <c r="H102" s="41" t="s">
        <v>645</v>
      </c>
      <c r="I102" s="41" t="s">
        <v>645</v>
      </c>
      <c r="J102" s="41" t="s">
        <v>645</v>
      </c>
      <c r="K102" s="41" t="s">
        <v>570</v>
      </c>
      <c r="L102" s="49" t="b">
        <f t="shared" si="7"/>
        <v>0</v>
      </c>
      <c r="M102" s="41">
        <v>35</v>
      </c>
      <c r="N102" s="45" t="str">
        <f>Standard!E102</f>
        <v>nd</v>
      </c>
      <c r="O102" s="45" t="str">
        <f>Standard!F102</f>
        <v>nd</v>
      </c>
      <c r="P102" s="45">
        <f>Standard!AU102</f>
        <v>0</v>
      </c>
      <c r="Q102" s="49" t="e">
        <f t="shared" si="8"/>
        <v>#VALUE!</v>
      </c>
      <c r="R102" s="714"/>
    </row>
    <row r="103" spans="1:18" x14ac:dyDescent="0.25">
      <c r="A103" s="1189">
        <f>Coltura!A101</f>
        <v>100</v>
      </c>
      <c r="B103" s="1189">
        <f>Coltura!B101</f>
        <v>10</v>
      </c>
      <c r="C103" s="1189" t="str">
        <f>Coltura!C101</f>
        <v>F10</v>
      </c>
      <c r="D103" s="1190" t="s">
        <v>645</v>
      </c>
      <c r="E103" s="930" t="str">
        <f>Coltura!D101</f>
        <v>Festuca arundinacea</v>
      </c>
      <c r="F103" s="1186">
        <v>340</v>
      </c>
      <c r="G103" s="41">
        <v>300</v>
      </c>
      <c r="H103" s="41">
        <v>13</v>
      </c>
      <c r="I103" s="41" t="s">
        <v>1114</v>
      </c>
      <c r="J103" s="41" t="s">
        <v>1116</v>
      </c>
      <c r="K103" s="41" t="s">
        <v>570</v>
      </c>
      <c r="L103" s="49">
        <f t="shared" si="7"/>
        <v>15.294117647058824</v>
      </c>
      <c r="M103" s="41">
        <v>85</v>
      </c>
      <c r="N103" s="45">
        <f>Standard!E103</f>
        <v>12.5</v>
      </c>
      <c r="O103" s="45">
        <f>Standard!F103</f>
        <v>200</v>
      </c>
      <c r="P103" s="45">
        <f>Standard!AU103</f>
        <v>50</v>
      </c>
      <c r="Q103" s="49">
        <f t="shared" si="8"/>
        <v>250</v>
      </c>
      <c r="R103" s="714" t="s">
        <v>1852</v>
      </c>
    </row>
    <row r="104" spans="1:18" x14ac:dyDescent="0.25">
      <c r="A104" s="1189">
        <f>Coltura!A102</f>
        <v>101</v>
      </c>
      <c r="B104" s="1189">
        <f>Coltura!B102</f>
        <v>11</v>
      </c>
      <c r="C104" s="1189" t="str">
        <f>Coltura!C102</f>
        <v>F11</v>
      </c>
      <c r="D104" s="1190" t="s">
        <v>645</v>
      </c>
      <c r="E104" s="930" t="str">
        <f>Coltura!D102</f>
        <v>Fleolo (coda di topo)</v>
      </c>
      <c r="F104" s="1186">
        <v>340</v>
      </c>
      <c r="G104" s="41" t="s">
        <v>645</v>
      </c>
      <c r="H104" s="41" t="s">
        <v>645</v>
      </c>
      <c r="I104" s="41" t="s">
        <v>645</v>
      </c>
      <c r="J104" s="41" t="s">
        <v>645</v>
      </c>
      <c r="K104" s="41" t="s">
        <v>570</v>
      </c>
      <c r="L104" s="49" t="b">
        <f t="shared" si="7"/>
        <v>0</v>
      </c>
      <c r="M104" s="41">
        <v>85</v>
      </c>
      <c r="N104" s="45" t="str">
        <f>Standard!E104</f>
        <v>nd</v>
      </c>
      <c r="O104" s="45" t="str">
        <f>Standard!F104</f>
        <v>nd</v>
      </c>
      <c r="P104" s="45">
        <f>Standard!AU104</f>
        <v>0</v>
      </c>
      <c r="Q104" s="49" t="e">
        <f t="shared" si="8"/>
        <v>#VALUE!</v>
      </c>
      <c r="R104" s="714"/>
    </row>
    <row r="105" spans="1:18" x14ac:dyDescent="0.25">
      <c r="A105" s="1189">
        <f>Coltura!A103</f>
        <v>102</v>
      </c>
      <c r="B105" s="1189">
        <f>Coltura!B103</f>
        <v>12</v>
      </c>
      <c r="C105" s="1189" t="str">
        <f>Coltura!C103</f>
        <v>F12</v>
      </c>
      <c r="D105" s="1190" t="s">
        <v>645</v>
      </c>
      <c r="E105" s="930" t="str">
        <f>Coltura!D103</f>
        <v>Grano duro  insilato</v>
      </c>
      <c r="F105" s="1186">
        <v>340</v>
      </c>
      <c r="G105" s="41" t="s">
        <v>645</v>
      </c>
      <c r="H105" s="41" t="s">
        <v>645</v>
      </c>
      <c r="I105" s="41" t="s">
        <v>645</v>
      </c>
      <c r="J105" s="41" t="s">
        <v>645</v>
      </c>
      <c r="K105" s="41" t="s">
        <v>570</v>
      </c>
      <c r="L105" s="49" t="b">
        <f t="shared" si="7"/>
        <v>0</v>
      </c>
      <c r="M105" s="41">
        <v>35</v>
      </c>
      <c r="N105" s="45" t="str">
        <f>Standard!E105</f>
        <v>nd</v>
      </c>
      <c r="O105" s="45" t="str">
        <f>Standard!F105</f>
        <v>nd</v>
      </c>
      <c r="P105" s="45">
        <f>Standard!AU105</f>
        <v>0</v>
      </c>
      <c r="Q105" s="49" t="e">
        <f t="shared" si="8"/>
        <v>#VALUE!</v>
      </c>
      <c r="R105" s="714"/>
    </row>
    <row r="106" spans="1:18" x14ac:dyDescent="0.25">
      <c r="A106" s="1189">
        <f>Coltura!A104</f>
        <v>103</v>
      </c>
      <c r="B106" s="1189">
        <f>Coltura!B104</f>
        <v>13</v>
      </c>
      <c r="C106" s="1189" t="str">
        <f>Coltura!C104</f>
        <v>F13</v>
      </c>
      <c r="D106" s="1190" t="s">
        <v>645</v>
      </c>
      <c r="E106" s="930" t="str">
        <f>Coltura!D104</f>
        <v>Grano tenero  insilato</v>
      </c>
      <c r="F106" s="1186">
        <v>340</v>
      </c>
      <c r="G106" s="41" t="s">
        <v>645</v>
      </c>
      <c r="H106" s="41" t="s">
        <v>645</v>
      </c>
      <c r="I106" s="41" t="s">
        <v>645</v>
      </c>
      <c r="J106" s="41" t="s">
        <v>645</v>
      </c>
      <c r="K106" s="41" t="s">
        <v>570</v>
      </c>
      <c r="L106" s="49" t="b">
        <f t="shared" si="7"/>
        <v>0</v>
      </c>
      <c r="M106" s="41">
        <v>35</v>
      </c>
      <c r="N106" s="45" t="str">
        <f>Standard!E106</f>
        <v>nd</v>
      </c>
      <c r="O106" s="45" t="str">
        <f>Standard!F106</f>
        <v>nd</v>
      </c>
      <c r="P106" s="45">
        <f>Standard!AU106</f>
        <v>0</v>
      </c>
      <c r="Q106" s="49" t="e">
        <f t="shared" si="8"/>
        <v>#VALUE!</v>
      </c>
      <c r="R106" s="714"/>
    </row>
    <row r="107" spans="1:18" x14ac:dyDescent="0.25">
      <c r="A107" s="1189">
        <f>Coltura!A105</f>
        <v>104</v>
      </c>
      <c r="B107" s="1189">
        <f>Coltura!B105</f>
        <v>14</v>
      </c>
      <c r="C107" s="1189" t="str">
        <f>Coltura!C105</f>
        <v>F14</v>
      </c>
      <c r="D107" s="1190" t="s">
        <v>645</v>
      </c>
      <c r="E107" s="930" t="str">
        <f>Coltura!D105</f>
        <v>Loglio da insilare</v>
      </c>
      <c r="F107" s="1186">
        <v>340</v>
      </c>
      <c r="G107" s="41" t="s">
        <v>645</v>
      </c>
      <c r="H107" s="41" t="s">
        <v>645</v>
      </c>
      <c r="I107" s="41" t="s">
        <v>645</v>
      </c>
      <c r="J107" s="41" t="s">
        <v>645</v>
      </c>
      <c r="K107" s="41" t="s">
        <v>570</v>
      </c>
      <c r="L107" s="49" t="b">
        <f t="shared" si="7"/>
        <v>0</v>
      </c>
      <c r="M107" s="41">
        <v>35</v>
      </c>
      <c r="N107" s="45" t="str">
        <f>Standard!E107</f>
        <v>nd</v>
      </c>
      <c r="O107" s="45" t="str">
        <f>Standard!F107</f>
        <v>nd</v>
      </c>
      <c r="P107" s="45">
        <f>Standard!AU107</f>
        <v>0</v>
      </c>
      <c r="Q107" s="49" t="e">
        <f t="shared" si="8"/>
        <v>#VALUE!</v>
      </c>
      <c r="R107" s="714"/>
    </row>
    <row r="108" spans="1:18" x14ac:dyDescent="0.25">
      <c r="A108" s="1189">
        <f>Coltura!A106</f>
        <v>105</v>
      </c>
      <c r="B108" s="1189">
        <f>Coltura!B106</f>
        <v>15</v>
      </c>
      <c r="C108" s="1189" t="str">
        <f>Coltura!C106</f>
        <v>F15</v>
      </c>
      <c r="D108" s="1190" t="s">
        <v>645</v>
      </c>
      <c r="E108" s="930" t="str">
        <f>Coltura!D106</f>
        <v>Loiessa</v>
      </c>
      <c r="F108" s="1186">
        <v>340</v>
      </c>
      <c r="G108" s="41">
        <v>120</v>
      </c>
      <c r="H108" s="41">
        <v>7</v>
      </c>
      <c r="I108" s="41" t="s">
        <v>1114</v>
      </c>
      <c r="J108" s="41" t="s">
        <v>1112</v>
      </c>
      <c r="K108" s="41" t="s">
        <v>570</v>
      </c>
      <c r="L108" s="49">
        <f t="shared" si="7"/>
        <v>8.2352941176470598</v>
      </c>
      <c r="M108" s="41">
        <v>85</v>
      </c>
      <c r="N108" s="45" t="str">
        <f>Standard!E108</f>
        <v>nd</v>
      </c>
      <c r="O108" s="45" t="str">
        <f>Standard!F108</f>
        <v>nd</v>
      </c>
      <c r="P108" s="45">
        <f>Standard!AU108</f>
        <v>0</v>
      </c>
      <c r="Q108" s="49" t="e">
        <f t="shared" si="8"/>
        <v>#VALUE!</v>
      </c>
      <c r="R108" s="714"/>
    </row>
    <row r="109" spans="1:18" x14ac:dyDescent="0.25">
      <c r="A109" s="1189">
        <f>Coltura!A107</f>
        <v>106</v>
      </c>
      <c r="B109" s="1189">
        <f>Coltura!B107</f>
        <v>16</v>
      </c>
      <c r="C109" s="1189" t="str">
        <f>Coltura!C107</f>
        <v>F16</v>
      </c>
      <c r="D109" s="1190" t="s">
        <v>645</v>
      </c>
      <c r="E109" s="930" t="str">
        <f>Coltura!D107</f>
        <v>Loietto perenne</v>
      </c>
      <c r="F109" s="1186">
        <v>340</v>
      </c>
      <c r="G109" s="41" t="s">
        <v>645</v>
      </c>
      <c r="H109" s="41" t="s">
        <v>645</v>
      </c>
      <c r="I109" s="41" t="s">
        <v>645</v>
      </c>
      <c r="J109" s="41" t="s">
        <v>645</v>
      </c>
      <c r="K109" s="41" t="s">
        <v>570</v>
      </c>
      <c r="L109" s="49" t="b">
        <f t="shared" si="7"/>
        <v>0</v>
      </c>
      <c r="M109" s="41">
        <v>85</v>
      </c>
      <c r="N109" s="45" t="str">
        <f>Standard!E109</f>
        <v>nd</v>
      </c>
      <c r="O109" s="45" t="str">
        <f>Standard!F109</f>
        <v>nd</v>
      </c>
      <c r="P109" s="45">
        <f>Standard!AU109</f>
        <v>0</v>
      </c>
      <c r="Q109" s="49" t="e">
        <f t="shared" si="8"/>
        <v>#VALUE!</v>
      </c>
      <c r="R109" s="714"/>
    </row>
    <row r="110" spans="1:18" x14ac:dyDescent="0.25">
      <c r="A110" s="1189">
        <f>Coltura!A108</f>
        <v>107</v>
      </c>
      <c r="B110" s="1189">
        <f>Coltura!B108</f>
        <v>17</v>
      </c>
      <c r="C110" s="1189" t="str">
        <f>Coltura!C108</f>
        <v>F17</v>
      </c>
      <c r="D110" s="1190" t="s">
        <v>645</v>
      </c>
      <c r="E110" s="930" t="str">
        <f>Coltura!D108</f>
        <v>Orzo insilato</v>
      </c>
      <c r="F110" s="1186">
        <v>340</v>
      </c>
      <c r="G110" s="41" t="s">
        <v>645</v>
      </c>
      <c r="H110" s="41" t="s">
        <v>645</v>
      </c>
      <c r="I110" s="41" t="s">
        <v>645</v>
      </c>
      <c r="J110" s="41" t="s">
        <v>645</v>
      </c>
      <c r="K110" s="41" t="s">
        <v>570</v>
      </c>
      <c r="L110" s="49" t="b">
        <f t="shared" si="7"/>
        <v>0</v>
      </c>
      <c r="M110" s="41">
        <v>35</v>
      </c>
      <c r="N110" s="45" t="str">
        <f>Standard!E110</f>
        <v>nd</v>
      </c>
      <c r="O110" s="45" t="str">
        <f>Standard!F110</f>
        <v>nd</v>
      </c>
      <c r="P110" s="45">
        <f>Standard!AU110</f>
        <v>0</v>
      </c>
      <c r="Q110" s="49" t="e">
        <f t="shared" si="8"/>
        <v>#VALUE!</v>
      </c>
      <c r="R110" s="714"/>
    </row>
    <row r="111" spans="1:18" x14ac:dyDescent="0.25">
      <c r="A111" s="1189">
        <f>Coltura!A109</f>
        <v>108</v>
      </c>
      <c r="B111" s="1189">
        <f>Coltura!B109</f>
        <v>18</v>
      </c>
      <c r="C111" s="1189" t="str">
        <f>Coltura!C109</f>
        <v>F18</v>
      </c>
      <c r="D111" s="1190" t="s">
        <v>645</v>
      </c>
      <c r="E111" s="930" t="str">
        <f>Coltura!D109</f>
        <v>Prati di graminacee</v>
      </c>
      <c r="F111" s="1186">
        <v>340</v>
      </c>
      <c r="G111" s="41">
        <v>300</v>
      </c>
      <c r="H111" s="41">
        <v>13</v>
      </c>
      <c r="I111" s="41" t="s">
        <v>1114</v>
      </c>
      <c r="J111" s="41" t="s">
        <v>1116</v>
      </c>
      <c r="K111" s="41" t="s">
        <v>570</v>
      </c>
      <c r="L111" s="49">
        <f t="shared" si="7"/>
        <v>15.294117647058824</v>
      </c>
      <c r="M111" s="41">
        <v>85</v>
      </c>
      <c r="N111" s="45" t="str">
        <f>Standard!E111</f>
        <v>nd</v>
      </c>
      <c r="O111" s="45" t="str">
        <f>Standard!F111</f>
        <v>nd</v>
      </c>
      <c r="P111" s="45">
        <f>Standard!AU111</f>
        <v>0</v>
      </c>
      <c r="Q111" s="49" t="e">
        <f t="shared" si="8"/>
        <v>#VALUE!</v>
      </c>
      <c r="R111" s="714"/>
    </row>
    <row r="112" spans="1:18" x14ac:dyDescent="0.25">
      <c r="A112" s="1189">
        <f>Coltura!A110</f>
        <v>109</v>
      </c>
      <c r="B112" s="1189">
        <f>Coltura!B110</f>
        <v>19</v>
      </c>
      <c r="C112" s="1189" t="str">
        <f>Coltura!C110</f>
        <v>F19</v>
      </c>
      <c r="D112" s="1190" t="s">
        <v>645</v>
      </c>
      <c r="E112" s="930" t="str">
        <f>Coltura!D110</f>
        <v>Prati di trifoglio</v>
      </c>
      <c r="F112" s="1186">
        <v>340</v>
      </c>
      <c r="G112" s="41">
        <v>170</v>
      </c>
      <c r="H112" s="41">
        <v>11</v>
      </c>
      <c r="I112" s="41" t="s">
        <v>1114</v>
      </c>
      <c r="J112" s="41" t="s">
        <v>1116</v>
      </c>
      <c r="K112" s="41" t="s">
        <v>570</v>
      </c>
      <c r="L112" s="49">
        <f>IF(I112="tq",H113,IF(I112="s.s.",(H113/(M112/100))))</f>
        <v>10</v>
      </c>
      <c r="M112" s="41">
        <v>85</v>
      </c>
      <c r="N112" s="45" t="str">
        <f>Standard!E112</f>
        <v>nd</v>
      </c>
      <c r="O112" s="45" t="str">
        <f>Standard!F112</f>
        <v>nd</v>
      </c>
      <c r="P112" s="45">
        <f>Standard!AU112</f>
        <v>0</v>
      </c>
      <c r="Q112" s="49" t="e">
        <f t="shared" si="8"/>
        <v>#VALUE!</v>
      </c>
      <c r="R112" s="714"/>
    </row>
    <row r="113" spans="1:18" x14ac:dyDescent="0.25">
      <c r="A113" s="1193">
        <f>Coltura!A111</f>
        <v>110</v>
      </c>
      <c r="B113" s="1193">
        <f>Coltura!B111</f>
        <v>20</v>
      </c>
      <c r="C113" s="1193" t="str">
        <f>Coltura!C111</f>
        <v>F20</v>
      </c>
      <c r="D113" s="1190" t="s">
        <v>645</v>
      </c>
      <c r="E113" s="930" t="str">
        <f>Coltura!D111</f>
        <v>Prati di leguminose in purezza - Trifoglio</v>
      </c>
      <c r="F113" s="1186">
        <v>340</v>
      </c>
      <c r="G113" s="41">
        <v>170</v>
      </c>
      <c r="H113" s="41">
        <f>(5+12)/2</f>
        <v>8.5</v>
      </c>
      <c r="I113" s="41" t="s">
        <v>1114</v>
      </c>
      <c r="J113" s="41" t="s">
        <v>1116</v>
      </c>
      <c r="K113" s="41" t="s">
        <v>570</v>
      </c>
      <c r="L113" s="49">
        <f>IF(I113="tq",H114,IF(I113="s.s.",(H114/(M113/100))))</f>
        <v>8.2352941176470598</v>
      </c>
      <c r="M113" s="1168">
        <v>85</v>
      </c>
      <c r="N113" s="45">
        <f>Standard!E113</f>
        <v>8.5</v>
      </c>
      <c r="O113" s="45">
        <f>Standard!F113</f>
        <v>0</v>
      </c>
      <c r="P113" s="45">
        <f>Standard!AU113</f>
        <v>0</v>
      </c>
      <c r="Q113" s="49">
        <f t="shared" si="8"/>
        <v>0</v>
      </c>
      <c r="R113" s="714"/>
    </row>
    <row r="114" spans="1:18" x14ac:dyDescent="0.25">
      <c r="A114" s="1193">
        <f>Coltura!A112</f>
        <v>111</v>
      </c>
      <c r="B114" s="1193">
        <f>Coltura!B112</f>
        <v>21</v>
      </c>
      <c r="C114" s="1193" t="str">
        <f>Coltura!C112</f>
        <v>F21</v>
      </c>
      <c r="D114" s="1190" t="s">
        <v>645</v>
      </c>
      <c r="E114" s="930" t="str">
        <f>Coltura!D112</f>
        <v>Prati di leguminose in purezza - Ginestrino</v>
      </c>
      <c r="F114" s="1186">
        <v>340</v>
      </c>
      <c r="G114" s="41">
        <v>170</v>
      </c>
      <c r="H114" s="41">
        <f>+(4+10)/2</f>
        <v>7</v>
      </c>
      <c r="I114" s="41" t="s">
        <v>1114</v>
      </c>
      <c r="J114" s="41" t="s">
        <v>1116</v>
      </c>
      <c r="K114" s="41" t="s">
        <v>570</v>
      </c>
      <c r="L114" s="49">
        <f>IF(I114="tq",H115,IF(I114="s.s.",(H115/(M114/100))))</f>
        <v>9.4117647058823533</v>
      </c>
      <c r="M114" s="1168">
        <v>85</v>
      </c>
      <c r="N114" s="45">
        <f>Standard!E114</f>
        <v>7</v>
      </c>
      <c r="O114" s="45">
        <f>Standard!F114</f>
        <v>0</v>
      </c>
      <c r="P114" s="45">
        <f>Standard!AU114</f>
        <v>0</v>
      </c>
      <c r="Q114" s="49">
        <f t="shared" si="8"/>
        <v>0</v>
      </c>
      <c r="R114" s="714"/>
    </row>
    <row r="115" spans="1:18" x14ac:dyDescent="0.25">
      <c r="A115" s="1193">
        <f>Coltura!A113</f>
        <v>112</v>
      </c>
      <c r="B115" s="1193">
        <f>Coltura!B113</f>
        <v>22</v>
      </c>
      <c r="C115" s="1193" t="str">
        <f>Coltura!C113</f>
        <v>F22</v>
      </c>
      <c r="D115" s="1190" t="s">
        <v>645</v>
      </c>
      <c r="E115" s="930" t="str">
        <f>Coltura!D113</f>
        <v>Prati di leguminose in purezza - Sulla</v>
      </c>
      <c r="F115" s="1186">
        <v>340</v>
      </c>
      <c r="G115" s="41">
        <v>170</v>
      </c>
      <c r="H115" s="41">
        <f>+AVERAGE(6,10)</f>
        <v>8</v>
      </c>
      <c r="I115" s="41" t="s">
        <v>1114</v>
      </c>
      <c r="J115" s="41" t="s">
        <v>1116</v>
      </c>
      <c r="K115" s="41" t="s">
        <v>570</v>
      </c>
      <c r="L115" s="49">
        <f>IF(I115="tq",H116,IF(I115="s.s.",(H116/(M115/100))))</f>
        <v>7.6470588235294121</v>
      </c>
      <c r="M115" s="1168">
        <v>85</v>
      </c>
      <c r="N115" s="45">
        <f>Standard!E115</f>
        <v>8</v>
      </c>
      <c r="O115" s="45">
        <f>Standard!F115</f>
        <v>0</v>
      </c>
      <c r="P115" s="45">
        <f>Standard!AU115</f>
        <v>0</v>
      </c>
      <c r="Q115" s="49">
        <f t="shared" si="8"/>
        <v>0</v>
      </c>
      <c r="R115" s="714"/>
    </row>
    <row r="116" spans="1:18" s="1169" customFormat="1" x14ac:dyDescent="0.25">
      <c r="A116" s="1193">
        <f>Coltura!A114</f>
        <v>113</v>
      </c>
      <c r="B116" s="1193">
        <f>Coltura!B114</f>
        <v>23</v>
      </c>
      <c r="C116" s="1193" t="str">
        <f>Coltura!C114</f>
        <v>F23</v>
      </c>
      <c r="D116" s="1190" t="s">
        <v>645</v>
      </c>
      <c r="E116" s="930" t="str">
        <f>Coltura!D114</f>
        <v>Prati di leguminose in purezza - Lupinella</v>
      </c>
      <c r="F116" s="1186">
        <v>340</v>
      </c>
      <c r="G116" s="41">
        <v>170</v>
      </c>
      <c r="H116" s="41">
        <f>+AVERAGE(5,8)</f>
        <v>6.5</v>
      </c>
      <c r="I116" s="41" t="s">
        <v>1114</v>
      </c>
      <c r="J116" s="41" t="s">
        <v>1116</v>
      </c>
      <c r="K116" s="41" t="s">
        <v>570</v>
      </c>
      <c r="L116" s="49">
        <f>IF(I116="tq",H117,IF(I116="s.s.",(H117/(M116/100))))</f>
        <v>15.294117647058824</v>
      </c>
      <c r="M116" s="1168">
        <v>85</v>
      </c>
      <c r="N116" s="45">
        <f>Standard!E116</f>
        <v>6.5</v>
      </c>
      <c r="O116" s="45">
        <f>Standard!F116</f>
        <v>0</v>
      </c>
      <c r="P116" s="45">
        <f>Standard!AU116</f>
        <v>0</v>
      </c>
      <c r="Q116" s="49">
        <f t="shared" si="8"/>
        <v>0</v>
      </c>
      <c r="R116" s="1179"/>
    </row>
    <row r="117" spans="1:18" x14ac:dyDescent="0.25">
      <c r="A117" s="1189">
        <f>Coltura!A115</f>
        <v>114</v>
      </c>
      <c r="B117" s="1189">
        <f>Coltura!B115</f>
        <v>24</v>
      </c>
      <c r="C117" s="1189" t="str">
        <f>Coltura!C115</f>
        <v>F24</v>
      </c>
      <c r="D117" s="1190" t="s">
        <v>645</v>
      </c>
      <c r="E117" s="930" t="str">
        <f>Coltura!D115</f>
        <v>Prati pascoli in collina</v>
      </c>
      <c r="F117" s="1186">
        <v>340</v>
      </c>
      <c r="G117" s="41">
        <v>300</v>
      </c>
      <c r="H117" s="41">
        <v>13</v>
      </c>
      <c r="I117" s="41" t="s">
        <v>1114</v>
      </c>
      <c r="J117" s="41" t="s">
        <v>1116</v>
      </c>
      <c r="K117" s="41" t="s">
        <v>570</v>
      </c>
      <c r="L117" s="49">
        <f t="shared" si="7"/>
        <v>15.294117647058824</v>
      </c>
      <c r="M117" s="41">
        <v>85</v>
      </c>
      <c r="N117" s="45" t="str">
        <f>Standard!E117</f>
        <v>nd</v>
      </c>
      <c r="O117" s="45" t="str">
        <f>Standard!F117</f>
        <v>nd</v>
      </c>
      <c r="P117" s="45">
        <f>Standard!AU117</f>
        <v>0</v>
      </c>
      <c r="Q117" s="49" t="e">
        <f t="shared" si="8"/>
        <v>#VALUE!</v>
      </c>
      <c r="R117" s="714"/>
    </row>
    <row r="118" spans="1:18" x14ac:dyDescent="0.25">
      <c r="A118" s="1189">
        <f>Coltura!A116</f>
        <v>115</v>
      </c>
      <c r="B118" s="1189">
        <f>Coltura!B116</f>
        <v>25</v>
      </c>
      <c r="C118" s="1189" t="str">
        <f>Coltura!C116</f>
        <v>F25</v>
      </c>
      <c r="D118" s="1190" t="s">
        <v>645</v>
      </c>
      <c r="E118" s="930" t="str">
        <f>Coltura!D116</f>
        <v>Prati polifiti &gt;50% leguminose</v>
      </c>
      <c r="F118" s="1186">
        <v>340</v>
      </c>
      <c r="G118" s="41" t="s">
        <v>645</v>
      </c>
      <c r="H118" s="41" t="s">
        <v>645</v>
      </c>
      <c r="I118" s="41" t="s">
        <v>645</v>
      </c>
      <c r="J118" s="41" t="s">
        <v>645</v>
      </c>
      <c r="K118" s="41" t="s">
        <v>570</v>
      </c>
      <c r="L118" s="49" t="b">
        <f t="shared" si="7"/>
        <v>0</v>
      </c>
      <c r="M118" s="41">
        <v>85</v>
      </c>
      <c r="N118" s="45" t="str">
        <f>Standard!E118</f>
        <v>nd</v>
      </c>
      <c r="O118" s="45" t="str">
        <f>Standard!F118</f>
        <v>nd</v>
      </c>
      <c r="P118" s="45">
        <f>Standard!AU118</f>
        <v>0</v>
      </c>
      <c r="Q118" s="49" t="e">
        <f t="shared" si="8"/>
        <v>#VALUE!</v>
      </c>
      <c r="R118" s="714"/>
    </row>
    <row r="119" spans="1:18" x14ac:dyDescent="0.25">
      <c r="A119" s="1189">
        <f>Coltura!A117</f>
        <v>116</v>
      </c>
      <c r="B119" s="1189">
        <f>Coltura!B117</f>
        <v>26</v>
      </c>
      <c r="C119" s="1189" t="str">
        <f>Coltura!C117</f>
        <v>F26</v>
      </c>
      <c r="D119" s="1190" t="s">
        <v>645</v>
      </c>
      <c r="E119" s="930" t="str">
        <f>Coltura!D117</f>
        <v>Prati polifiti</v>
      </c>
      <c r="F119" s="1186">
        <v>340</v>
      </c>
      <c r="G119" s="41">
        <v>300</v>
      </c>
      <c r="H119" s="41">
        <v>13</v>
      </c>
      <c r="I119" s="41" t="s">
        <v>1114</v>
      </c>
      <c r="J119" s="41" t="s">
        <v>1116</v>
      </c>
      <c r="K119" s="41" t="s">
        <v>570</v>
      </c>
      <c r="L119" s="49">
        <f t="shared" si="7"/>
        <v>15.294117647058824</v>
      </c>
      <c r="M119" s="41">
        <v>85</v>
      </c>
      <c r="N119" s="45">
        <f>Standard!E119</f>
        <v>8.5</v>
      </c>
      <c r="O119" s="45">
        <f>Standard!F119</f>
        <v>155</v>
      </c>
      <c r="P119" s="45">
        <f>Standard!AU119</f>
        <v>45</v>
      </c>
      <c r="Q119" s="49">
        <f t="shared" si="8"/>
        <v>200</v>
      </c>
      <c r="R119" s="714" t="s">
        <v>1852</v>
      </c>
    </row>
    <row r="120" spans="1:18" x14ac:dyDescent="0.25">
      <c r="A120" s="1189">
        <f>Coltura!A118</f>
        <v>117</v>
      </c>
      <c r="B120" s="1189">
        <f>Coltura!B118</f>
        <v>27</v>
      </c>
      <c r="C120" s="1189" t="str">
        <f>Coltura!C118</f>
        <v>F27</v>
      </c>
      <c r="D120" s="1190" t="s">
        <v>645</v>
      </c>
      <c r="E120" s="930" t="str">
        <f>Coltura!D118</f>
        <v>Prati stabili in pianura</v>
      </c>
      <c r="F120" s="1186">
        <v>340</v>
      </c>
      <c r="G120" s="41">
        <v>300</v>
      </c>
      <c r="H120" s="41">
        <v>13</v>
      </c>
      <c r="I120" s="41" t="s">
        <v>1114</v>
      </c>
      <c r="J120" s="41" t="s">
        <v>1116</v>
      </c>
      <c r="K120" s="41" t="s">
        <v>570</v>
      </c>
      <c r="L120" s="49">
        <f t="shared" si="7"/>
        <v>15.294117647058824</v>
      </c>
      <c r="M120" s="41">
        <v>85</v>
      </c>
      <c r="N120" s="45">
        <f>Standard!E120</f>
        <v>13</v>
      </c>
      <c r="O120" s="45">
        <f>Standard!F120</f>
        <v>140</v>
      </c>
      <c r="P120" s="45">
        <f>Standard!AU120</f>
        <v>20</v>
      </c>
      <c r="Q120" s="49">
        <f t="shared" si="8"/>
        <v>160</v>
      </c>
      <c r="R120" s="714" t="s">
        <v>1852</v>
      </c>
    </row>
    <row r="121" spans="1:18" x14ac:dyDescent="0.25">
      <c r="A121" s="1189">
        <f>Coltura!A119</f>
        <v>118</v>
      </c>
      <c r="B121" s="1189">
        <f>Coltura!B119</f>
        <v>28</v>
      </c>
      <c r="C121" s="1189" t="str">
        <f>Coltura!C119</f>
        <v>F28</v>
      </c>
      <c r="D121" s="1190" t="s">
        <v>645</v>
      </c>
      <c r="E121" s="930" t="str">
        <f>Coltura!D119</f>
        <v>Prato misto</v>
      </c>
      <c r="F121" s="1186">
        <v>340</v>
      </c>
      <c r="G121" s="41">
        <v>300</v>
      </c>
      <c r="H121" s="41">
        <v>13</v>
      </c>
      <c r="I121" s="41" t="s">
        <v>1114</v>
      </c>
      <c r="J121" s="41" t="s">
        <v>1116</v>
      </c>
      <c r="K121" s="41" t="s">
        <v>570</v>
      </c>
      <c r="L121" s="49">
        <f t="shared" si="7"/>
        <v>15.294117647058824</v>
      </c>
      <c r="M121" s="41">
        <v>85</v>
      </c>
      <c r="N121" s="45" t="str">
        <f>Standard!E121</f>
        <v>nd</v>
      </c>
      <c r="O121" s="45" t="str">
        <f>Standard!F121</f>
        <v>nd</v>
      </c>
      <c r="P121" s="45">
        <f>Standard!AU121</f>
        <v>0</v>
      </c>
      <c r="Q121" s="49" t="e">
        <f t="shared" si="8"/>
        <v>#VALUE!</v>
      </c>
      <c r="R121" s="714"/>
    </row>
    <row r="122" spans="1:18" x14ac:dyDescent="0.25">
      <c r="A122" s="1189">
        <f>Coltura!A120</f>
        <v>119</v>
      </c>
      <c r="B122" s="1189">
        <f>Coltura!B120</f>
        <v>29</v>
      </c>
      <c r="C122" s="1189" t="str">
        <f>Coltura!C120</f>
        <v>F29</v>
      </c>
      <c r="D122" s="1190" t="s">
        <v>645</v>
      </c>
      <c r="E122" s="930" t="str">
        <f>Coltura!D120</f>
        <v>Segale insilato</v>
      </c>
      <c r="F122" s="1186">
        <v>340</v>
      </c>
      <c r="G122" s="41" t="s">
        <v>645</v>
      </c>
      <c r="H122" s="41" t="s">
        <v>645</v>
      </c>
      <c r="I122" s="41" t="s">
        <v>645</v>
      </c>
      <c r="J122" s="41" t="s">
        <v>645</v>
      </c>
      <c r="K122" s="41" t="s">
        <v>570</v>
      </c>
      <c r="L122" s="49" t="b">
        <f t="shared" si="7"/>
        <v>0</v>
      </c>
      <c r="M122" s="41">
        <v>35</v>
      </c>
      <c r="N122" s="45" t="str">
        <f>Standard!E122</f>
        <v>nd</v>
      </c>
      <c r="O122" s="45" t="str">
        <f>Standard!F122</f>
        <v>nd</v>
      </c>
      <c r="P122" s="45">
        <f>Standard!AU122</f>
        <v>0</v>
      </c>
      <c r="Q122" s="49" t="e">
        <f t="shared" si="8"/>
        <v>#VALUE!</v>
      </c>
      <c r="R122" s="714"/>
    </row>
    <row r="123" spans="1:18" x14ac:dyDescent="0.25">
      <c r="A123" s="1189">
        <f>Coltura!A121</f>
        <v>120</v>
      </c>
      <c r="B123" s="1189">
        <f>Coltura!B121</f>
        <v>30</v>
      </c>
      <c r="C123" s="1189" t="str">
        <f>Coltura!C121</f>
        <v>F30</v>
      </c>
      <c r="D123" s="1190" t="s">
        <v>645</v>
      </c>
      <c r="E123" s="930" t="str">
        <f>Coltura!D121</f>
        <v>Triticale insilato</v>
      </c>
      <c r="F123" s="1186">
        <v>340</v>
      </c>
      <c r="G123" s="41" t="s">
        <v>645</v>
      </c>
      <c r="H123" s="41" t="s">
        <v>645</v>
      </c>
      <c r="I123" s="41" t="s">
        <v>645</v>
      </c>
      <c r="J123" s="41" t="s">
        <v>645</v>
      </c>
      <c r="K123" s="41" t="s">
        <v>570</v>
      </c>
      <c r="L123" s="49" t="b">
        <f t="shared" si="7"/>
        <v>0</v>
      </c>
      <c r="M123" s="41">
        <v>35</v>
      </c>
      <c r="N123" s="45" t="str">
        <f>Standard!E123</f>
        <v>nd</v>
      </c>
      <c r="O123" s="45" t="str">
        <f>Standard!F123</f>
        <v>nd</v>
      </c>
      <c r="P123" s="45">
        <f>Standard!AU123</f>
        <v>0</v>
      </c>
      <c r="Q123" s="49" t="e">
        <f t="shared" si="8"/>
        <v>#VALUE!</v>
      </c>
      <c r="R123" s="714"/>
    </row>
    <row r="124" spans="1:18" x14ac:dyDescent="0.25">
      <c r="A124" s="1189">
        <f>Coltura!A122</f>
        <v>121</v>
      </c>
      <c r="B124" s="1189">
        <f>Coltura!B122</f>
        <v>1</v>
      </c>
      <c r="C124" s="1189" t="str">
        <f>Coltura!C122</f>
        <v>O1</v>
      </c>
      <c r="D124" s="1190" t="s">
        <v>645</v>
      </c>
      <c r="E124" s="930" t="str">
        <f>Coltura!D122</f>
        <v>Aglio</v>
      </c>
      <c r="F124" s="1186">
        <v>340</v>
      </c>
      <c r="G124" s="41">
        <v>170</v>
      </c>
      <c r="H124" s="41">
        <v>9</v>
      </c>
      <c r="I124" s="41" t="s">
        <v>1111</v>
      </c>
      <c r="J124" s="41" t="s">
        <v>1117</v>
      </c>
      <c r="K124" s="41" t="s">
        <v>570</v>
      </c>
      <c r="L124" s="49">
        <f t="shared" si="7"/>
        <v>9</v>
      </c>
      <c r="M124" s="41">
        <v>30</v>
      </c>
      <c r="N124" s="45">
        <f>Standard!E124</f>
        <v>9</v>
      </c>
      <c r="O124" s="45">
        <f>Standard!F124</f>
        <v>110</v>
      </c>
      <c r="P124" s="45">
        <f>Standard!AU124</f>
        <v>60</v>
      </c>
      <c r="Q124" s="49">
        <f>(O124+P124)</f>
        <v>170</v>
      </c>
      <c r="R124" s="714" t="s">
        <v>1852</v>
      </c>
    </row>
    <row r="125" spans="1:18" x14ac:dyDescent="0.25">
      <c r="A125" s="1189">
        <f>Coltura!A123</f>
        <v>122</v>
      </c>
      <c r="B125" s="1189">
        <f>Coltura!B123</f>
        <v>2</v>
      </c>
      <c r="C125" s="1189" t="str">
        <f>Coltura!C123</f>
        <v>O2</v>
      </c>
      <c r="D125" s="1190" t="s">
        <v>645</v>
      </c>
      <c r="E125" s="930" t="str">
        <f>Coltura!D123</f>
        <v>Asparago verde (pianta intera)</v>
      </c>
      <c r="F125" s="1186">
        <v>340</v>
      </c>
      <c r="G125" s="41">
        <v>210</v>
      </c>
      <c r="H125" s="41">
        <v>8</v>
      </c>
      <c r="I125" s="41" t="s">
        <v>1111</v>
      </c>
      <c r="J125" s="41" t="s">
        <v>1118</v>
      </c>
      <c r="K125" s="41" t="s">
        <v>570</v>
      </c>
      <c r="L125" s="49">
        <f t="shared" si="7"/>
        <v>8</v>
      </c>
      <c r="M125" s="41">
        <v>15</v>
      </c>
      <c r="N125" s="45">
        <f>Standard!E125</f>
        <v>8</v>
      </c>
      <c r="O125" s="45">
        <f>Standard!F125</f>
        <v>180</v>
      </c>
      <c r="P125" s="45">
        <f>Standard!AU125</f>
        <v>30</v>
      </c>
      <c r="Q125" s="49">
        <f t="shared" si="8"/>
        <v>210</v>
      </c>
      <c r="R125" s="714" t="s">
        <v>1852</v>
      </c>
    </row>
    <row r="126" spans="1:18" x14ac:dyDescent="0.25">
      <c r="A126" s="1189">
        <f>Coltura!A124</f>
        <v>123</v>
      </c>
      <c r="B126" s="1189">
        <f>Coltura!B124</f>
        <v>3</v>
      </c>
      <c r="C126" s="1189" t="str">
        <f>Coltura!C124</f>
        <v>O3</v>
      </c>
      <c r="D126" s="1190" t="s">
        <v>645</v>
      </c>
      <c r="E126" s="930" t="str">
        <f>Coltura!D124</f>
        <v>Asparago verde alta produzione</v>
      </c>
      <c r="F126" s="1186">
        <v>340</v>
      </c>
      <c r="G126" s="41">
        <v>210</v>
      </c>
      <c r="H126" s="41">
        <v>10.5</v>
      </c>
      <c r="I126" s="41" t="s">
        <v>1111</v>
      </c>
      <c r="J126" s="41" t="s">
        <v>1118</v>
      </c>
      <c r="K126" s="41" t="s">
        <v>570</v>
      </c>
      <c r="L126" s="49">
        <f t="shared" ref="L126" si="9">IF(I126="tq",H126,IF(I126="s.s.",(H126/(M126/100))))</f>
        <v>10.5</v>
      </c>
      <c r="M126" s="41">
        <v>15</v>
      </c>
      <c r="N126" s="45">
        <f>Standard!E126</f>
        <v>10.5</v>
      </c>
      <c r="O126" s="45">
        <f>Standard!F126</f>
        <v>200</v>
      </c>
      <c r="P126" s="45">
        <f>Standard!AU126</f>
        <v>30</v>
      </c>
      <c r="Q126" s="49">
        <f t="shared" ref="Q126" si="10">(O126+P126)</f>
        <v>230</v>
      </c>
      <c r="R126" s="714" t="s">
        <v>1507</v>
      </c>
    </row>
    <row r="127" spans="1:18" x14ac:dyDescent="0.25">
      <c r="A127" s="1189">
        <f>Coltura!A125</f>
        <v>124</v>
      </c>
      <c r="B127" s="1189">
        <f>Coltura!B125</f>
        <v>4</v>
      </c>
      <c r="C127" s="1189" t="str">
        <f>Coltura!C125</f>
        <v>O4</v>
      </c>
      <c r="D127" s="1190" t="s">
        <v>645</v>
      </c>
      <c r="E127" s="930" t="str">
        <f>Coltura!D125</f>
        <v>Basilico media produzione</v>
      </c>
      <c r="F127" s="1186">
        <v>340</v>
      </c>
      <c r="G127" s="41">
        <v>110</v>
      </c>
      <c r="H127" s="41">
        <v>20</v>
      </c>
      <c r="I127" s="41" t="s">
        <v>1111</v>
      </c>
      <c r="J127" s="41"/>
      <c r="K127" s="41" t="s">
        <v>570</v>
      </c>
      <c r="L127" s="49">
        <f t="shared" si="7"/>
        <v>20</v>
      </c>
      <c r="M127" s="41">
        <v>7.7</v>
      </c>
      <c r="N127" s="45">
        <f>Standard!E127</f>
        <v>20</v>
      </c>
      <c r="O127" s="45">
        <f>Standard!F127</f>
        <v>100</v>
      </c>
      <c r="P127" s="45">
        <f>Standard!AU127</f>
        <v>40</v>
      </c>
      <c r="Q127" s="49">
        <f t="shared" si="8"/>
        <v>140</v>
      </c>
      <c r="R127" s="714" t="s">
        <v>1852</v>
      </c>
    </row>
    <row r="128" spans="1:18" x14ac:dyDescent="0.25">
      <c r="A128" s="1189">
        <f>Coltura!A126</f>
        <v>125</v>
      </c>
      <c r="B128" s="1189">
        <f>Coltura!B126</f>
        <v>5</v>
      </c>
      <c r="C128" s="1189" t="str">
        <f>Coltura!C126</f>
        <v>O5</v>
      </c>
      <c r="D128" s="1190" t="s">
        <v>645</v>
      </c>
      <c r="E128" s="1191" t="str">
        <f>Coltura!D126</f>
        <v>Basilico alta produzione più tagli</v>
      </c>
      <c r="F128" s="1186">
        <v>340</v>
      </c>
      <c r="G128" s="1194">
        <f>Q128</f>
        <v>100</v>
      </c>
      <c r="H128" s="41">
        <v>55</v>
      </c>
      <c r="I128" s="823" t="s">
        <v>1111</v>
      </c>
      <c r="J128" s="41"/>
      <c r="K128" s="823" t="s">
        <v>570</v>
      </c>
      <c r="L128" s="49">
        <f t="shared" si="7"/>
        <v>55</v>
      </c>
      <c r="M128" s="41"/>
      <c r="N128" s="45">
        <f>Standard!E128</f>
        <v>55</v>
      </c>
      <c r="O128" s="45">
        <f>Standard!F128</f>
        <v>60</v>
      </c>
      <c r="P128" s="45">
        <f>Standard!AU128</f>
        <v>40</v>
      </c>
      <c r="Q128" s="49">
        <f t="shared" si="8"/>
        <v>100</v>
      </c>
      <c r="R128" s="714" t="s">
        <v>1507</v>
      </c>
    </row>
    <row r="129" spans="1:18" x14ac:dyDescent="0.25">
      <c r="A129" s="1189">
        <f>Coltura!A127</f>
        <v>126</v>
      </c>
      <c r="B129" s="1189">
        <f>Coltura!B127</f>
        <v>6</v>
      </c>
      <c r="C129" s="1189" t="str">
        <f>Coltura!C127</f>
        <v>O6</v>
      </c>
      <c r="D129" s="1190" t="s">
        <v>645</v>
      </c>
      <c r="E129" s="930" t="str">
        <f>Coltura!D127</f>
        <v>Bietola da costa e da foglia m. fresco  media produzione</v>
      </c>
      <c r="F129" s="1186">
        <v>340</v>
      </c>
      <c r="G129" s="41">
        <v>190</v>
      </c>
      <c r="H129" s="41">
        <v>35</v>
      </c>
      <c r="I129" s="41" t="s">
        <v>1111</v>
      </c>
      <c r="J129" s="41"/>
      <c r="K129" s="41" t="s">
        <v>570</v>
      </c>
      <c r="L129" s="49">
        <f t="shared" si="7"/>
        <v>35</v>
      </c>
      <c r="M129" s="41">
        <v>10.7</v>
      </c>
      <c r="N129" s="45">
        <f>Standard!E129</f>
        <v>25</v>
      </c>
      <c r="O129" s="45">
        <f>Standard!F129</f>
        <v>150</v>
      </c>
      <c r="P129" s="45">
        <f>Standard!AU129</f>
        <v>40</v>
      </c>
      <c r="Q129" s="49">
        <f t="shared" si="8"/>
        <v>190</v>
      </c>
      <c r="R129" s="714" t="s">
        <v>1852</v>
      </c>
    </row>
    <row r="130" spans="1:18" x14ac:dyDescent="0.25">
      <c r="A130" s="1189">
        <f>Coltura!A128</f>
        <v>127</v>
      </c>
      <c r="B130" s="1189">
        <f>Coltura!B128</f>
        <v>7</v>
      </c>
      <c r="C130" s="1189" t="str">
        <f>Coltura!C128</f>
        <v>O7</v>
      </c>
      <c r="D130" s="1190" t="s">
        <v>645</v>
      </c>
      <c r="E130" s="1191" t="str">
        <f>Coltura!D128</f>
        <v>Bietola da costa e da foglia m. fresco  alta produzione più tagli</v>
      </c>
      <c r="F130" s="1186">
        <v>340</v>
      </c>
      <c r="G130" s="41">
        <v>190</v>
      </c>
      <c r="H130" s="41">
        <v>35</v>
      </c>
      <c r="I130" s="823" t="s">
        <v>1111</v>
      </c>
      <c r="J130" s="41"/>
      <c r="K130" s="823" t="s">
        <v>570</v>
      </c>
      <c r="L130" s="49">
        <f t="shared" si="7"/>
        <v>35</v>
      </c>
      <c r="M130" s="41">
        <v>10.7</v>
      </c>
      <c r="N130" s="45">
        <f>Standard!E130</f>
        <v>35</v>
      </c>
      <c r="O130" s="45">
        <f>Standard!F130</f>
        <v>160</v>
      </c>
      <c r="P130" s="45">
        <f>Standard!AU130</f>
        <v>40</v>
      </c>
      <c r="Q130" s="49">
        <f t="shared" si="8"/>
        <v>200</v>
      </c>
      <c r="R130" s="714" t="s">
        <v>1852</v>
      </c>
    </row>
    <row r="131" spans="1:18" x14ac:dyDescent="0.25">
      <c r="A131" s="1189">
        <f>Coltura!A129</f>
        <v>128</v>
      </c>
      <c r="B131" s="1189">
        <f>Coltura!B129</f>
        <v>8</v>
      </c>
      <c r="C131" s="1189" t="str">
        <f>Coltura!C129</f>
        <v>O8</v>
      </c>
      <c r="D131" s="1190" t="s">
        <v>645</v>
      </c>
      <c r="E131" s="1191" t="str">
        <f>Coltura!D129</f>
        <v>Bietola da foglie per l'industria media produzione più tagli</v>
      </c>
      <c r="F131" s="1186">
        <v>340</v>
      </c>
      <c r="G131" s="41">
        <v>190</v>
      </c>
      <c r="H131" s="41">
        <v>35</v>
      </c>
      <c r="I131" s="823" t="s">
        <v>1111</v>
      </c>
      <c r="J131" s="41"/>
      <c r="K131" s="823" t="s">
        <v>570</v>
      </c>
      <c r="L131" s="49">
        <f t="shared" ref="L131" si="11">IF(I131="tq",H131,IF(I131="s.s.",(H131/(M131/100))))</f>
        <v>35</v>
      </c>
      <c r="M131" s="41">
        <v>10.7</v>
      </c>
      <c r="N131" s="45">
        <f>Standard!E131</f>
        <v>25</v>
      </c>
      <c r="O131" s="45">
        <f>Standard!F131</f>
        <v>110</v>
      </c>
      <c r="P131" s="45">
        <f>Standard!AU131</f>
        <v>40</v>
      </c>
      <c r="Q131" s="49">
        <f t="shared" ref="Q131" si="12">(O131+P131)</f>
        <v>150</v>
      </c>
      <c r="R131" s="714" t="s">
        <v>1852</v>
      </c>
    </row>
    <row r="132" spans="1:18" x14ac:dyDescent="0.25">
      <c r="A132" s="1189">
        <f>Coltura!A130</f>
        <v>129</v>
      </c>
      <c r="B132" s="1189">
        <f>Coltura!B130</f>
        <v>9</v>
      </c>
      <c r="C132" s="1189" t="str">
        <f>Coltura!C130</f>
        <v>O9</v>
      </c>
      <c r="D132" s="1190" t="s">
        <v>645</v>
      </c>
      <c r="E132" s="1191" t="str">
        <f>Coltura!D130</f>
        <v>Bietola da costa per l'industria alta produzione più tagli</v>
      </c>
      <c r="F132" s="1186">
        <v>340</v>
      </c>
      <c r="G132" s="41">
        <v>280</v>
      </c>
      <c r="H132" s="41">
        <v>25</v>
      </c>
      <c r="I132" s="41" t="s">
        <v>1111</v>
      </c>
      <c r="J132" s="41"/>
      <c r="K132" s="41" t="s">
        <v>570</v>
      </c>
      <c r="L132" s="49">
        <f t="shared" ref="L132" si="13">IF(I132="tq",H132,IF(I132="s.s.",(H132/(M132/100))))</f>
        <v>25</v>
      </c>
      <c r="M132" s="41"/>
      <c r="N132" s="45">
        <f>Standard!E132</f>
        <v>35</v>
      </c>
      <c r="O132" s="45">
        <f>Standard!F132</f>
        <v>160</v>
      </c>
      <c r="P132" s="45">
        <f>Standard!AU132</f>
        <v>40</v>
      </c>
      <c r="Q132" s="49">
        <f t="shared" ref="Q132" si="14">(O132+P132)</f>
        <v>200</v>
      </c>
      <c r="R132" s="714" t="s">
        <v>1852</v>
      </c>
    </row>
    <row r="133" spans="1:18" x14ac:dyDescent="0.25">
      <c r="A133" s="1189">
        <f>Coltura!A131</f>
        <v>130</v>
      </c>
      <c r="B133" s="1189">
        <f>Coltura!B131</f>
        <v>10</v>
      </c>
      <c r="C133" s="1189" t="str">
        <f>Coltura!C131</f>
        <v>O10</v>
      </c>
      <c r="D133" s="1190" t="s">
        <v>645</v>
      </c>
      <c r="E133" s="930" t="str">
        <f>Coltura!D131</f>
        <v>Broccoletto  - Cime di rapa</v>
      </c>
      <c r="F133" s="1186">
        <v>340</v>
      </c>
      <c r="G133" s="41" t="s">
        <v>645</v>
      </c>
      <c r="H133" s="41" t="s">
        <v>645</v>
      </c>
      <c r="I133" s="41" t="s">
        <v>645</v>
      </c>
      <c r="J133" s="41" t="s">
        <v>645</v>
      </c>
      <c r="K133" s="41" t="s">
        <v>570</v>
      </c>
      <c r="L133" s="49" t="b">
        <f t="shared" si="7"/>
        <v>0</v>
      </c>
      <c r="M133" s="41">
        <v>8.6</v>
      </c>
      <c r="N133" s="45" t="str">
        <f>Standard!E133</f>
        <v>nd</v>
      </c>
      <c r="O133" s="45" t="str">
        <f>Standard!F133</f>
        <v>nd</v>
      </c>
      <c r="P133" s="45">
        <f>Standard!AU133</f>
        <v>0</v>
      </c>
      <c r="Q133" s="49" t="e">
        <f t="shared" si="8"/>
        <v>#VALUE!</v>
      </c>
      <c r="R133" s="714"/>
    </row>
    <row r="134" spans="1:18" x14ac:dyDescent="0.25">
      <c r="A134" s="1189">
        <f>Coltura!A132</f>
        <v>131</v>
      </c>
      <c r="B134" s="1189">
        <f>Coltura!B132</f>
        <v>11</v>
      </c>
      <c r="C134" s="1189" t="str">
        <f>Coltura!C132</f>
        <v>O11</v>
      </c>
      <c r="D134" s="1190" t="s">
        <v>645</v>
      </c>
      <c r="E134" s="930" t="str">
        <f>Coltura!D132</f>
        <v>Broccolo media produzione</v>
      </c>
      <c r="F134" s="1186">
        <v>340</v>
      </c>
      <c r="G134" s="41">
        <v>180</v>
      </c>
      <c r="H134" s="41">
        <v>20</v>
      </c>
      <c r="I134" s="41" t="s">
        <v>1111</v>
      </c>
      <c r="J134" s="41"/>
      <c r="K134" s="41" t="s">
        <v>570</v>
      </c>
      <c r="L134" s="49">
        <f>IF(I134="tq",H134,IF(I134="s.s.",(H134/(M134/100))))</f>
        <v>20</v>
      </c>
      <c r="M134" s="41">
        <v>10</v>
      </c>
      <c r="N134" s="45">
        <f>Standard!E134</f>
        <v>20</v>
      </c>
      <c r="O134" s="45">
        <f>Standard!F134</f>
        <v>130</v>
      </c>
      <c r="P134" s="45">
        <f>Standard!AU134</f>
        <v>50</v>
      </c>
      <c r="Q134" s="49">
        <f t="shared" si="8"/>
        <v>180</v>
      </c>
      <c r="R134" s="714" t="s">
        <v>1852</v>
      </c>
    </row>
    <row r="135" spans="1:18" x14ac:dyDescent="0.25">
      <c r="A135" s="1189">
        <f>Coltura!A133</f>
        <v>132</v>
      </c>
      <c r="B135" s="1189">
        <f>Coltura!B133</f>
        <v>12</v>
      </c>
      <c r="C135" s="1189" t="str">
        <f>Coltura!C133</f>
        <v>O12</v>
      </c>
      <c r="D135" s="1190" t="s">
        <v>645</v>
      </c>
      <c r="E135" s="1191" t="str">
        <f>Coltura!D133</f>
        <v>Broccolo alta produzione</v>
      </c>
      <c r="F135" s="1186">
        <v>340</v>
      </c>
      <c r="G135" s="41">
        <v>180</v>
      </c>
      <c r="H135" s="41">
        <v>20</v>
      </c>
      <c r="I135" s="823" t="s">
        <v>1111</v>
      </c>
      <c r="J135" s="41"/>
      <c r="K135" s="823" t="s">
        <v>570</v>
      </c>
      <c r="L135" s="49">
        <f t="shared" si="7"/>
        <v>20</v>
      </c>
      <c r="M135" s="41">
        <v>10</v>
      </c>
      <c r="N135" s="1195">
        <f>Standard!E135</f>
        <v>32.5</v>
      </c>
      <c r="O135" s="1195">
        <f>Standard!F135</f>
        <v>160</v>
      </c>
      <c r="P135" s="45">
        <f>Standard!AU135</f>
        <v>50</v>
      </c>
      <c r="Q135" s="49">
        <f t="shared" si="8"/>
        <v>210</v>
      </c>
      <c r="R135" s="714" t="s">
        <v>1852</v>
      </c>
    </row>
    <row r="136" spans="1:18" x14ac:dyDescent="0.25">
      <c r="A136" s="1189">
        <f>Coltura!A134</f>
        <v>133</v>
      </c>
      <c r="B136" s="1189">
        <f>Coltura!B134</f>
        <v>13</v>
      </c>
      <c r="C136" s="1189" t="str">
        <f>Coltura!C134</f>
        <v>O13</v>
      </c>
      <c r="D136" s="1190" t="s">
        <v>645</v>
      </c>
      <c r="E136" s="930" t="str">
        <f>Coltura!D134</f>
        <v>Cappuccio media produzione</v>
      </c>
      <c r="F136" s="1186">
        <v>340</v>
      </c>
      <c r="G136" s="41">
        <v>250</v>
      </c>
      <c r="H136" s="41">
        <v>27</v>
      </c>
      <c r="I136" s="41" t="s">
        <v>1111</v>
      </c>
      <c r="J136" s="41"/>
      <c r="K136" s="41" t="s">
        <v>570</v>
      </c>
      <c r="L136" s="49">
        <f t="shared" si="7"/>
        <v>27</v>
      </c>
      <c r="M136" s="41">
        <v>7.8</v>
      </c>
      <c r="N136" s="45">
        <f>Standard!E136</f>
        <v>27</v>
      </c>
      <c r="O136" s="45">
        <f>Standard!F136</f>
        <v>150</v>
      </c>
      <c r="P136" s="45">
        <f>Standard!AU136</f>
        <v>40</v>
      </c>
      <c r="Q136" s="49">
        <f t="shared" si="8"/>
        <v>190</v>
      </c>
      <c r="R136" s="714" t="s">
        <v>1852</v>
      </c>
    </row>
    <row r="137" spans="1:18" x14ac:dyDescent="0.25">
      <c r="A137" s="1189">
        <f>Coltura!A135</f>
        <v>134</v>
      </c>
      <c r="B137" s="1189">
        <f>Coltura!B135</f>
        <v>14</v>
      </c>
      <c r="C137" s="1189" t="str">
        <f>Coltura!C135</f>
        <v>O14</v>
      </c>
      <c r="D137" s="1190" t="s">
        <v>645</v>
      </c>
      <c r="E137" s="1191" t="str">
        <f>Coltura!D135</f>
        <v>Cappuccio alta produzione</v>
      </c>
      <c r="F137" s="1186">
        <v>340</v>
      </c>
      <c r="G137" s="41">
        <v>250</v>
      </c>
      <c r="H137" s="41">
        <v>27</v>
      </c>
      <c r="I137" s="41" t="s">
        <v>1111</v>
      </c>
      <c r="J137" s="41"/>
      <c r="K137" s="41" t="s">
        <v>570</v>
      </c>
      <c r="L137" s="49">
        <f t="shared" si="7"/>
        <v>27</v>
      </c>
      <c r="M137" s="41">
        <v>7.8</v>
      </c>
      <c r="N137" s="1195">
        <v>50</v>
      </c>
      <c r="O137" s="1195">
        <v>180</v>
      </c>
      <c r="P137" s="45">
        <v>40</v>
      </c>
      <c r="Q137" s="49">
        <f t="shared" si="8"/>
        <v>220</v>
      </c>
      <c r="R137" s="714" t="s">
        <v>1852</v>
      </c>
    </row>
    <row r="138" spans="1:18" x14ac:dyDescent="0.25">
      <c r="A138" s="1189">
        <f>Coltura!A136</f>
        <v>135</v>
      </c>
      <c r="B138" s="1189">
        <f>Coltura!B136</f>
        <v>15</v>
      </c>
      <c r="C138" s="1189" t="str">
        <f>Coltura!C136</f>
        <v>O15</v>
      </c>
      <c r="D138" s="1190" t="s">
        <v>645</v>
      </c>
      <c r="E138" s="930" t="str">
        <f>Coltura!D136</f>
        <v>Carciofo</v>
      </c>
      <c r="F138" s="1186">
        <v>340</v>
      </c>
      <c r="G138" s="41" t="s">
        <v>645</v>
      </c>
      <c r="H138" s="41" t="s">
        <v>645</v>
      </c>
      <c r="I138" s="41" t="s">
        <v>645</v>
      </c>
      <c r="J138" s="41" t="s">
        <v>645</v>
      </c>
      <c r="K138" s="41" t="s">
        <v>570</v>
      </c>
      <c r="L138" s="49" t="b">
        <f t="shared" si="7"/>
        <v>0</v>
      </c>
      <c r="M138" s="41">
        <v>16</v>
      </c>
      <c r="N138" s="45">
        <f>Standard!E138</f>
        <v>15.5</v>
      </c>
      <c r="O138" s="45">
        <f>Standard!F138</f>
        <v>180</v>
      </c>
      <c r="P138" s="45">
        <f>Standard!AU138</f>
        <v>50</v>
      </c>
      <c r="Q138" s="49">
        <f t="shared" si="8"/>
        <v>230</v>
      </c>
      <c r="R138" s="714" t="s">
        <v>1852</v>
      </c>
    </row>
    <row r="139" spans="1:18" x14ac:dyDescent="0.25">
      <c r="A139" s="1189">
        <f>Coltura!A137</f>
        <v>136</v>
      </c>
      <c r="B139" s="1189">
        <f>Coltura!B137</f>
        <v>16</v>
      </c>
      <c r="C139" s="1189" t="str">
        <f>Coltura!C137</f>
        <v>O16</v>
      </c>
      <c r="D139" s="1190" t="s">
        <v>645</v>
      </c>
      <c r="E139" s="930" t="str">
        <f>Coltura!D137</f>
        <v>Cardo media produzione</v>
      </c>
      <c r="F139" s="1186">
        <v>340</v>
      </c>
      <c r="G139" s="41" t="s">
        <v>645</v>
      </c>
      <c r="H139" s="41" t="s">
        <v>645</v>
      </c>
      <c r="I139" s="41" t="s">
        <v>645</v>
      </c>
      <c r="J139" s="41" t="s">
        <v>645</v>
      </c>
      <c r="K139" s="41" t="s">
        <v>570</v>
      </c>
      <c r="L139" s="49" t="b">
        <f t="shared" si="7"/>
        <v>0</v>
      </c>
      <c r="M139" s="41">
        <v>5.7</v>
      </c>
      <c r="N139" s="45">
        <f>Standard!E139</f>
        <v>25.5</v>
      </c>
      <c r="O139" s="45">
        <f>Standard!F139</f>
        <v>120</v>
      </c>
      <c r="P139" s="45">
        <f>Standard!AU139</f>
        <v>50</v>
      </c>
      <c r="Q139" s="49">
        <f t="shared" si="8"/>
        <v>170</v>
      </c>
      <c r="R139" s="714" t="s">
        <v>1537</v>
      </c>
    </row>
    <row r="140" spans="1:18" x14ac:dyDescent="0.25">
      <c r="A140" s="1189">
        <f>Coltura!A138</f>
        <v>137</v>
      </c>
      <c r="B140" s="1189">
        <f>Coltura!B138</f>
        <v>17</v>
      </c>
      <c r="C140" s="1189" t="str">
        <f>Coltura!C138</f>
        <v>O17</v>
      </c>
      <c r="D140" s="1190" t="s">
        <v>645</v>
      </c>
      <c r="E140" s="930" t="str">
        <f>Coltura!D138</f>
        <v>Cardo alta produzione</v>
      </c>
      <c r="F140" s="1186">
        <v>340</v>
      </c>
      <c r="G140" s="41" t="s">
        <v>645</v>
      </c>
      <c r="H140" s="41" t="s">
        <v>645</v>
      </c>
      <c r="I140" s="41" t="s">
        <v>645</v>
      </c>
      <c r="J140" s="41" t="s">
        <v>645</v>
      </c>
      <c r="K140" s="41" t="s">
        <v>570</v>
      </c>
      <c r="L140" s="49" t="b">
        <f t="shared" ref="L140" si="15">IF(I140="tq",H140,IF(I140="s.s.",(H140/(M140/100))))</f>
        <v>0</v>
      </c>
      <c r="M140" s="41">
        <v>5.7</v>
      </c>
      <c r="N140" s="45">
        <f>Standard!E140</f>
        <v>32.5</v>
      </c>
      <c r="O140" s="45">
        <f>Standard!F140</f>
        <v>150</v>
      </c>
      <c r="P140" s="45">
        <f>Standard!AU140</f>
        <v>50</v>
      </c>
      <c r="Q140" s="49">
        <f t="shared" ref="Q140" si="16">(O140+P140)</f>
        <v>200</v>
      </c>
      <c r="R140" s="714" t="s">
        <v>1537</v>
      </c>
    </row>
    <row r="141" spans="1:18" x14ac:dyDescent="0.25">
      <c r="A141" s="1189">
        <f>Coltura!A139</f>
        <v>138</v>
      </c>
      <c r="B141" s="1189">
        <f>Coltura!B139</f>
        <v>18</v>
      </c>
      <c r="C141" s="1189" t="str">
        <f>Coltura!C139</f>
        <v>O18</v>
      </c>
      <c r="D141" s="1190" t="s">
        <v>645</v>
      </c>
      <c r="E141" s="930" t="str">
        <f>Coltura!D139</f>
        <v>Carota</v>
      </c>
      <c r="F141" s="1186">
        <v>340</v>
      </c>
      <c r="G141" s="41">
        <v>195</v>
      </c>
      <c r="H141" s="41">
        <v>55</v>
      </c>
      <c r="I141" s="41" t="s">
        <v>1111</v>
      </c>
      <c r="J141" s="41"/>
      <c r="K141" s="41" t="s">
        <v>570</v>
      </c>
      <c r="L141" s="49">
        <f t="shared" si="7"/>
        <v>55</v>
      </c>
      <c r="M141" s="41">
        <v>12</v>
      </c>
      <c r="N141" s="45">
        <f>Standard!E141</f>
        <v>50</v>
      </c>
      <c r="O141" s="45">
        <f>Standard!F141</f>
        <v>120</v>
      </c>
      <c r="P141" s="45">
        <f>Standard!AU141</f>
        <v>50</v>
      </c>
      <c r="Q141" s="49">
        <f t="shared" si="8"/>
        <v>170</v>
      </c>
      <c r="R141" s="714" t="s">
        <v>1852</v>
      </c>
    </row>
    <row r="142" spans="1:18" x14ac:dyDescent="0.25">
      <c r="A142" s="1189">
        <f>Coltura!A140</f>
        <v>139</v>
      </c>
      <c r="B142" s="1189">
        <f>Coltura!B140</f>
        <v>19</v>
      </c>
      <c r="C142" s="1189" t="str">
        <f>Coltura!C140</f>
        <v>O19</v>
      </c>
      <c r="D142" s="1190" t="s">
        <v>645</v>
      </c>
      <c r="E142" s="930" t="str">
        <f>Coltura!D140</f>
        <v>Cavolfiore media produzione</v>
      </c>
      <c r="F142" s="1186">
        <v>340</v>
      </c>
      <c r="G142" s="41">
        <v>225</v>
      </c>
      <c r="H142" s="41">
        <v>35</v>
      </c>
      <c r="I142" s="41" t="s">
        <v>1111</v>
      </c>
      <c r="J142" s="41"/>
      <c r="K142" s="41" t="s">
        <v>570</v>
      </c>
      <c r="L142" s="49">
        <f t="shared" si="7"/>
        <v>35</v>
      </c>
      <c r="M142" s="41">
        <v>9.5</v>
      </c>
      <c r="N142" s="45">
        <f>Standard!E142</f>
        <v>35</v>
      </c>
      <c r="O142" s="45">
        <f>Standard!F142</f>
        <v>150</v>
      </c>
      <c r="P142" s="45">
        <f>Standard!AU142</f>
        <v>40</v>
      </c>
      <c r="Q142" s="49">
        <f t="shared" si="8"/>
        <v>190</v>
      </c>
      <c r="R142" s="714" t="s">
        <v>1852</v>
      </c>
    </row>
    <row r="143" spans="1:18" x14ac:dyDescent="0.25">
      <c r="A143" s="1189">
        <f>Coltura!A141</f>
        <v>140</v>
      </c>
      <c r="B143" s="1189">
        <f>Coltura!B141</f>
        <v>20</v>
      </c>
      <c r="C143" s="1189" t="str">
        <f>Coltura!C141</f>
        <v>O20</v>
      </c>
      <c r="D143" s="1190" t="s">
        <v>645</v>
      </c>
      <c r="E143" s="930" t="str">
        <f>Coltura!D141</f>
        <v>Cavolfiore alta produzione</v>
      </c>
      <c r="F143" s="1186">
        <v>340</v>
      </c>
      <c r="G143" s="41">
        <v>225</v>
      </c>
      <c r="H143" s="41">
        <v>35</v>
      </c>
      <c r="I143" s="823" t="s">
        <v>1111</v>
      </c>
      <c r="J143" s="41"/>
      <c r="K143" s="823" t="s">
        <v>570</v>
      </c>
      <c r="L143" s="49">
        <f t="shared" si="7"/>
        <v>35</v>
      </c>
      <c r="M143" s="41">
        <v>9.5</v>
      </c>
      <c r="N143" s="1195">
        <f>Standard!E143</f>
        <v>45</v>
      </c>
      <c r="O143" s="1195">
        <f>Standard!F143</f>
        <v>180</v>
      </c>
      <c r="P143" s="1196">
        <f>Standard!AU143</f>
        <v>40</v>
      </c>
      <c r="Q143" s="49">
        <f t="shared" si="8"/>
        <v>220</v>
      </c>
      <c r="R143" s="714" t="s">
        <v>1852</v>
      </c>
    </row>
    <row r="144" spans="1:18" x14ac:dyDescent="0.25">
      <c r="A144" s="1189">
        <f>Coltura!A142</f>
        <v>141</v>
      </c>
      <c r="B144" s="1189">
        <f>Coltura!B142</f>
        <v>21</v>
      </c>
      <c r="C144" s="1189" t="str">
        <f>Coltura!C142</f>
        <v>O21</v>
      </c>
      <c r="D144" s="1190" t="s">
        <v>645</v>
      </c>
      <c r="E144" s="930" t="str">
        <f>Coltura!D142</f>
        <v>Cavolo verza mercato media produzione</v>
      </c>
      <c r="F144" s="1186">
        <v>340</v>
      </c>
      <c r="G144" s="41">
        <v>165</v>
      </c>
      <c r="H144" s="41">
        <v>30</v>
      </c>
      <c r="I144" s="823" t="s">
        <v>1111</v>
      </c>
      <c r="J144" s="41"/>
      <c r="K144" s="823" t="s">
        <v>570</v>
      </c>
      <c r="L144" s="49">
        <f t="shared" ref="L144:L145" si="17">IF(I144="tq",H144,IF(I144="s.s.",(H144/(M144/100))))</f>
        <v>30</v>
      </c>
      <c r="M144" s="41">
        <v>9.5</v>
      </c>
      <c r="N144" s="1195">
        <f>Standard!E144</f>
        <v>24</v>
      </c>
      <c r="O144" s="1195">
        <f>Standard!F144</f>
        <v>130</v>
      </c>
      <c r="P144" s="1196">
        <f>Standard!AU144</f>
        <v>50</v>
      </c>
      <c r="Q144" s="49">
        <f t="shared" ref="Q144:Q145" si="18">(O144+P144)</f>
        <v>180</v>
      </c>
      <c r="R144" s="714" t="s">
        <v>1852</v>
      </c>
    </row>
    <row r="145" spans="1:19" x14ac:dyDescent="0.25">
      <c r="A145" s="1189">
        <f>Coltura!A143</f>
        <v>142</v>
      </c>
      <c r="B145" s="1189">
        <f>Coltura!B143</f>
        <v>22</v>
      </c>
      <c r="C145" s="1189" t="str">
        <f>Coltura!C143</f>
        <v>O22</v>
      </c>
      <c r="D145" s="1190" t="s">
        <v>645</v>
      </c>
      <c r="E145" s="930" t="str">
        <f>Coltura!D143</f>
        <v>Cavolo verza mercato alta produzione</v>
      </c>
      <c r="F145" s="1186">
        <v>340</v>
      </c>
      <c r="G145" s="41">
        <v>165</v>
      </c>
      <c r="H145" s="41">
        <v>30</v>
      </c>
      <c r="I145" s="823" t="s">
        <v>1111</v>
      </c>
      <c r="J145" s="41"/>
      <c r="K145" s="823" t="s">
        <v>570</v>
      </c>
      <c r="L145" s="49">
        <f t="shared" si="17"/>
        <v>30</v>
      </c>
      <c r="M145" s="41">
        <v>9.5</v>
      </c>
      <c r="N145" s="1195">
        <f>Standard!E145</f>
        <v>50</v>
      </c>
      <c r="O145" s="1195">
        <f>Standard!F145</f>
        <v>160</v>
      </c>
      <c r="P145" s="1196">
        <f>Standard!AU145</f>
        <v>50</v>
      </c>
      <c r="Q145" s="49">
        <f t="shared" si="18"/>
        <v>210</v>
      </c>
      <c r="R145" s="714" t="s">
        <v>1852</v>
      </c>
    </row>
    <row r="146" spans="1:19" x14ac:dyDescent="0.25">
      <c r="A146" s="1189">
        <f>Coltura!A144</f>
        <v>143</v>
      </c>
      <c r="B146" s="1189">
        <f>Coltura!B144</f>
        <v>23</v>
      </c>
      <c r="C146" s="1189" t="str">
        <f>Coltura!C144</f>
        <v>O23</v>
      </c>
      <c r="D146" s="1190" t="s">
        <v>645</v>
      </c>
      <c r="E146" s="930" t="str">
        <f>Coltura!D144</f>
        <v>Cavolo Riccio, Cavolo nero e Cavolo Rapa</v>
      </c>
      <c r="F146" s="1186">
        <v>340</v>
      </c>
      <c r="G146" s="41">
        <v>180</v>
      </c>
      <c r="H146" s="41">
        <v>20</v>
      </c>
      <c r="I146" s="823" t="s">
        <v>1111</v>
      </c>
      <c r="J146" s="41" t="s">
        <v>645</v>
      </c>
      <c r="K146" s="41" t="s">
        <v>570</v>
      </c>
      <c r="L146" s="49">
        <f t="shared" si="7"/>
        <v>20</v>
      </c>
      <c r="M146" s="41">
        <v>9.5</v>
      </c>
      <c r="N146" s="45">
        <f>Standard!E146</f>
        <v>20</v>
      </c>
      <c r="O146" s="45">
        <f>Standard!F146</f>
        <v>130</v>
      </c>
      <c r="P146" s="45">
        <f>Standard!AU146</f>
        <v>50</v>
      </c>
      <c r="Q146" s="49">
        <f>(O146+P146)</f>
        <v>180</v>
      </c>
      <c r="R146" s="714" t="s">
        <v>1537</v>
      </c>
    </row>
    <row r="147" spans="1:19" x14ac:dyDescent="0.25">
      <c r="A147" s="1189">
        <f>Coltura!A145</f>
        <v>144</v>
      </c>
      <c r="B147" s="1189">
        <f>Coltura!B145</f>
        <v>24</v>
      </c>
      <c r="C147" s="1189" t="str">
        <f>Coltura!C145</f>
        <v>O24</v>
      </c>
      <c r="D147" s="1190" t="s">
        <v>645</v>
      </c>
      <c r="E147" s="930" t="str">
        <f>Coltura!D145</f>
        <v>Cetriolo da mensa media produzione</v>
      </c>
      <c r="F147" s="1186">
        <v>340</v>
      </c>
      <c r="G147" s="41">
        <v>225</v>
      </c>
      <c r="H147" s="41">
        <v>25</v>
      </c>
      <c r="I147" s="41" t="s">
        <v>1111</v>
      </c>
      <c r="J147" s="41"/>
      <c r="K147" s="41" t="s">
        <v>570</v>
      </c>
      <c r="L147" s="49">
        <f t="shared" si="7"/>
        <v>25</v>
      </c>
      <c r="M147" s="41">
        <v>5</v>
      </c>
      <c r="N147" s="45">
        <f>Standard!E147</f>
        <v>120</v>
      </c>
      <c r="O147" s="45">
        <f>Standard!F147</f>
        <v>175</v>
      </c>
      <c r="P147" s="45">
        <f>Standard!AU147</f>
        <v>40</v>
      </c>
      <c r="Q147" s="49">
        <f t="shared" si="8"/>
        <v>215</v>
      </c>
      <c r="R147" s="714" t="s">
        <v>1852</v>
      </c>
    </row>
    <row r="148" spans="1:19" x14ac:dyDescent="0.25">
      <c r="A148" s="1189">
        <f>Coltura!A146</f>
        <v>145</v>
      </c>
      <c r="B148" s="1189">
        <f>Coltura!B146</f>
        <v>25</v>
      </c>
      <c r="C148" s="1189" t="str">
        <f>Coltura!C146</f>
        <v>O25</v>
      </c>
      <c r="D148" s="1190" t="s">
        <v>645</v>
      </c>
      <c r="E148" s="930" t="str">
        <f>Coltura!D146</f>
        <v>Cetriolo da mensa alta produzione</v>
      </c>
      <c r="F148" s="1186">
        <v>340</v>
      </c>
      <c r="G148" s="41">
        <v>225</v>
      </c>
      <c r="H148" s="41">
        <v>25</v>
      </c>
      <c r="I148" s="41" t="s">
        <v>1111</v>
      </c>
      <c r="J148" s="41"/>
      <c r="K148" s="41" t="s">
        <v>570</v>
      </c>
      <c r="L148" s="49">
        <f t="shared" ref="L148" si="19">IF(I148="tq",H148,IF(I148="s.s.",(H148/(M148/100))))</f>
        <v>25</v>
      </c>
      <c r="M148" s="41">
        <v>5</v>
      </c>
      <c r="N148" s="45">
        <f>Standard!E148</f>
        <v>150</v>
      </c>
      <c r="O148" s="45">
        <f>Standard!F148</f>
        <v>210</v>
      </c>
      <c r="P148" s="45">
        <f>Standard!AU148</f>
        <v>40</v>
      </c>
      <c r="Q148" s="49">
        <f t="shared" ref="Q148" si="20">(O148+P148)</f>
        <v>250</v>
      </c>
      <c r="R148" s="714" t="s">
        <v>1852</v>
      </c>
    </row>
    <row r="149" spans="1:19" x14ac:dyDescent="0.25">
      <c r="A149" s="1189">
        <f>Coltura!A147</f>
        <v>146</v>
      </c>
      <c r="B149" s="1189">
        <f>Coltura!B147</f>
        <v>26</v>
      </c>
      <c r="C149" s="1189" t="str">
        <f>Coltura!C147</f>
        <v>O26</v>
      </c>
      <c r="D149" s="1190" t="s">
        <v>645</v>
      </c>
      <c r="E149" s="930" t="str">
        <f>Coltura!D147</f>
        <v>Cicoria da mercato media produzione</v>
      </c>
      <c r="F149" s="1186">
        <v>340</v>
      </c>
      <c r="G149" s="41">
        <v>210</v>
      </c>
      <c r="H149" s="41">
        <v>32</v>
      </c>
      <c r="I149" s="41" t="s">
        <v>1111</v>
      </c>
      <c r="J149" s="41"/>
      <c r="K149" s="41" t="s">
        <v>570</v>
      </c>
      <c r="L149" s="49">
        <f t="shared" si="7"/>
        <v>32</v>
      </c>
      <c r="M149" s="41">
        <v>6.6</v>
      </c>
      <c r="N149" s="45">
        <f>Standard!E149</f>
        <v>28</v>
      </c>
      <c r="O149" s="45">
        <f>Standard!F149</f>
        <v>140</v>
      </c>
      <c r="P149" s="45">
        <f>Standard!AU149</f>
        <v>40</v>
      </c>
      <c r="Q149" s="49">
        <f t="shared" si="8"/>
        <v>180</v>
      </c>
      <c r="R149" s="714" t="s">
        <v>1852</v>
      </c>
    </row>
    <row r="150" spans="1:19" x14ac:dyDescent="0.25">
      <c r="A150" s="1189">
        <f>Coltura!A148</f>
        <v>147</v>
      </c>
      <c r="B150" s="1189">
        <f>Coltura!B148</f>
        <v>27</v>
      </c>
      <c r="C150" s="1189" t="str">
        <f>Coltura!C148</f>
        <v>O27</v>
      </c>
      <c r="D150" s="1190" t="s">
        <v>645</v>
      </c>
      <c r="E150" s="930" t="str">
        <f>Coltura!D148</f>
        <v>Cicoria da mercato alta produzione</v>
      </c>
      <c r="F150" s="1186">
        <v>340</v>
      </c>
      <c r="G150" s="41">
        <v>210</v>
      </c>
      <c r="H150" s="41">
        <v>32</v>
      </c>
      <c r="I150" s="41" t="s">
        <v>1111</v>
      </c>
      <c r="J150" s="41"/>
      <c r="K150" s="41" t="s">
        <v>570</v>
      </c>
      <c r="L150" s="49">
        <f t="shared" ref="L150" si="21">IF(I150="tq",H150,IF(I150="s.s.",(H150/(M150/100))))</f>
        <v>32</v>
      </c>
      <c r="M150" s="41">
        <v>6.6</v>
      </c>
      <c r="N150" s="45">
        <f>Standard!E150</f>
        <v>37.5</v>
      </c>
      <c r="O150" s="45">
        <f>Standard!F150</f>
        <v>165</v>
      </c>
      <c r="P150" s="45">
        <f>Standard!AU150</f>
        <v>40</v>
      </c>
      <c r="Q150" s="49">
        <f t="shared" ref="Q150" si="22">(O150+P150)</f>
        <v>205</v>
      </c>
      <c r="R150" s="714" t="s">
        <v>1852</v>
      </c>
    </row>
    <row r="151" spans="1:19" x14ac:dyDescent="0.25">
      <c r="A151" s="1189">
        <f>Coltura!A149</f>
        <v>148</v>
      </c>
      <c r="B151" s="1189">
        <f>Coltura!B149</f>
        <v>28</v>
      </c>
      <c r="C151" s="1189" t="str">
        <f>Coltura!C149</f>
        <v>O28</v>
      </c>
      <c r="D151" s="1190" t="s">
        <v>645</v>
      </c>
      <c r="E151" s="930" t="str">
        <f>Coltura!D149</f>
        <v>Cicoria da industria alta produzione più tagli</v>
      </c>
      <c r="F151" s="1186">
        <v>340</v>
      </c>
      <c r="G151" s="41">
        <v>210</v>
      </c>
      <c r="H151" s="41">
        <v>32</v>
      </c>
      <c r="I151" s="41" t="s">
        <v>1111</v>
      </c>
      <c r="J151" s="41"/>
      <c r="K151" s="41" t="s">
        <v>570</v>
      </c>
      <c r="L151" s="49">
        <f t="shared" ref="L151" si="23">IF(I151="tq",H151,IF(I151="s.s.",(H151/(M151/100))))</f>
        <v>32</v>
      </c>
      <c r="M151" s="41">
        <v>6.6</v>
      </c>
      <c r="N151" s="45">
        <f>Standard!E151</f>
        <v>28</v>
      </c>
      <c r="O151" s="45">
        <f>Standard!F151</f>
        <v>140</v>
      </c>
      <c r="P151" s="45">
        <f>Standard!AU151</f>
        <v>40</v>
      </c>
      <c r="Q151" s="49">
        <f t="shared" ref="Q151" si="24">(O151+P151)</f>
        <v>180</v>
      </c>
      <c r="R151" s="714" t="s">
        <v>1852</v>
      </c>
    </row>
    <row r="152" spans="1:19" x14ac:dyDescent="0.25">
      <c r="A152" s="1189">
        <f>Coltura!A150</f>
        <v>149</v>
      </c>
      <c r="B152" s="1189">
        <f>Coltura!B150</f>
        <v>29</v>
      </c>
      <c r="C152" s="1189" t="str">
        <f>Coltura!C150</f>
        <v>O29</v>
      </c>
      <c r="D152" s="1190" t="s">
        <v>645</v>
      </c>
      <c r="E152" s="930" t="str">
        <f>Coltura!D150</f>
        <v>Cipolla media produzione</v>
      </c>
      <c r="F152" s="1186">
        <v>340</v>
      </c>
      <c r="G152" s="41">
        <v>160</v>
      </c>
      <c r="H152" s="41">
        <v>35</v>
      </c>
      <c r="I152" s="41" t="s">
        <v>1111</v>
      </c>
      <c r="J152" s="41"/>
      <c r="K152" s="41" t="s">
        <v>570</v>
      </c>
      <c r="L152" s="49">
        <f t="shared" si="7"/>
        <v>35</v>
      </c>
      <c r="M152" s="41">
        <v>7.9</v>
      </c>
      <c r="N152" s="45">
        <f>Standard!E152</f>
        <v>45</v>
      </c>
      <c r="O152" s="45">
        <f>Standard!F152</f>
        <v>130</v>
      </c>
      <c r="P152" s="45">
        <f>Standard!AU152</f>
        <v>50</v>
      </c>
      <c r="Q152" s="49">
        <f t="shared" si="8"/>
        <v>180</v>
      </c>
      <c r="R152" s="714" t="s">
        <v>1852</v>
      </c>
    </row>
    <row r="153" spans="1:19" s="1169" customFormat="1" x14ac:dyDescent="0.25">
      <c r="A153" s="1193">
        <f>Coltura!A151</f>
        <v>150</v>
      </c>
      <c r="B153" s="1193">
        <f>Coltura!B151</f>
        <v>30</v>
      </c>
      <c r="C153" s="1193" t="str">
        <f>Coltura!C151</f>
        <v>O30</v>
      </c>
      <c r="D153" s="1193" t="s">
        <v>645</v>
      </c>
      <c r="E153" s="1169" t="str">
        <f>Coltura!D151</f>
        <v>Cipolla alta produzione</v>
      </c>
      <c r="F153" s="1197">
        <v>340</v>
      </c>
      <c r="G153" s="1168">
        <v>160</v>
      </c>
      <c r="H153" s="1168">
        <v>65</v>
      </c>
      <c r="I153" s="1168" t="s">
        <v>1111</v>
      </c>
      <c r="J153" s="1168"/>
      <c r="K153" s="1168" t="s">
        <v>570</v>
      </c>
      <c r="L153" s="1168">
        <f t="shared" ref="L153" si="25">IF(I153="tq",H153,IF(I153="s.s.",(H153/(M153/100))))</f>
        <v>65</v>
      </c>
      <c r="M153" s="1168">
        <v>7.9</v>
      </c>
      <c r="N153" s="1168">
        <f>Standard!E153</f>
        <v>65</v>
      </c>
      <c r="O153" s="1168">
        <f>Standard!F153</f>
        <v>180</v>
      </c>
      <c r="P153" s="1168">
        <f>Standard!AU153</f>
        <v>50</v>
      </c>
      <c r="Q153" s="1168">
        <f t="shared" ref="Q153" si="26">(O153+P153)</f>
        <v>230</v>
      </c>
      <c r="R153" s="714" t="s">
        <v>1507</v>
      </c>
      <c r="S153" s="32"/>
    </row>
    <row r="154" spans="1:19" x14ac:dyDescent="0.25">
      <c r="A154" s="1189">
        <f>Coltura!A152</f>
        <v>151</v>
      </c>
      <c r="B154" s="1189">
        <f>Coltura!B152</f>
        <v>31</v>
      </c>
      <c r="C154" s="1189" t="str">
        <f>Coltura!C152</f>
        <v>O31</v>
      </c>
      <c r="D154" s="1190" t="s">
        <v>645</v>
      </c>
      <c r="E154" s="930" t="str">
        <f>Coltura!D152</f>
        <v>Cocomero</v>
      </c>
      <c r="F154" s="1186">
        <v>340</v>
      </c>
      <c r="G154" s="41">
        <v>130</v>
      </c>
      <c r="H154" s="41">
        <v>60</v>
      </c>
      <c r="I154" s="41" t="s">
        <v>1111</v>
      </c>
      <c r="J154" s="41"/>
      <c r="K154" s="41" t="s">
        <v>570</v>
      </c>
      <c r="L154" s="49">
        <f t="shared" si="7"/>
        <v>60</v>
      </c>
      <c r="M154" s="41">
        <v>5</v>
      </c>
      <c r="N154" s="45">
        <f>Standard!E154</f>
        <v>60</v>
      </c>
      <c r="O154" s="45">
        <f>Standard!F154</f>
        <v>100</v>
      </c>
      <c r="P154" s="45">
        <f>Standard!AU154</f>
        <v>30</v>
      </c>
      <c r="Q154" s="49">
        <f t="shared" si="8"/>
        <v>130</v>
      </c>
      <c r="R154" s="714" t="s">
        <v>1852</v>
      </c>
    </row>
    <row r="155" spans="1:19" x14ac:dyDescent="0.25">
      <c r="A155" s="1189">
        <f>Coltura!A153</f>
        <v>152</v>
      </c>
      <c r="B155" s="1189">
        <f>Coltura!B153</f>
        <v>32</v>
      </c>
      <c r="C155" s="1189" t="str">
        <f>Coltura!C153</f>
        <v>O32</v>
      </c>
      <c r="D155" s="1190" t="s">
        <v>645</v>
      </c>
      <c r="E155" s="930" t="str">
        <f>Coltura!D153</f>
        <v>Endivie (indivie riccia e scarola) media produzione</v>
      </c>
      <c r="F155" s="1186">
        <v>340</v>
      </c>
      <c r="G155" s="41">
        <v>130</v>
      </c>
      <c r="H155" s="41">
        <v>35</v>
      </c>
      <c r="I155" s="41" t="s">
        <v>1111</v>
      </c>
      <c r="J155" s="41"/>
      <c r="K155" s="41" t="s">
        <v>570</v>
      </c>
      <c r="L155" s="49">
        <f t="shared" si="7"/>
        <v>35</v>
      </c>
      <c r="M155" s="41"/>
      <c r="N155" s="45">
        <f>Standard!E155</f>
        <v>34</v>
      </c>
      <c r="O155" s="45">
        <f>Standard!F155</f>
        <v>130</v>
      </c>
      <c r="P155" s="45">
        <f>Standard!AU155</f>
        <v>40</v>
      </c>
      <c r="Q155" s="49">
        <f t="shared" si="8"/>
        <v>170</v>
      </c>
      <c r="R155" s="714" t="s">
        <v>1852</v>
      </c>
    </row>
    <row r="156" spans="1:19" x14ac:dyDescent="0.25">
      <c r="A156" s="1189">
        <f>Coltura!A154</f>
        <v>153</v>
      </c>
      <c r="B156" s="1189">
        <f>Coltura!B154</f>
        <v>33</v>
      </c>
      <c r="C156" s="1189" t="str">
        <f>Coltura!C154</f>
        <v>O33</v>
      </c>
      <c r="D156" s="1190" t="s">
        <v>645</v>
      </c>
      <c r="E156" s="930" t="str">
        <f>Coltura!D154</f>
        <v>Endivie (indivie riccia e scarola) alta produzione</v>
      </c>
      <c r="F156" s="1186">
        <v>340</v>
      </c>
      <c r="G156" s="41">
        <v>130</v>
      </c>
      <c r="H156" s="41">
        <v>35</v>
      </c>
      <c r="I156" s="41" t="s">
        <v>1111</v>
      </c>
      <c r="J156" s="41"/>
      <c r="K156" s="41" t="s">
        <v>570</v>
      </c>
      <c r="L156" s="49">
        <f t="shared" ref="L156" si="27">IF(I156="tq",H156,IF(I156="s.s.",(H156/(M156/100))))</f>
        <v>35</v>
      </c>
      <c r="M156" s="41"/>
      <c r="N156" s="45">
        <f>Standard!E156</f>
        <v>45</v>
      </c>
      <c r="O156" s="45">
        <f>Standard!F156</f>
        <v>160</v>
      </c>
      <c r="P156" s="45">
        <f>Standard!AU156</f>
        <v>40</v>
      </c>
      <c r="Q156" s="49">
        <f t="shared" ref="Q156" si="28">(O156+P156)</f>
        <v>200</v>
      </c>
      <c r="R156" s="714" t="s">
        <v>1852</v>
      </c>
    </row>
    <row r="157" spans="1:19" x14ac:dyDescent="0.25">
      <c r="A157" s="1189">
        <f>Coltura!A155</f>
        <v>154</v>
      </c>
      <c r="B157" s="1189">
        <f>Coltura!B155</f>
        <v>34</v>
      </c>
      <c r="C157" s="1189" t="str">
        <f>Coltura!C155</f>
        <v>O34</v>
      </c>
      <c r="D157" s="1190" t="s">
        <v>645</v>
      </c>
      <c r="E157" s="930" t="str">
        <f>Coltura!D155</f>
        <v>Fagiolino</v>
      </c>
      <c r="F157" s="1186">
        <v>340</v>
      </c>
      <c r="G157" s="41">
        <v>70</v>
      </c>
      <c r="H157" s="41">
        <v>9</v>
      </c>
      <c r="I157" s="41" t="s">
        <v>1111</v>
      </c>
      <c r="J157" s="41"/>
      <c r="K157" s="41" t="s">
        <v>570</v>
      </c>
      <c r="L157" s="49">
        <f t="shared" si="7"/>
        <v>9</v>
      </c>
      <c r="M157" s="41"/>
      <c r="N157" s="45">
        <f>Standard!E157</f>
        <v>9</v>
      </c>
      <c r="O157" s="45">
        <f>Standard!F157</f>
        <v>70</v>
      </c>
      <c r="P157" s="45">
        <f>Standard!AU157</f>
        <v>25</v>
      </c>
      <c r="Q157" s="49">
        <f t="shared" si="8"/>
        <v>95</v>
      </c>
      <c r="R157" s="714" t="s">
        <v>1852</v>
      </c>
    </row>
    <row r="158" spans="1:19" x14ac:dyDescent="0.25">
      <c r="A158" s="1189">
        <f>Coltura!A156</f>
        <v>155</v>
      </c>
      <c r="B158" s="1189">
        <f>Coltura!B156</f>
        <v>35</v>
      </c>
      <c r="C158" s="1189" t="str">
        <f>Coltura!C156</f>
        <v>O35</v>
      </c>
      <c r="D158" s="1190" t="s">
        <v>645</v>
      </c>
      <c r="E158" s="930" t="str">
        <f>Coltura!D156</f>
        <v>Fagiolo in baccelli da sgranare</v>
      </c>
      <c r="F158" s="1186">
        <v>340</v>
      </c>
      <c r="G158" s="41">
        <v>70</v>
      </c>
      <c r="H158" s="41">
        <v>4</v>
      </c>
      <c r="I158" s="41" t="s">
        <v>1111</v>
      </c>
      <c r="J158" s="41"/>
      <c r="K158" s="41" t="s">
        <v>570</v>
      </c>
      <c r="L158" s="49">
        <f t="shared" ref="L158:L221" si="29">IF(I158="tq",H158,IF(I158="s.s.",(H158/(M158/100))))</f>
        <v>4</v>
      </c>
      <c r="M158" s="41">
        <v>50</v>
      </c>
      <c r="N158" s="45">
        <f>Standard!E158</f>
        <v>5</v>
      </c>
      <c r="O158" s="45">
        <f>Standard!F158</f>
        <v>70</v>
      </c>
      <c r="P158" s="45">
        <f>Standard!AU158</f>
        <v>25</v>
      </c>
      <c r="Q158" s="49">
        <f t="shared" ref="Q158:Q221" si="30">(O158+P158)</f>
        <v>95</v>
      </c>
      <c r="R158" s="714" t="s">
        <v>1852</v>
      </c>
    </row>
    <row r="159" spans="1:19" x14ac:dyDescent="0.25">
      <c r="A159" s="1189">
        <f>Coltura!A157</f>
        <v>156</v>
      </c>
      <c r="B159" s="1189">
        <f>Coltura!B157</f>
        <v>36</v>
      </c>
      <c r="C159" s="1189" t="str">
        <f>Coltura!C157</f>
        <v>O36</v>
      </c>
      <c r="D159" s="1190" t="s">
        <v>645</v>
      </c>
      <c r="E159" s="930" t="str">
        <f>Coltura!D157</f>
        <v>Fagiolo secco</v>
      </c>
      <c r="F159" s="1186">
        <v>340</v>
      </c>
      <c r="G159" s="41" t="s">
        <v>645</v>
      </c>
      <c r="H159" s="41" t="s">
        <v>645</v>
      </c>
      <c r="I159" s="41" t="s">
        <v>645</v>
      </c>
      <c r="J159" s="41" t="s">
        <v>645</v>
      </c>
      <c r="K159" s="41" t="s">
        <v>570</v>
      </c>
      <c r="L159" s="49" t="b">
        <f t="shared" si="29"/>
        <v>0</v>
      </c>
      <c r="M159" s="41">
        <v>86</v>
      </c>
      <c r="N159" s="45" t="str">
        <f>Standard!E159</f>
        <v>nd</v>
      </c>
      <c r="O159" s="45" t="str">
        <f>Standard!F159</f>
        <v>nd</v>
      </c>
      <c r="P159" s="45">
        <f>Standard!AU159</f>
        <v>0</v>
      </c>
      <c r="Q159" s="49" t="e">
        <f>(O159+P159)</f>
        <v>#VALUE!</v>
      </c>
      <c r="R159" s="714"/>
    </row>
    <row r="160" spans="1:19" x14ac:dyDescent="0.25">
      <c r="A160" s="1189">
        <f>Coltura!A158</f>
        <v>157</v>
      </c>
      <c r="B160" s="1189">
        <f>Coltura!B158</f>
        <v>37</v>
      </c>
      <c r="C160" s="1189" t="str">
        <f>Coltura!C158</f>
        <v>O37</v>
      </c>
      <c r="D160" s="1190" t="s">
        <v>645</v>
      </c>
      <c r="E160" s="930" t="str">
        <f>Coltura!D158</f>
        <v>Fava da consumo fresco</v>
      </c>
      <c r="F160" s="1186">
        <v>340</v>
      </c>
      <c r="G160" s="41" t="s">
        <v>645</v>
      </c>
      <c r="H160" s="41" t="s">
        <v>645</v>
      </c>
      <c r="I160" s="41" t="s">
        <v>645</v>
      </c>
      <c r="J160" s="41" t="s">
        <v>645</v>
      </c>
      <c r="K160" s="41" t="s">
        <v>570</v>
      </c>
      <c r="L160" s="49" t="b">
        <f t="shared" si="29"/>
        <v>0</v>
      </c>
      <c r="M160" s="41">
        <v>16</v>
      </c>
      <c r="N160" s="45" t="str">
        <f>Standard!E160</f>
        <v>nd</v>
      </c>
      <c r="O160" s="45" t="str">
        <f>Standard!F160</f>
        <v>nd</v>
      </c>
      <c r="P160" s="45">
        <f>Standard!AU160</f>
        <v>0</v>
      </c>
      <c r="Q160" s="49" t="e">
        <f t="shared" si="30"/>
        <v>#VALUE!</v>
      </c>
      <c r="R160" s="714"/>
    </row>
    <row r="161" spans="1:18" x14ac:dyDescent="0.25">
      <c r="A161" s="1189">
        <f>Coltura!A159</f>
        <v>158</v>
      </c>
      <c r="B161" s="1189">
        <f>Coltura!B159</f>
        <v>38</v>
      </c>
      <c r="C161" s="1189" t="str">
        <f>Coltura!C159</f>
        <v>O38</v>
      </c>
      <c r="D161" s="1190" t="s">
        <v>645</v>
      </c>
      <c r="E161" s="930" t="str">
        <f>Coltura!D159</f>
        <v>Finocchio</v>
      </c>
      <c r="F161" s="1186">
        <v>340</v>
      </c>
      <c r="G161" s="41">
        <v>240</v>
      </c>
      <c r="H161" s="41">
        <v>38</v>
      </c>
      <c r="I161" s="41" t="s">
        <v>1111</v>
      </c>
      <c r="J161" s="41"/>
      <c r="K161" s="41" t="s">
        <v>570</v>
      </c>
      <c r="L161" s="49">
        <f t="shared" si="29"/>
        <v>38</v>
      </c>
      <c r="M161" s="41">
        <v>6.8</v>
      </c>
      <c r="N161" s="45">
        <f>Standard!E161</f>
        <v>30</v>
      </c>
      <c r="O161" s="45">
        <f>Standard!F161</f>
        <v>160</v>
      </c>
      <c r="P161" s="45">
        <f>Standard!AU161</f>
        <v>50</v>
      </c>
      <c r="Q161" s="49">
        <f t="shared" si="30"/>
        <v>210</v>
      </c>
      <c r="R161" s="714" t="s">
        <v>1852</v>
      </c>
    </row>
    <row r="162" spans="1:18" x14ac:dyDescent="0.25">
      <c r="A162" s="1189">
        <f>Coltura!A160</f>
        <v>159</v>
      </c>
      <c r="B162" s="1189">
        <f>Coltura!B160</f>
        <v>39</v>
      </c>
      <c r="C162" s="1189" t="str">
        <f>Coltura!C160</f>
        <v>O39</v>
      </c>
      <c r="D162" s="1190" t="s">
        <v>645</v>
      </c>
      <c r="E162" s="930" t="str">
        <f>Coltura!D160</f>
        <v xml:space="preserve">Fragola </v>
      </c>
      <c r="F162" s="1186">
        <v>340</v>
      </c>
      <c r="G162" s="41">
        <v>160</v>
      </c>
      <c r="H162" s="41">
        <v>35</v>
      </c>
      <c r="I162" s="41" t="s">
        <v>1111</v>
      </c>
      <c r="J162" s="41"/>
      <c r="K162" s="41" t="s">
        <v>570</v>
      </c>
      <c r="L162" s="49">
        <f t="shared" si="29"/>
        <v>35</v>
      </c>
      <c r="M162" s="41">
        <v>10</v>
      </c>
      <c r="N162" s="45">
        <f>Standard!E162</f>
        <v>30</v>
      </c>
      <c r="O162" s="45">
        <f>Standard!F162</f>
        <v>120</v>
      </c>
      <c r="P162" s="45">
        <f>Standard!AU162</f>
        <v>40</v>
      </c>
      <c r="Q162" s="49">
        <f t="shared" si="30"/>
        <v>160</v>
      </c>
      <c r="R162" s="714" t="s">
        <v>1852</v>
      </c>
    </row>
    <row r="163" spans="1:18" x14ac:dyDescent="0.25">
      <c r="A163" s="1189">
        <f>Coltura!A161</f>
        <v>160</v>
      </c>
      <c r="B163" s="1189">
        <f>Coltura!B161</f>
        <v>40</v>
      </c>
      <c r="C163" s="1189" t="str">
        <f>Coltura!C161</f>
        <v>O40</v>
      </c>
      <c r="D163" s="1190" t="s">
        <v>645</v>
      </c>
      <c r="E163" s="930" t="str">
        <f>Coltura!D161</f>
        <v>Lattuga</v>
      </c>
      <c r="F163" s="1186">
        <v>340</v>
      </c>
      <c r="G163" s="41">
        <v>130</v>
      </c>
      <c r="H163" s="41">
        <v>30</v>
      </c>
      <c r="I163" s="41" t="s">
        <v>1111</v>
      </c>
      <c r="J163" s="41"/>
      <c r="K163" s="41" t="s">
        <v>570</v>
      </c>
      <c r="L163" s="49">
        <f t="shared" si="29"/>
        <v>30</v>
      </c>
      <c r="M163" s="41">
        <v>5.7</v>
      </c>
      <c r="N163" s="45">
        <f>Standard!E163</f>
        <v>32</v>
      </c>
      <c r="O163" s="45">
        <f>Standard!F163</f>
        <v>110</v>
      </c>
      <c r="P163" s="45">
        <f>Standard!AU163</f>
        <v>40</v>
      </c>
      <c r="Q163" s="49">
        <f t="shared" si="30"/>
        <v>150</v>
      </c>
      <c r="R163" s="714" t="s">
        <v>1852</v>
      </c>
    </row>
    <row r="164" spans="1:18" x14ac:dyDescent="0.25">
      <c r="A164" s="1189">
        <f>Coltura!A162</f>
        <v>161</v>
      </c>
      <c r="B164" s="1189">
        <f>Coltura!B162</f>
        <v>41</v>
      </c>
      <c r="C164" s="1189" t="str">
        <f>Coltura!C162</f>
        <v>O41</v>
      </c>
      <c r="D164" s="1190" t="s">
        <v>645</v>
      </c>
      <c r="E164" s="930" t="str">
        <f>Coltura!D162</f>
        <v>Lattuga coltura protetta</v>
      </c>
      <c r="F164" s="1186">
        <v>340</v>
      </c>
      <c r="G164" s="41" t="s">
        <v>645</v>
      </c>
      <c r="H164" s="41" t="s">
        <v>645</v>
      </c>
      <c r="I164" s="41" t="s">
        <v>645</v>
      </c>
      <c r="J164" s="41" t="s">
        <v>645</v>
      </c>
      <c r="K164" s="41" t="s">
        <v>570</v>
      </c>
      <c r="L164" s="49" t="b">
        <f t="shared" si="29"/>
        <v>0</v>
      </c>
      <c r="M164" s="41"/>
      <c r="N164" s="45" t="str">
        <f>Standard!E164</f>
        <v>nd</v>
      </c>
      <c r="O164" s="45" t="str">
        <f>Standard!F164</f>
        <v>nd</v>
      </c>
      <c r="P164" s="45">
        <f>Standard!AU164</f>
        <v>0</v>
      </c>
      <c r="Q164" s="49" t="e">
        <f t="shared" si="30"/>
        <v>#VALUE!</v>
      </c>
      <c r="R164" s="714"/>
    </row>
    <row r="165" spans="1:18" x14ac:dyDescent="0.25">
      <c r="A165" s="1189">
        <f>Coltura!A163</f>
        <v>162</v>
      </c>
      <c r="B165" s="1189">
        <f>Coltura!B163</f>
        <v>42</v>
      </c>
      <c r="C165" s="1189" t="str">
        <f>Coltura!C163</f>
        <v>O42</v>
      </c>
      <c r="D165" s="1190" t="s">
        <v>645</v>
      </c>
      <c r="E165" s="930" t="str">
        <f>Coltura!D163</f>
        <v>Melanzana in pieno campo media produzione</v>
      </c>
      <c r="F165" s="1186">
        <v>340</v>
      </c>
      <c r="G165" s="41">
        <v>175</v>
      </c>
      <c r="H165" s="41">
        <v>70</v>
      </c>
      <c r="I165" s="41" t="s">
        <v>1111</v>
      </c>
      <c r="J165" s="41"/>
      <c r="K165" s="41" t="s">
        <v>570</v>
      </c>
      <c r="L165" s="49">
        <f t="shared" ref="L165" si="31">IF(I165="tq",H165,IF(I165="s.s.",(H165/(M165/100))))</f>
        <v>70</v>
      </c>
      <c r="M165" s="41">
        <v>7.3</v>
      </c>
      <c r="N165" s="45">
        <f>Standard!E165</f>
        <v>80</v>
      </c>
      <c r="O165" s="45">
        <f>Standard!F165</f>
        <v>250</v>
      </c>
      <c r="P165" s="45">
        <f>Standard!AU165</f>
        <v>50</v>
      </c>
      <c r="Q165" s="49">
        <f t="shared" ref="Q165" si="32">(O165+P165)</f>
        <v>300</v>
      </c>
      <c r="R165" s="714" t="s">
        <v>1852</v>
      </c>
    </row>
    <row r="166" spans="1:18" x14ac:dyDescent="0.25">
      <c r="A166" s="1189">
        <f>Coltura!A164</f>
        <v>163</v>
      </c>
      <c r="B166" s="1189">
        <f>Coltura!B164</f>
        <v>43</v>
      </c>
      <c r="C166" s="1189" t="str">
        <f>Coltura!C164</f>
        <v>O43</v>
      </c>
      <c r="D166" s="1190" t="s">
        <v>645</v>
      </c>
      <c r="E166" s="930" t="str">
        <f>Coltura!D164</f>
        <v>Melanzana coltura protetta alta produzione</v>
      </c>
      <c r="F166" s="1186">
        <v>340</v>
      </c>
      <c r="G166" s="41">
        <v>175</v>
      </c>
      <c r="H166" s="41">
        <v>70</v>
      </c>
      <c r="I166" s="41" t="s">
        <v>1111</v>
      </c>
      <c r="J166" s="41"/>
      <c r="K166" s="41" t="s">
        <v>570</v>
      </c>
      <c r="L166" s="49">
        <f t="shared" si="29"/>
        <v>70</v>
      </c>
      <c r="M166" s="41">
        <v>7.3</v>
      </c>
      <c r="N166" s="45">
        <f>Standard!E166</f>
        <v>150</v>
      </c>
      <c r="O166" s="45">
        <f>Standard!F166</f>
        <v>300</v>
      </c>
      <c r="P166" s="45">
        <f>Standard!AU166</f>
        <v>50</v>
      </c>
      <c r="Q166" s="49">
        <f t="shared" si="30"/>
        <v>350</v>
      </c>
      <c r="R166" s="714" t="s">
        <v>1852</v>
      </c>
    </row>
    <row r="167" spans="1:18" x14ac:dyDescent="0.25">
      <c r="A167" s="1189">
        <f>Coltura!A165</f>
        <v>164</v>
      </c>
      <c r="B167" s="1189">
        <f>Coltura!B165</f>
        <v>44</v>
      </c>
      <c r="C167" s="1189" t="str">
        <f>Coltura!C165</f>
        <v>O44</v>
      </c>
      <c r="D167" s="1190" t="s">
        <v>645</v>
      </c>
      <c r="E167" s="930" t="str">
        <f>Coltura!D165</f>
        <v>Melone</v>
      </c>
      <c r="F167" s="1186">
        <v>340</v>
      </c>
      <c r="G167" s="41">
        <v>140</v>
      </c>
      <c r="H167" s="41">
        <v>35</v>
      </c>
      <c r="I167" s="41" t="s">
        <v>1111</v>
      </c>
      <c r="J167" s="41"/>
      <c r="K167" s="41" t="s">
        <v>570</v>
      </c>
      <c r="L167" s="49">
        <f t="shared" si="29"/>
        <v>35</v>
      </c>
      <c r="M167" s="41"/>
      <c r="N167" s="45">
        <f>Standard!E167</f>
        <v>40</v>
      </c>
      <c r="O167" s="45">
        <f>Standard!F167</f>
        <v>120</v>
      </c>
      <c r="P167" s="45">
        <f>Standard!AU167</f>
        <v>40</v>
      </c>
      <c r="Q167" s="49">
        <f t="shared" si="30"/>
        <v>160</v>
      </c>
      <c r="R167" s="714" t="s">
        <v>1852</v>
      </c>
    </row>
    <row r="168" spans="1:18" x14ac:dyDescent="0.25">
      <c r="A168" s="1189">
        <f>Coltura!A166</f>
        <v>165</v>
      </c>
      <c r="B168" s="1189">
        <f>Coltura!B166</f>
        <v>45</v>
      </c>
      <c r="C168" s="1189" t="str">
        <f>Coltura!C166</f>
        <v>O45</v>
      </c>
      <c r="D168" s="1190" t="s">
        <v>645</v>
      </c>
      <c r="E168" s="930" t="str">
        <f>Coltura!D166</f>
        <v>Patata</v>
      </c>
      <c r="F168" s="1186">
        <v>340</v>
      </c>
      <c r="G168" s="41">
        <v>190</v>
      </c>
      <c r="H168" s="41">
        <v>48</v>
      </c>
      <c r="I168" s="41" t="s">
        <v>1111</v>
      </c>
      <c r="J168" s="41"/>
      <c r="K168" s="41" t="s">
        <v>570</v>
      </c>
      <c r="L168" s="49">
        <f t="shared" si="29"/>
        <v>48</v>
      </c>
      <c r="M168" s="41">
        <v>21.5</v>
      </c>
      <c r="N168" s="45">
        <f>Standard!E168</f>
        <v>47.5</v>
      </c>
      <c r="O168" s="45">
        <f>Standard!F168</f>
        <v>190</v>
      </c>
      <c r="P168" s="45">
        <f>Standard!AU168</f>
        <v>40</v>
      </c>
      <c r="Q168" s="49">
        <f t="shared" si="30"/>
        <v>230</v>
      </c>
      <c r="R168" s="714" t="s">
        <v>1852</v>
      </c>
    </row>
    <row r="169" spans="1:18" x14ac:dyDescent="0.25">
      <c r="A169" s="1189">
        <f>Coltura!A167</f>
        <v>166</v>
      </c>
      <c r="B169" s="1189">
        <f>Coltura!B167</f>
        <v>46</v>
      </c>
      <c r="C169" s="1189" t="str">
        <f>Coltura!C167</f>
        <v>O46</v>
      </c>
      <c r="D169" s="1190" t="s">
        <v>645</v>
      </c>
      <c r="E169" s="930" t="str">
        <f>Coltura!D167</f>
        <v>Peperone in serra alta produzione</v>
      </c>
      <c r="F169" s="1186">
        <v>340</v>
      </c>
      <c r="G169" s="41">
        <v>200</v>
      </c>
      <c r="H169" s="41">
        <v>50</v>
      </c>
      <c r="I169" s="41" t="s">
        <v>1111</v>
      </c>
      <c r="J169" s="41"/>
      <c r="K169" s="41" t="s">
        <v>570</v>
      </c>
      <c r="L169" s="49">
        <f t="shared" si="29"/>
        <v>50</v>
      </c>
      <c r="M169" s="41">
        <v>7.7</v>
      </c>
      <c r="N169" s="45">
        <f>Standard!E169</f>
        <v>70</v>
      </c>
      <c r="O169" s="45">
        <f>Standard!F169</f>
        <v>190</v>
      </c>
      <c r="P169" s="45">
        <f>Standard!AU169</f>
        <v>40</v>
      </c>
      <c r="Q169" s="49">
        <f t="shared" si="30"/>
        <v>230</v>
      </c>
      <c r="R169" s="714" t="s">
        <v>1852</v>
      </c>
    </row>
    <row r="170" spans="1:18" x14ac:dyDescent="0.25">
      <c r="A170" s="1189">
        <f>Coltura!A168</f>
        <v>167</v>
      </c>
      <c r="B170" s="1189">
        <f>Coltura!B168</f>
        <v>47</v>
      </c>
      <c r="C170" s="1189" t="str">
        <f>Coltura!C168</f>
        <v>O47</v>
      </c>
      <c r="D170" s="1190" t="s">
        <v>645</v>
      </c>
      <c r="E170" s="930" t="str">
        <f>Coltura!D168</f>
        <v>Peperone in serra media produzione</v>
      </c>
      <c r="F170" s="1186">
        <v>340</v>
      </c>
      <c r="G170" s="41">
        <v>200</v>
      </c>
      <c r="H170" s="41">
        <v>50</v>
      </c>
      <c r="I170" s="41" t="s">
        <v>1111</v>
      </c>
      <c r="J170" s="41"/>
      <c r="K170" s="41" t="s">
        <v>570</v>
      </c>
      <c r="L170" s="49">
        <f t="shared" si="29"/>
        <v>50</v>
      </c>
      <c r="M170" s="41"/>
      <c r="N170" s="45">
        <f>Standard!E170</f>
        <v>50</v>
      </c>
      <c r="O170" s="45">
        <f>Standard!F170</f>
        <v>160</v>
      </c>
      <c r="P170" s="45">
        <f>Standard!AU170</f>
        <v>40</v>
      </c>
      <c r="Q170" s="49">
        <f t="shared" si="30"/>
        <v>200</v>
      </c>
      <c r="R170" s="714"/>
    </row>
    <row r="171" spans="1:18" x14ac:dyDescent="0.25">
      <c r="A171" s="1189">
        <f>Coltura!A169</f>
        <v>168</v>
      </c>
      <c r="B171" s="1189">
        <f>Coltura!B169</f>
        <v>48</v>
      </c>
      <c r="C171" s="1189" t="str">
        <f>Coltura!C169</f>
        <v>O48</v>
      </c>
      <c r="D171" s="1190" t="s">
        <v>645</v>
      </c>
      <c r="E171" s="930" t="str">
        <f>Coltura!D169</f>
        <v>Piccoli frutti</v>
      </c>
      <c r="F171" s="1186">
        <v>340</v>
      </c>
      <c r="G171" s="41">
        <v>200</v>
      </c>
      <c r="H171" s="41">
        <v>50</v>
      </c>
      <c r="I171" s="41" t="s">
        <v>1111</v>
      </c>
      <c r="J171" s="41"/>
      <c r="K171" s="41" t="s">
        <v>570</v>
      </c>
      <c r="L171" s="49">
        <f t="shared" ref="L171" si="33">IF(I171="tq",H171,IF(I171="s.s.",(H171/(M171/100))))</f>
        <v>50</v>
      </c>
      <c r="M171" s="41"/>
      <c r="N171" s="45" t="str">
        <f>Standard!E171</f>
        <v>nd</v>
      </c>
      <c r="O171" s="45" t="str">
        <f>Standard!F171</f>
        <v>nd</v>
      </c>
      <c r="P171" s="45">
        <f>Standard!AU171</f>
        <v>0</v>
      </c>
      <c r="Q171" s="49" t="e">
        <f t="shared" ref="Q171" si="34">(O171+P171)</f>
        <v>#VALUE!</v>
      </c>
      <c r="R171" s="714"/>
    </row>
    <row r="172" spans="1:18" x14ac:dyDescent="0.25">
      <c r="A172" s="1189">
        <f>Coltura!A170</f>
        <v>169</v>
      </c>
      <c r="B172" s="1189">
        <f>Coltura!B170</f>
        <v>49</v>
      </c>
      <c r="C172" s="1189" t="str">
        <f>Coltura!C170</f>
        <v>O49</v>
      </c>
      <c r="D172" s="1190" t="s">
        <v>645</v>
      </c>
      <c r="E172" s="930" t="str">
        <f>Coltura!D170</f>
        <v>Pisello da industria (grani)</v>
      </c>
      <c r="F172" s="1186">
        <v>340</v>
      </c>
      <c r="G172" s="41" t="s">
        <v>645</v>
      </c>
      <c r="H172" s="41"/>
      <c r="I172" s="41"/>
      <c r="J172" s="41"/>
      <c r="K172" s="41" t="s">
        <v>570</v>
      </c>
      <c r="L172" s="49" t="b">
        <f t="shared" si="29"/>
        <v>0</v>
      </c>
      <c r="M172" s="41"/>
      <c r="N172" s="45">
        <f>Standard!E172</f>
        <v>6</v>
      </c>
      <c r="O172" s="45">
        <f>Standard!F172</f>
        <v>50</v>
      </c>
      <c r="P172" s="45">
        <f>Standard!AU172</f>
        <v>20</v>
      </c>
      <c r="Q172" s="49">
        <f t="shared" si="30"/>
        <v>70</v>
      </c>
      <c r="R172" s="714"/>
    </row>
    <row r="173" spans="1:18" x14ac:dyDescent="0.25">
      <c r="A173" s="1189">
        <f>Coltura!A171</f>
        <v>170</v>
      </c>
      <c r="B173" s="1189">
        <f>Coltura!B171</f>
        <v>50</v>
      </c>
      <c r="C173" s="1189" t="str">
        <f>Coltura!C171</f>
        <v>O50</v>
      </c>
      <c r="D173" s="1190" t="s">
        <v>645</v>
      </c>
      <c r="E173" s="930" t="str">
        <f>Coltura!D171</f>
        <v>Pisello da mercato fresco (baccelli)</v>
      </c>
      <c r="F173" s="1186">
        <v>340</v>
      </c>
      <c r="G173" s="41" t="s">
        <v>645</v>
      </c>
      <c r="H173" s="41" t="s">
        <v>645</v>
      </c>
      <c r="I173" s="41" t="s">
        <v>645</v>
      </c>
      <c r="J173" s="41" t="s">
        <v>645</v>
      </c>
      <c r="K173" s="41" t="s">
        <v>570</v>
      </c>
      <c r="L173" s="49" t="b">
        <f t="shared" si="29"/>
        <v>0</v>
      </c>
      <c r="M173" s="41">
        <v>20</v>
      </c>
      <c r="N173" s="45">
        <f>Standard!E173</f>
        <v>6</v>
      </c>
      <c r="O173" s="45">
        <f>Standard!F173</f>
        <v>50</v>
      </c>
      <c r="P173" s="45">
        <f>Standard!AU173</f>
        <v>20</v>
      </c>
      <c r="Q173" s="49">
        <f t="shared" si="30"/>
        <v>70</v>
      </c>
      <c r="R173" s="714" t="s">
        <v>1852</v>
      </c>
    </row>
    <row r="174" spans="1:18" x14ac:dyDescent="0.25">
      <c r="A174" s="1189">
        <f>Coltura!A172</f>
        <v>171</v>
      </c>
      <c r="B174" s="1189">
        <f>Coltura!B172</f>
        <v>51</v>
      </c>
      <c r="C174" s="1189" t="str">
        <f>Coltura!C172</f>
        <v>O51</v>
      </c>
      <c r="D174" s="1190" t="s">
        <v>645</v>
      </c>
      <c r="E174" s="930" t="str">
        <f>Coltura!D172</f>
        <v>Pomodoro da industria media produzione</v>
      </c>
      <c r="F174" s="1186">
        <v>340</v>
      </c>
      <c r="G174" s="41">
        <v>180</v>
      </c>
      <c r="H174" s="41">
        <v>80</v>
      </c>
      <c r="I174" s="823" t="s">
        <v>1111</v>
      </c>
      <c r="J174" s="41"/>
      <c r="K174" s="41" t="s">
        <v>570</v>
      </c>
      <c r="L174" s="49">
        <f t="shared" si="29"/>
        <v>80</v>
      </c>
      <c r="M174" s="41">
        <v>8</v>
      </c>
      <c r="N174" s="45">
        <f>Standard!E174</f>
        <v>70</v>
      </c>
      <c r="O174" s="45">
        <f>Standard!F174</f>
        <v>130</v>
      </c>
      <c r="P174" s="45">
        <f>Standard!AU174</f>
        <v>40</v>
      </c>
      <c r="Q174" s="49">
        <f t="shared" si="30"/>
        <v>170</v>
      </c>
      <c r="R174" s="714" t="s">
        <v>1852</v>
      </c>
    </row>
    <row r="175" spans="1:18" x14ac:dyDescent="0.25">
      <c r="A175" s="1189">
        <f>Coltura!A173</f>
        <v>172</v>
      </c>
      <c r="B175" s="1189">
        <f>Coltura!B173</f>
        <v>52</v>
      </c>
      <c r="C175" s="1189" t="str">
        <f>Coltura!C173</f>
        <v>O52</v>
      </c>
      <c r="D175" s="1190" t="s">
        <v>645</v>
      </c>
      <c r="E175" s="930" t="str">
        <f>Coltura!D173</f>
        <v>Pomodoro da industria alta produzione</v>
      </c>
      <c r="F175" s="1186">
        <v>340</v>
      </c>
      <c r="G175" s="41">
        <v>180</v>
      </c>
      <c r="H175" s="41">
        <v>80</v>
      </c>
      <c r="I175" s="823" t="s">
        <v>1111</v>
      </c>
      <c r="J175" s="41"/>
      <c r="K175" s="823" t="s">
        <v>570</v>
      </c>
      <c r="L175" s="49">
        <f t="shared" si="29"/>
        <v>80</v>
      </c>
      <c r="M175" s="41">
        <v>8</v>
      </c>
      <c r="N175" s="45">
        <f>Standard!E175</f>
        <v>90</v>
      </c>
      <c r="O175" s="45">
        <f>Standard!F175</f>
        <v>150</v>
      </c>
      <c r="P175" s="45">
        <f>Standard!AU175</f>
        <v>40</v>
      </c>
      <c r="Q175" s="49">
        <f t="shared" si="30"/>
        <v>190</v>
      </c>
      <c r="R175" s="714"/>
    </row>
    <row r="176" spans="1:18" x14ac:dyDescent="0.25">
      <c r="A176" s="1189">
        <f>Coltura!A174</f>
        <v>173</v>
      </c>
      <c r="B176" s="1189">
        <f>Coltura!B174</f>
        <v>53</v>
      </c>
      <c r="C176" s="1189" t="str">
        <f>Coltura!C174</f>
        <v>O53</v>
      </c>
      <c r="D176" s="1190" t="s">
        <v>645</v>
      </c>
      <c r="E176" s="930" t="str">
        <f>Coltura!D174</f>
        <v>Pomodoro da mensa a pieno campo</v>
      </c>
      <c r="F176" s="1186">
        <v>340</v>
      </c>
      <c r="G176" s="41">
        <v>180</v>
      </c>
      <c r="H176" s="41">
        <v>80</v>
      </c>
      <c r="I176" s="41" t="s">
        <v>1111</v>
      </c>
      <c r="J176" s="41"/>
      <c r="K176" s="41" t="s">
        <v>570</v>
      </c>
      <c r="L176" s="49">
        <f t="shared" si="29"/>
        <v>80</v>
      </c>
      <c r="M176" s="41">
        <v>8</v>
      </c>
      <c r="N176" s="45">
        <f>Standard!E176</f>
        <v>70</v>
      </c>
      <c r="O176" s="45">
        <f>Standard!F176</f>
        <v>130</v>
      </c>
      <c r="P176" s="45">
        <f>Standard!AU176</f>
        <v>40</v>
      </c>
      <c r="Q176" s="49">
        <f t="shared" si="30"/>
        <v>170</v>
      </c>
      <c r="R176" s="714" t="s">
        <v>1852</v>
      </c>
    </row>
    <row r="177" spans="1:18" x14ac:dyDescent="0.25">
      <c r="A177" s="1189">
        <f>Coltura!A175</f>
        <v>174</v>
      </c>
      <c r="B177" s="1189">
        <f>Coltura!B175</f>
        <v>54</v>
      </c>
      <c r="C177" s="1189" t="str">
        <f>Coltura!C175</f>
        <v>O54</v>
      </c>
      <c r="D177" s="1190" t="s">
        <v>645</v>
      </c>
      <c r="E177" s="930" t="str">
        <f>Coltura!D175</f>
        <v>Pomodoro da mensa in serra</v>
      </c>
      <c r="F177" s="1186">
        <v>340</v>
      </c>
      <c r="G177" s="41">
        <v>180</v>
      </c>
      <c r="H177" s="41">
        <v>80</v>
      </c>
      <c r="I177" s="41" t="s">
        <v>1111</v>
      </c>
      <c r="J177" s="41"/>
      <c r="K177" s="41" t="s">
        <v>570</v>
      </c>
      <c r="L177" s="49">
        <f t="shared" si="29"/>
        <v>80</v>
      </c>
      <c r="M177" s="41">
        <v>8</v>
      </c>
      <c r="N177" s="45">
        <f>Standard!E177</f>
        <v>115</v>
      </c>
      <c r="O177" s="45">
        <f>Standard!F177</f>
        <v>230</v>
      </c>
      <c r="P177" s="45">
        <f>Standard!AU177</f>
        <v>40</v>
      </c>
      <c r="Q177" s="49">
        <f t="shared" si="30"/>
        <v>270</v>
      </c>
      <c r="R177" s="714" t="s">
        <v>1852</v>
      </c>
    </row>
    <row r="178" spans="1:18" x14ac:dyDescent="0.25">
      <c r="A178" s="1189">
        <f>Coltura!A176</f>
        <v>175</v>
      </c>
      <c r="B178" s="1189">
        <f>Coltura!B176</f>
        <v>55</v>
      </c>
      <c r="C178" s="1189" t="str">
        <f>Coltura!C176</f>
        <v>O55</v>
      </c>
      <c r="D178" s="1190" t="s">
        <v>645</v>
      </c>
      <c r="E178" s="930" t="str">
        <f>Coltura!D176</f>
        <v>Porro</v>
      </c>
      <c r="F178" s="1186">
        <v>340</v>
      </c>
      <c r="G178" s="41">
        <v>126</v>
      </c>
      <c r="H178" s="41">
        <v>35</v>
      </c>
      <c r="I178" s="41" t="s">
        <v>1111</v>
      </c>
      <c r="J178" s="41"/>
      <c r="K178" s="41" t="s">
        <v>570</v>
      </c>
      <c r="L178" s="49">
        <f t="shared" si="29"/>
        <v>35</v>
      </c>
      <c r="M178" s="41"/>
      <c r="N178" s="45">
        <f>Standard!E178</f>
        <v>40</v>
      </c>
      <c r="O178" s="45">
        <f>Standard!F178</f>
        <v>180</v>
      </c>
      <c r="P178" s="45">
        <f>Standard!AU178</f>
        <v>50</v>
      </c>
      <c r="Q178" s="49">
        <f t="shared" si="30"/>
        <v>230</v>
      </c>
      <c r="R178" s="714" t="s">
        <v>1852</v>
      </c>
    </row>
    <row r="179" spans="1:18" x14ac:dyDescent="0.25">
      <c r="A179" s="1189">
        <f>Coltura!A177</f>
        <v>176</v>
      </c>
      <c r="B179" s="1189">
        <f>Coltura!B177</f>
        <v>56</v>
      </c>
      <c r="C179" s="1189" t="str">
        <f>Coltura!C177</f>
        <v>O56</v>
      </c>
      <c r="D179" s="1190" t="s">
        <v>645</v>
      </c>
      <c r="E179" s="930" t="str">
        <f>Coltura!D177</f>
        <v>Prezzemolo media produzione</v>
      </c>
      <c r="F179" s="1186">
        <v>340</v>
      </c>
      <c r="G179" s="41">
        <v>100</v>
      </c>
      <c r="H179" s="41">
        <v>20</v>
      </c>
      <c r="I179" s="41" t="s">
        <v>1111</v>
      </c>
      <c r="J179" s="41"/>
      <c r="K179" s="41" t="s">
        <v>570</v>
      </c>
      <c r="L179" s="49">
        <f t="shared" si="29"/>
        <v>20</v>
      </c>
      <c r="M179" s="41">
        <v>12.2</v>
      </c>
      <c r="N179" s="45">
        <f>Standard!E179</f>
        <v>20</v>
      </c>
      <c r="O179" s="45">
        <f>Standard!F179</f>
        <v>80</v>
      </c>
      <c r="P179" s="45">
        <f>Standard!AU179</f>
        <v>30</v>
      </c>
      <c r="Q179" s="49">
        <f t="shared" si="30"/>
        <v>110</v>
      </c>
      <c r="R179" s="714" t="s">
        <v>1852</v>
      </c>
    </row>
    <row r="180" spans="1:18" x14ac:dyDescent="0.25">
      <c r="A180" s="1189">
        <f>Coltura!A178</f>
        <v>177</v>
      </c>
      <c r="B180" s="1189">
        <f>Coltura!B178</f>
        <v>57</v>
      </c>
      <c r="C180" s="1189" t="str">
        <f>Coltura!C178</f>
        <v>O57</v>
      </c>
      <c r="D180" s="1190" t="s">
        <v>645</v>
      </c>
      <c r="E180" s="1191" t="str">
        <f>Coltura!D178</f>
        <v>Prezzemolo alta produzione più tagli</v>
      </c>
      <c r="F180" s="1186">
        <v>340</v>
      </c>
      <c r="G180" s="41">
        <v>100</v>
      </c>
      <c r="H180" s="41">
        <v>20</v>
      </c>
      <c r="I180" s="41" t="s">
        <v>1111</v>
      </c>
      <c r="J180" s="41"/>
      <c r="K180" s="41" t="s">
        <v>570</v>
      </c>
      <c r="L180" s="49">
        <f t="shared" si="29"/>
        <v>20</v>
      </c>
      <c r="M180" s="41">
        <v>12.2</v>
      </c>
      <c r="N180" s="45">
        <f>Standard!E180</f>
        <v>43.5</v>
      </c>
      <c r="O180" s="45">
        <f>Standard!F180</f>
        <v>50</v>
      </c>
      <c r="P180" s="45">
        <f>Standard!AU180</f>
        <v>30</v>
      </c>
      <c r="Q180" s="49">
        <f t="shared" si="30"/>
        <v>80</v>
      </c>
      <c r="R180" s="714" t="s">
        <v>1852</v>
      </c>
    </row>
    <row r="181" spans="1:18" x14ac:dyDescent="0.25">
      <c r="A181" s="1189">
        <f>Coltura!A179</f>
        <v>178</v>
      </c>
      <c r="B181" s="1189">
        <f>Coltura!B179</f>
        <v>58</v>
      </c>
      <c r="C181" s="1189" t="str">
        <f>Coltura!C179</f>
        <v>O58</v>
      </c>
      <c r="D181" s="1190" t="s">
        <v>645</v>
      </c>
      <c r="E181" s="930" t="str">
        <f>Coltura!D179</f>
        <v>Radicchio (cicoria a foglie colorate) media produzione</v>
      </c>
      <c r="F181" s="1186">
        <v>340</v>
      </c>
      <c r="G181" s="41">
        <v>190</v>
      </c>
      <c r="H181" s="41">
        <v>20</v>
      </c>
      <c r="I181" s="41" t="s">
        <v>1111</v>
      </c>
      <c r="J181" s="41"/>
      <c r="K181" s="41" t="s">
        <v>570</v>
      </c>
      <c r="L181" s="49">
        <f t="shared" si="29"/>
        <v>20</v>
      </c>
      <c r="M181" s="41">
        <v>11.9</v>
      </c>
      <c r="N181" s="45">
        <f>Standard!E181</f>
        <v>20</v>
      </c>
      <c r="O181" s="45">
        <f>Standard!F181</f>
        <v>130</v>
      </c>
      <c r="P181" s="45">
        <f>Standard!AU181</f>
        <v>30</v>
      </c>
      <c r="Q181" s="49">
        <f t="shared" si="30"/>
        <v>160</v>
      </c>
      <c r="R181" s="714" t="s">
        <v>1852</v>
      </c>
    </row>
    <row r="182" spans="1:18" x14ac:dyDescent="0.25">
      <c r="A182" s="1189">
        <f>Coltura!A180</f>
        <v>179</v>
      </c>
      <c r="B182" s="1189">
        <f>Coltura!B180</f>
        <v>59</v>
      </c>
      <c r="C182" s="1189" t="str">
        <f>Coltura!C180</f>
        <v>O59</v>
      </c>
      <c r="D182" s="1190" t="s">
        <v>645</v>
      </c>
      <c r="E182" s="1191" t="str">
        <f>Coltura!D180</f>
        <v>Radicchio (cicoria a foglie colorate) alta produzione</v>
      </c>
      <c r="F182" s="1186">
        <v>340</v>
      </c>
      <c r="G182" s="41">
        <v>190</v>
      </c>
      <c r="H182" s="41">
        <v>20</v>
      </c>
      <c r="I182" s="41" t="s">
        <v>1111</v>
      </c>
      <c r="J182" s="41"/>
      <c r="K182" s="41" t="s">
        <v>570</v>
      </c>
      <c r="L182" s="49">
        <f t="shared" ref="L182" si="35">IF(I182="tq",H182,IF(I182="s.s.",(H182/(M182/100))))</f>
        <v>20</v>
      </c>
      <c r="M182" s="41">
        <v>11.9</v>
      </c>
      <c r="N182" s="45">
        <f>Standard!E182</f>
        <v>35</v>
      </c>
      <c r="O182" s="45">
        <f>Standard!F182</f>
        <v>150</v>
      </c>
      <c r="P182" s="45">
        <f>Standard!AU182</f>
        <v>30</v>
      </c>
      <c r="Q182" s="49">
        <f t="shared" ref="Q182" si="36">(O182+P182)</f>
        <v>180</v>
      </c>
      <c r="R182" s="714" t="s">
        <v>1852</v>
      </c>
    </row>
    <row r="183" spans="1:18" x14ac:dyDescent="0.25">
      <c r="A183" s="1189">
        <f>Coltura!A181</f>
        <v>180</v>
      </c>
      <c r="B183" s="1189">
        <f>Coltura!B181</f>
        <v>60</v>
      </c>
      <c r="C183" s="1189" t="str">
        <f>Coltura!C181</f>
        <v>O60</v>
      </c>
      <c r="D183" s="1190" t="s">
        <v>645</v>
      </c>
      <c r="E183" s="930" t="str">
        <f>Coltura!D181</f>
        <v>Rapa</v>
      </c>
      <c r="F183" s="1186">
        <v>340</v>
      </c>
      <c r="G183" s="41" t="s">
        <v>645</v>
      </c>
      <c r="H183" s="41" t="s">
        <v>645</v>
      </c>
      <c r="I183" s="41" t="s">
        <v>645</v>
      </c>
      <c r="J183" s="41" t="s">
        <v>645</v>
      </c>
      <c r="K183" s="41" t="s">
        <v>570</v>
      </c>
      <c r="L183" s="49" t="b">
        <f t="shared" si="29"/>
        <v>0</v>
      </c>
      <c r="M183" s="41">
        <v>6.7</v>
      </c>
      <c r="N183" s="45">
        <f>Standard!E183</f>
        <v>35</v>
      </c>
      <c r="O183" s="45" t="str">
        <f>Standard!F183</f>
        <v>nd</v>
      </c>
      <c r="P183" s="45">
        <f>Standard!AU183</f>
        <v>0</v>
      </c>
      <c r="Q183" s="49" t="e">
        <f t="shared" si="30"/>
        <v>#VALUE!</v>
      </c>
      <c r="R183" s="714"/>
    </row>
    <row r="184" spans="1:18" x14ac:dyDescent="0.25">
      <c r="A184" s="1189">
        <f>Coltura!A182</f>
        <v>181</v>
      </c>
      <c r="B184" s="1189">
        <f>Coltura!B182</f>
        <v>61</v>
      </c>
      <c r="C184" s="1189" t="str">
        <f>Coltura!C182</f>
        <v>O61</v>
      </c>
      <c r="D184" s="1190" t="s">
        <v>645</v>
      </c>
      <c r="E184" s="930" t="str">
        <f>Coltura!D182</f>
        <v>Ravanello</v>
      </c>
      <c r="F184" s="1186">
        <v>340</v>
      </c>
      <c r="G184" s="41">
        <v>80</v>
      </c>
      <c r="H184" s="41">
        <v>30</v>
      </c>
      <c r="I184" s="41" t="s">
        <v>1111</v>
      </c>
      <c r="J184" s="41"/>
      <c r="K184" s="41" t="s">
        <v>570</v>
      </c>
      <c r="L184" s="49">
        <f t="shared" si="29"/>
        <v>30</v>
      </c>
      <c r="M184" s="41">
        <v>5.4</v>
      </c>
      <c r="N184" s="45">
        <f>Standard!E184</f>
        <v>30</v>
      </c>
      <c r="O184" s="45">
        <f>Standard!F184</f>
        <v>80</v>
      </c>
      <c r="P184" s="45">
        <f>Standard!AU184</f>
        <v>25</v>
      </c>
      <c r="Q184" s="49">
        <f t="shared" si="30"/>
        <v>105</v>
      </c>
      <c r="R184" s="714" t="s">
        <v>1852</v>
      </c>
    </row>
    <row r="185" spans="1:18" x14ac:dyDescent="0.25">
      <c r="A185" s="1189">
        <f>Coltura!A183</f>
        <v>182</v>
      </c>
      <c r="B185" s="1189">
        <f>Coltura!B183</f>
        <v>62</v>
      </c>
      <c r="C185" s="1189" t="str">
        <f>Coltura!C183</f>
        <v>O62</v>
      </c>
      <c r="D185" s="1190" t="s">
        <v>645</v>
      </c>
      <c r="E185" s="1191" t="str">
        <f>Coltura!D183</f>
        <v>Rucola media produzione</v>
      </c>
      <c r="F185" s="1186">
        <v>340</v>
      </c>
      <c r="G185" s="1192">
        <v>130</v>
      </c>
      <c r="H185" s="41">
        <v>30</v>
      </c>
      <c r="I185" s="41" t="s">
        <v>1111</v>
      </c>
      <c r="J185" s="41"/>
      <c r="K185" s="41" t="s">
        <v>570</v>
      </c>
      <c r="L185" s="49">
        <f t="shared" ref="L185:L186" si="37">IF(I185="tq",H185,IF(I185="s.s.",(H185/(M185/100))))</f>
        <v>30</v>
      </c>
      <c r="M185" s="1192">
        <v>5.7</v>
      </c>
      <c r="N185" s="45">
        <f>Standard!E185</f>
        <v>18.5</v>
      </c>
      <c r="O185" s="45">
        <f>Standard!F185</f>
        <v>110</v>
      </c>
      <c r="P185" s="45">
        <f>Standard!AU185</f>
        <v>30</v>
      </c>
      <c r="Q185" s="49">
        <f t="shared" ref="Q185:Q186" si="38">(O185+P185)</f>
        <v>140</v>
      </c>
      <c r="R185" s="714" t="s">
        <v>1537</v>
      </c>
    </row>
    <row r="186" spans="1:18" x14ac:dyDescent="0.25">
      <c r="A186" s="1189">
        <f>Coltura!A184</f>
        <v>183</v>
      </c>
      <c r="B186" s="1189">
        <f>Coltura!B184</f>
        <v>63</v>
      </c>
      <c r="C186" s="1189" t="str">
        <f>Coltura!C184</f>
        <v>O63</v>
      </c>
      <c r="D186" s="1190" t="s">
        <v>645</v>
      </c>
      <c r="E186" s="1191" t="str">
        <f>Coltura!D184</f>
        <v>Rucola alta produzione con più tagli</v>
      </c>
      <c r="F186" s="1186">
        <v>340</v>
      </c>
      <c r="G186" s="1192">
        <v>150</v>
      </c>
      <c r="H186" s="41">
        <v>30</v>
      </c>
      <c r="I186" s="41" t="s">
        <v>1111</v>
      </c>
      <c r="J186" s="41"/>
      <c r="K186" s="41" t="s">
        <v>570</v>
      </c>
      <c r="L186" s="49">
        <f t="shared" si="37"/>
        <v>30</v>
      </c>
      <c r="M186" s="1192">
        <v>5.7</v>
      </c>
      <c r="N186" s="45">
        <f>Standard!E186</f>
        <v>37</v>
      </c>
      <c r="O186" s="45">
        <f>Standard!F186</f>
        <v>80</v>
      </c>
      <c r="P186" s="45">
        <f>Standard!AU186</f>
        <v>30</v>
      </c>
      <c r="Q186" s="49">
        <f t="shared" si="38"/>
        <v>110</v>
      </c>
      <c r="R186" s="714" t="s">
        <v>1537</v>
      </c>
    </row>
    <row r="187" spans="1:18" x14ac:dyDescent="0.25">
      <c r="A187" s="1189">
        <f>Coltura!A185</f>
        <v>184</v>
      </c>
      <c r="B187" s="1189">
        <f>Coltura!B185</f>
        <v>64</v>
      </c>
      <c r="C187" s="1189" t="str">
        <f>Coltura!C185</f>
        <v>O64</v>
      </c>
      <c r="D187" s="1190" t="s">
        <v>645</v>
      </c>
      <c r="E187" s="930" t="str">
        <f>Coltura!D185</f>
        <v>Scalogno</v>
      </c>
      <c r="F187" s="1186">
        <v>340</v>
      </c>
      <c r="G187" s="41">
        <v>120</v>
      </c>
      <c r="H187" s="41">
        <v>8</v>
      </c>
      <c r="I187" s="41" t="s">
        <v>1111</v>
      </c>
      <c r="J187" s="41"/>
      <c r="K187" s="41" t="s">
        <v>570</v>
      </c>
      <c r="L187" s="49">
        <f t="shared" si="29"/>
        <v>8</v>
      </c>
      <c r="M187" s="41"/>
      <c r="N187" s="45">
        <f>Standard!E187</f>
        <v>8</v>
      </c>
      <c r="O187" s="45">
        <f>Standard!F187</f>
        <v>90</v>
      </c>
      <c r="P187" s="45">
        <f>Standard!AU187</f>
        <v>40</v>
      </c>
      <c r="Q187" s="49">
        <f t="shared" si="30"/>
        <v>130</v>
      </c>
      <c r="R187" s="714" t="s">
        <v>1852</v>
      </c>
    </row>
    <row r="188" spans="1:18" x14ac:dyDescent="0.25">
      <c r="A188" s="1189">
        <f>Coltura!A186</f>
        <v>185</v>
      </c>
      <c r="B188" s="1189">
        <f>Coltura!B186</f>
        <v>65</v>
      </c>
      <c r="C188" s="1189" t="str">
        <f>Coltura!C186</f>
        <v>O65</v>
      </c>
      <c r="D188" s="1190" t="s">
        <v>645</v>
      </c>
      <c r="E188" s="930" t="str">
        <f>Coltura!D186</f>
        <v>Sedano media produzione</v>
      </c>
      <c r="F188" s="1186">
        <v>340</v>
      </c>
      <c r="G188" s="41">
        <v>250</v>
      </c>
      <c r="H188" s="41">
        <v>80</v>
      </c>
      <c r="I188" s="41" t="s">
        <v>1111</v>
      </c>
      <c r="J188" s="41"/>
      <c r="K188" s="41" t="s">
        <v>570</v>
      </c>
      <c r="L188" s="49">
        <f t="shared" ref="L188" si="39">IF(I188="tq",H188,IF(I188="s.s.",(H188/(M188/100))))</f>
        <v>80</v>
      </c>
      <c r="M188" s="41">
        <v>11.7</v>
      </c>
      <c r="N188" s="45">
        <f>Standard!E188</f>
        <v>50</v>
      </c>
      <c r="O188" s="45">
        <f>Standard!F188</f>
        <v>240</v>
      </c>
      <c r="P188" s="45">
        <f>Standard!AU188</f>
        <v>50</v>
      </c>
      <c r="Q188" s="49">
        <f t="shared" ref="Q188:Q189" si="40">(O188+P188)</f>
        <v>290</v>
      </c>
      <c r="R188" s="714" t="s">
        <v>1852</v>
      </c>
    </row>
    <row r="189" spans="1:18" x14ac:dyDescent="0.25">
      <c r="A189" s="1189">
        <f>Coltura!A187</f>
        <v>186</v>
      </c>
      <c r="B189" s="1189">
        <f>Coltura!B187</f>
        <v>66</v>
      </c>
      <c r="C189" s="1189" t="str">
        <f>Coltura!C187</f>
        <v>O66</v>
      </c>
      <c r="D189" s="1190" t="s">
        <v>645</v>
      </c>
      <c r="E189" s="1191" t="str">
        <f>Coltura!D187</f>
        <v>Sedano alta produzione</v>
      </c>
      <c r="F189" s="1186">
        <v>340</v>
      </c>
      <c r="G189" s="41">
        <v>250</v>
      </c>
      <c r="H189" s="41">
        <v>80</v>
      </c>
      <c r="I189" s="41" t="s">
        <v>1111</v>
      </c>
      <c r="J189" s="41"/>
      <c r="K189" s="41" t="s">
        <v>570</v>
      </c>
      <c r="L189" s="49">
        <f t="shared" si="29"/>
        <v>80</v>
      </c>
      <c r="M189" s="41">
        <v>11.7</v>
      </c>
      <c r="N189" s="45">
        <f>Standard!E189</f>
        <v>80</v>
      </c>
      <c r="O189" s="45">
        <f>Standard!F189</f>
        <v>270</v>
      </c>
      <c r="P189" s="45">
        <f>Standard!AU189</f>
        <v>50</v>
      </c>
      <c r="Q189" s="49">
        <f t="shared" si="40"/>
        <v>320</v>
      </c>
      <c r="R189" s="714" t="s">
        <v>1852</v>
      </c>
    </row>
    <row r="190" spans="1:18" x14ac:dyDescent="0.25">
      <c r="A190" s="1189">
        <f>Coltura!A188</f>
        <v>187</v>
      </c>
      <c r="B190" s="1189">
        <f>Coltura!B188</f>
        <v>67</v>
      </c>
      <c r="C190" s="1189" t="str">
        <f>Coltura!C188</f>
        <v>O67</v>
      </c>
      <c r="D190" s="1190" t="s">
        <v>645</v>
      </c>
      <c r="E190" s="1191" t="str">
        <f>Coltura!D188</f>
        <v>Spinacio alta produzione con più tagli</v>
      </c>
      <c r="F190" s="1186">
        <v>340</v>
      </c>
      <c r="G190" s="41">
        <v>190</v>
      </c>
      <c r="H190" s="41">
        <v>20</v>
      </c>
      <c r="I190" s="41" t="s">
        <v>1111</v>
      </c>
      <c r="J190" s="41"/>
      <c r="K190" s="41" t="s">
        <v>570</v>
      </c>
      <c r="L190" s="49">
        <f t="shared" si="29"/>
        <v>20</v>
      </c>
      <c r="M190" s="41"/>
      <c r="N190" s="45">
        <f>Standard!E190</f>
        <v>27.5</v>
      </c>
      <c r="O190" s="45">
        <f>Standard!F190</f>
        <v>110</v>
      </c>
      <c r="P190" s="45">
        <f>Standard!AU190</f>
        <v>40</v>
      </c>
      <c r="Q190" s="49">
        <f t="shared" si="30"/>
        <v>150</v>
      </c>
      <c r="R190" s="714" t="s">
        <v>1852</v>
      </c>
    </row>
    <row r="191" spans="1:18" x14ac:dyDescent="0.25">
      <c r="A191" s="1189">
        <f>Coltura!A189</f>
        <v>188</v>
      </c>
      <c r="B191" s="1189">
        <f>Coltura!B189</f>
        <v>68</v>
      </c>
      <c r="C191" s="1189" t="str">
        <f>Coltura!C189</f>
        <v>O68</v>
      </c>
      <c r="D191" s="1190" t="s">
        <v>645</v>
      </c>
      <c r="E191" s="930" t="str">
        <f>Coltura!D189</f>
        <v>Spinacio media produzione</v>
      </c>
      <c r="F191" s="1186">
        <v>340</v>
      </c>
      <c r="G191" s="41">
        <v>125</v>
      </c>
      <c r="H191" s="41">
        <v>13</v>
      </c>
      <c r="I191" s="41" t="s">
        <v>1111</v>
      </c>
      <c r="J191" s="41"/>
      <c r="K191" s="41" t="s">
        <v>570</v>
      </c>
      <c r="L191" s="49">
        <f t="shared" si="29"/>
        <v>13</v>
      </c>
      <c r="M191" s="41">
        <v>9.9</v>
      </c>
      <c r="N191" s="45">
        <f>Standard!E191</f>
        <v>20</v>
      </c>
      <c r="O191" s="45">
        <f>Standard!F191</f>
        <v>150</v>
      </c>
      <c r="P191" s="45">
        <f>Standard!AU191</f>
        <v>40</v>
      </c>
      <c r="Q191" s="49">
        <f t="shared" si="30"/>
        <v>190</v>
      </c>
      <c r="R191" s="714" t="s">
        <v>1852</v>
      </c>
    </row>
    <row r="192" spans="1:18" x14ac:dyDescent="0.25">
      <c r="A192" s="1189">
        <f>Coltura!A190</f>
        <v>189</v>
      </c>
      <c r="B192" s="1189">
        <f>Coltura!B190</f>
        <v>69</v>
      </c>
      <c r="C192" s="1189" t="str">
        <f>Coltura!C190</f>
        <v>O69</v>
      </c>
      <c r="D192" s="1190" t="s">
        <v>645</v>
      </c>
      <c r="E192" s="930" t="str">
        <f>Coltura!D190</f>
        <v>Verza - cavolo da mercato media produzione</v>
      </c>
      <c r="F192" s="1186">
        <v>340</v>
      </c>
      <c r="G192" s="41">
        <v>150</v>
      </c>
      <c r="H192" s="41">
        <v>35</v>
      </c>
      <c r="I192" s="41" t="s">
        <v>1111</v>
      </c>
      <c r="J192" s="41"/>
      <c r="K192" s="41" t="s">
        <v>570</v>
      </c>
      <c r="L192" s="49">
        <f t="shared" si="29"/>
        <v>35</v>
      </c>
      <c r="M192" s="41">
        <v>9.3000000000000007</v>
      </c>
      <c r="N192" s="45">
        <f>Standard!E192</f>
        <v>24</v>
      </c>
      <c r="O192" s="45">
        <f>Standard!F192</f>
        <v>130</v>
      </c>
      <c r="P192" s="45">
        <f>Standard!AU192</f>
        <v>50</v>
      </c>
      <c r="Q192" s="49">
        <f t="shared" si="30"/>
        <v>180</v>
      </c>
      <c r="R192" s="714" t="s">
        <v>1852</v>
      </c>
    </row>
    <row r="193" spans="1:18" x14ac:dyDescent="0.25">
      <c r="A193" s="1189">
        <f>Coltura!A191</f>
        <v>190</v>
      </c>
      <c r="B193" s="1189">
        <f>Coltura!B191</f>
        <v>70</v>
      </c>
      <c r="C193" s="1189" t="str">
        <f>Coltura!C191</f>
        <v>O70</v>
      </c>
      <c r="D193" s="1190" t="s">
        <v>645</v>
      </c>
      <c r="E193" s="1191" t="str">
        <f>Coltura!D191</f>
        <v>Verza - cavolo da mercato alta produzione</v>
      </c>
      <c r="F193" s="1186">
        <v>340</v>
      </c>
      <c r="G193" s="41">
        <v>150</v>
      </c>
      <c r="H193" s="41">
        <v>35</v>
      </c>
      <c r="I193" s="41" t="s">
        <v>1111</v>
      </c>
      <c r="J193" s="41"/>
      <c r="K193" s="41" t="s">
        <v>570</v>
      </c>
      <c r="L193" s="49">
        <f t="shared" ref="L193" si="41">IF(I193="tq",H193,IF(I193="s.s.",(H193/(M193/100))))</f>
        <v>35</v>
      </c>
      <c r="M193" s="41">
        <v>9.3000000000000007</v>
      </c>
      <c r="N193" s="45">
        <f>Standard!E193</f>
        <v>50</v>
      </c>
      <c r="O193" s="45">
        <f>Standard!F193</f>
        <v>160</v>
      </c>
      <c r="P193" s="45">
        <f>Standard!AU193</f>
        <v>50</v>
      </c>
      <c r="Q193" s="49">
        <f t="shared" ref="Q193" si="42">(O193+P193)</f>
        <v>210</v>
      </c>
      <c r="R193" s="714" t="s">
        <v>1852</v>
      </c>
    </row>
    <row r="194" spans="1:18" x14ac:dyDescent="0.25">
      <c r="A194" s="1189">
        <f>Coltura!A192</f>
        <v>191</v>
      </c>
      <c r="B194" s="1189">
        <f>Coltura!B192</f>
        <v>71</v>
      </c>
      <c r="C194" s="1189" t="str">
        <f>Coltura!C192</f>
        <v>O71</v>
      </c>
      <c r="D194" s="1190" t="s">
        <v>645</v>
      </c>
      <c r="E194" s="930" t="str">
        <f>Coltura!D192</f>
        <v>Verza da industria</v>
      </c>
      <c r="F194" s="1186">
        <v>340</v>
      </c>
      <c r="G194" s="41">
        <v>150</v>
      </c>
      <c r="H194" s="41">
        <v>35</v>
      </c>
      <c r="I194" s="41" t="s">
        <v>1111</v>
      </c>
      <c r="J194" s="41"/>
      <c r="K194" s="41" t="s">
        <v>570</v>
      </c>
      <c r="L194" s="49">
        <f t="shared" si="29"/>
        <v>35</v>
      </c>
      <c r="M194" s="41">
        <v>9.3000000000000007</v>
      </c>
      <c r="N194" s="45">
        <f>Standard!E194</f>
        <v>35</v>
      </c>
      <c r="O194" s="45">
        <f>Standard!F194</f>
        <v>150</v>
      </c>
      <c r="P194" s="45">
        <f>Standard!AU194</f>
        <v>40</v>
      </c>
      <c r="Q194" s="49">
        <f t="shared" si="30"/>
        <v>190</v>
      </c>
      <c r="R194" s="714" t="s">
        <v>1852</v>
      </c>
    </row>
    <row r="195" spans="1:18" x14ac:dyDescent="0.25">
      <c r="A195" s="1189">
        <f>Coltura!A193</f>
        <v>192</v>
      </c>
      <c r="B195" s="1189">
        <f>Coltura!B193</f>
        <v>72</v>
      </c>
      <c r="C195" s="1189" t="str">
        <f>Coltura!C193</f>
        <v>O72</v>
      </c>
      <c r="D195" s="1190" t="s">
        <v>645</v>
      </c>
      <c r="E195" s="930" t="str">
        <f>Coltura!D193</f>
        <v>Zucca</v>
      </c>
      <c r="F195" s="1186">
        <v>340</v>
      </c>
      <c r="G195" s="41">
        <v>210</v>
      </c>
      <c r="H195" s="41">
        <v>40</v>
      </c>
      <c r="I195" s="41" t="s">
        <v>1111</v>
      </c>
      <c r="J195" s="41"/>
      <c r="K195" s="41" t="s">
        <v>570</v>
      </c>
      <c r="L195" s="49">
        <f t="shared" si="29"/>
        <v>40</v>
      </c>
      <c r="M195" s="41">
        <v>5.6</v>
      </c>
      <c r="N195" s="45">
        <f>Standard!E195</f>
        <v>35</v>
      </c>
      <c r="O195" s="45">
        <f>Standard!F195</f>
        <v>110</v>
      </c>
      <c r="P195" s="45">
        <f>Standard!AU195</f>
        <v>30</v>
      </c>
      <c r="Q195" s="49">
        <f t="shared" si="30"/>
        <v>140</v>
      </c>
      <c r="R195" s="714" t="s">
        <v>1852</v>
      </c>
    </row>
    <row r="196" spans="1:18" x14ac:dyDescent="0.25">
      <c r="A196" s="1189">
        <f>Coltura!A194</f>
        <v>193</v>
      </c>
      <c r="B196" s="1189">
        <f>Coltura!B194</f>
        <v>73</v>
      </c>
      <c r="C196" s="1189" t="str">
        <f>Coltura!C194</f>
        <v>O73</v>
      </c>
      <c r="D196" s="1190" t="s">
        <v>645</v>
      </c>
      <c r="E196" s="930" t="str">
        <f>Coltura!D194</f>
        <v>Zucchino da industria media produzione</v>
      </c>
      <c r="F196" s="1186">
        <v>340</v>
      </c>
      <c r="G196" s="41">
        <v>190</v>
      </c>
      <c r="H196" s="41">
        <v>50</v>
      </c>
      <c r="I196" s="41" t="s">
        <v>1111</v>
      </c>
      <c r="J196" s="41"/>
      <c r="K196" s="41" t="s">
        <v>570</v>
      </c>
      <c r="L196" s="49">
        <f t="shared" si="29"/>
        <v>50</v>
      </c>
      <c r="M196" s="41"/>
      <c r="N196" s="45">
        <f>Standard!E196</f>
        <v>50</v>
      </c>
      <c r="O196" s="45">
        <f>Standard!F196</f>
        <v>175</v>
      </c>
      <c r="P196" s="45">
        <f>Standard!AU196</f>
        <v>40</v>
      </c>
      <c r="Q196" s="49">
        <f t="shared" si="30"/>
        <v>215</v>
      </c>
      <c r="R196" s="714" t="s">
        <v>1852</v>
      </c>
    </row>
    <row r="197" spans="1:18" x14ac:dyDescent="0.25">
      <c r="A197" s="1189">
        <f>Coltura!A195</f>
        <v>194</v>
      </c>
      <c r="B197" s="1189">
        <f>Coltura!B195</f>
        <v>74</v>
      </c>
      <c r="C197" s="1189" t="str">
        <f>Coltura!C195</f>
        <v>O74</v>
      </c>
      <c r="D197" s="1190" t="s">
        <v>645</v>
      </c>
      <c r="E197" s="1191" t="str">
        <f>Coltura!D195</f>
        <v>Zucchino da industria alta produzione</v>
      </c>
      <c r="F197" s="1186">
        <v>340</v>
      </c>
      <c r="G197" s="41">
        <v>190</v>
      </c>
      <c r="H197" s="41">
        <v>50</v>
      </c>
      <c r="I197" s="41" t="s">
        <v>1111</v>
      </c>
      <c r="J197" s="41"/>
      <c r="K197" s="41" t="s">
        <v>570</v>
      </c>
      <c r="L197" s="49">
        <f t="shared" ref="L197" si="43">IF(I197="tq",H197,IF(I197="s.s.",(H197/(M197/100))))</f>
        <v>50</v>
      </c>
      <c r="M197" s="41"/>
      <c r="N197" s="45">
        <f>Standard!E197</f>
        <v>65</v>
      </c>
      <c r="O197" s="45">
        <f>Standard!F197</f>
        <v>200</v>
      </c>
      <c r="P197" s="45">
        <f>Standard!AU197</f>
        <v>40</v>
      </c>
      <c r="Q197" s="49">
        <f t="shared" ref="Q197" si="44">(O197+P197)</f>
        <v>240</v>
      </c>
      <c r="R197" s="714" t="s">
        <v>1852</v>
      </c>
    </row>
    <row r="198" spans="1:18" x14ac:dyDescent="0.25">
      <c r="A198" s="1189">
        <f>Coltura!A196</f>
        <v>195</v>
      </c>
      <c r="B198" s="1189">
        <f>Coltura!B196</f>
        <v>75</v>
      </c>
      <c r="C198" s="1189" t="str">
        <f>Coltura!C196</f>
        <v>O75</v>
      </c>
      <c r="D198" s="1190" t="s">
        <v>645</v>
      </c>
      <c r="E198" s="930" t="str">
        <f>Coltura!D196</f>
        <v>Zucchino da mercato fresco media produzione</v>
      </c>
      <c r="F198" s="1186">
        <v>340</v>
      </c>
      <c r="G198" s="41">
        <v>190</v>
      </c>
      <c r="H198" s="41">
        <v>50</v>
      </c>
      <c r="I198" s="41" t="s">
        <v>1111</v>
      </c>
      <c r="J198" s="41"/>
      <c r="K198" s="41" t="s">
        <v>570</v>
      </c>
      <c r="L198" s="49">
        <f t="shared" si="29"/>
        <v>50</v>
      </c>
      <c r="M198" s="41">
        <v>6.4</v>
      </c>
      <c r="N198" s="45">
        <f>Standard!E198</f>
        <v>40</v>
      </c>
      <c r="O198" s="45">
        <f>Standard!F198</f>
        <v>150</v>
      </c>
      <c r="P198" s="45">
        <f>Standard!AU198</f>
        <v>40</v>
      </c>
      <c r="Q198" s="49">
        <f t="shared" si="30"/>
        <v>190</v>
      </c>
      <c r="R198" s="714" t="s">
        <v>1852</v>
      </c>
    </row>
    <row r="199" spans="1:18" x14ac:dyDescent="0.25">
      <c r="A199" s="1189">
        <f>Coltura!A197</f>
        <v>196</v>
      </c>
      <c r="B199" s="1189">
        <f>Coltura!B197</f>
        <v>76</v>
      </c>
      <c r="C199" s="1189" t="str">
        <f>Coltura!C197</f>
        <v>O76</v>
      </c>
      <c r="D199" s="1190" t="s">
        <v>645</v>
      </c>
      <c r="E199" s="1191" t="str">
        <f>Coltura!D197</f>
        <v>Zucchino da mercato  fresco alta produzione</v>
      </c>
      <c r="F199" s="1186">
        <v>340</v>
      </c>
      <c r="G199" s="41">
        <v>190</v>
      </c>
      <c r="H199" s="41">
        <v>50</v>
      </c>
      <c r="I199" s="41" t="s">
        <v>1111</v>
      </c>
      <c r="J199" s="41"/>
      <c r="K199" s="41" t="s">
        <v>570</v>
      </c>
      <c r="L199" s="49">
        <f t="shared" ref="L199" si="45">IF(I199="tq",H199,IF(I199="s.s.",(H199/(M199/100))))</f>
        <v>50</v>
      </c>
      <c r="M199" s="41">
        <v>7.4</v>
      </c>
      <c r="N199" s="45">
        <f>Standard!E199</f>
        <v>50</v>
      </c>
      <c r="O199" s="45">
        <f>Standard!F199</f>
        <v>180</v>
      </c>
      <c r="P199" s="45">
        <f>Standard!AU199</f>
        <v>40</v>
      </c>
      <c r="Q199" s="49">
        <f t="shared" ref="Q199" si="46">(O199+P199)</f>
        <v>220</v>
      </c>
      <c r="R199" s="714" t="s">
        <v>1852</v>
      </c>
    </row>
    <row r="200" spans="1:18" x14ac:dyDescent="0.25">
      <c r="A200" s="1189">
        <f>Coltura!A198</f>
        <v>197</v>
      </c>
      <c r="B200" s="1189">
        <f>Coltura!B198</f>
        <v>1</v>
      </c>
      <c r="C200" s="1189" t="str">
        <f>Coltura!C198</f>
        <v>S1</v>
      </c>
      <c r="D200" s="1190" t="s">
        <v>645</v>
      </c>
      <c r="E200" s="930" t="str">
        <f>Coltura!D198</f>
        <v>Barbabiertola da seme (fase porta seme)</v>
      </c>
      <c r="F200" s="1186">
        <v>340</v>
      </c>
      <c r="G200" s="41" t="s">
        <v>645</v>
      </c>
      <c r="H200" s="41" t="s">
        <v>645</v>
      </c>
      <c r="I200" s="41"/>
      <c r="J200" s="41" t="s">
        <v>1119</v>
      </c>
      <c r="K200" s="41" t="s">
        <v>570</v>
      </c>
      <c r="L200" s="49" t="b">
        <f t="shared" si="29"/>
        <v>0</v>
      </c>
      <c r="M200" s="41"/>
      <c r="N200" s="45" t="str">
        <f>Standard!E200</f>
        <v>nd</v>
      </c>
      <c r="O200" s="45">
        <f>Standard!F200</f>
        <v>140</v>
      </c>
      <c r="P200" s="45">
        <f>Standard!AU200</f>
        <v>40</v>
      </c>
      <c r="Q200" s="49">
        <f t="shared" si="30"/>
        <v>180</v>
      </c>
      <c r="R200" s="714" t="s">
        <v>1852</v>
      </c>
    </row>
    <row r="201" spans="1:18" x14ac:dyDescent="0.25">
      <c r="A201" s="1189">
        <f>Coltura!A199</f>
        <v>198</v>
      </c>
      <c r="B201" s="1189">
        <f>Coltura!B199</f>
        <v>2</v>
      </c>
      <c r="C201" s="1189" t="str">
        <f>Coltura!C199</f>
        <v>S2</v>
      </c>
      <c r="D201" s="1190" t="s">
        <v>645</v>
      </c>
      <c r="E201" s="930" t="str">
        <f>Coltura!D199</f>
        <v>Carota da seme (fase portaseme)</v>
      </c>
      <c r="F201" s="1186">
        <v>340</v>
      </c>
      <c r="G201" s="41" t="s">
        <v>645</v>
      </c>
      <c r="H201" s="41" t="s">
        <v>645</v>
      </c>
      <c r="I201" s="41"/>
      <c r="J201" s="41" t="s">
        <v>1119</v>
      </c>
      <c r="K201" s="41" t="s">
        <v>570</v>
      </c>
      <c r="L201" s="49" t="b">
        <f t="shared" si="29"/>
        <v>0</v>
      </c>
      <c r="M201" s="41"/>
      <c r="N201" s="45" t="str">
        <f>Standard!E201</f>
        <v>nd</v>
      </c>
      <c r="O201" s="45">
        <f>Standard!F201</f>
        <v>120</v>
      </c>
      <c r="P201" s="45">
        <f>Standard!AU201</f>
        <v>30</v>
      </c>
      <c r="Q201" s="49">
        <f t="shared" si="30"/>
        <v>150</v>
      </c>
      <c r="R201" s="714" t="s">
        <v>1852</v>
      </c>
    </row>
    <row r="202" spans="1:18" x14ac:dyDescent="0.25">
      <c r="A202" s="1189">
        <f>Coltura!A200</f>
        <v>199</v>
      </c>
      <c r="B202" s="1189">
        <f>Coltura!B200</f>
        <v>3</v>
      </c>
      <c r="C202" s="1189" t="str">
        <f>Coltura!C200</f>
        <v>S3</v>
      </c>
      <c r="D202" s="1190" t="s">
        <v>645</v>
      </c>
      <c r="E202" s="930" t="str">
        <f>Coltura!D200</f>
        <v>Carota da seme (fase vivaio)</v>
      </c>
      <c r="F202" s="1186">
        <v>340</v>
      </c>
      <c r="G202" s="41" t="s">
        <v>645</v>
      </c>
      <c r="H202" s="41" t="s">
        <v>645</v>
      </c>
      <c r="I202" s="41"/>
      <c r="J202" s="41" t="s">
        <v>1120</v>
      </c>
      <c r="K202" s="41" t="s">
        <v>570</v>
      </c>
      <c r="L202" s="49" t="b">
        <f t="shared" si="29"/>
        <v>0</v>
      </c>
      <c r="M202" s="41"/>
      <c r="N202" s="45">
        <f>Standard!E202</f>
        <v>50</v>
      </c>
      <c r="O202" s="45">
        <f>Standard!F202</f>
        <v>120</v>
      </c>
      <c r="P202" s="45">
        <f>Standard!AU202</f>
        <v>35</v>
      </c>
      <c r="Q202" s="49">
        <f t="shared" si="30"/>
        <v>155</v>
      </c>
      <c r="R202" s="714" t="s">
        <v>1852</v>
      </c>
    </row>
    <row r="203" spans="1:18" x14ac:dyDescent="0.25">
      <c r="A203" s="1189">
        <f>Coltura!A201</f>
        <v>200</v>
      </c>
      <c r="B203" s="1189">
        <f>Coltura!B201</f>
        <v>4</v>
      </c>
      <c r="C203" s="1189" t="str">
        <f>Coltura!C201</f>
        <v>S4</v>
      </c>
      <c r="D203" s="1190" t="s">
        <v>645</v>
      </c>
      <c r="E203" s="930" t="str">
        <f>Coltura!D201</f>
        <v>Cavoli da seme</v>
      </c>
      <c r="F203" s="1186">
        <v>340</v>
      </c>
      <c r="G203" s="41" t="s">
        <v>645</v>
      </c>
      <c r="H203" s="41" t="s">
        <v>645</v>
      </c>
      <c r="I203" s="41"/>
      <c r="J203" s="41" t="s">
        <v>1119</v>
      </c>
      <c r="K203" s="41" t="s">
        <v>570</v>
      </c>
      <c r="L203" s="49" t="b">
        <f t="shared" si="29"/>
        <v>0</v>
      </c>
      <c r="M203" s="41"/>
      <c r="N203" s="45" t="str">
        <f>Standard!E203</f>
        <v>nd</v>
      </c>
      <c r="O203" s="45">
        <f>Standard!F203</f>
        <v>160</v>
      </c>
      <c r="P203" s="45">
        <f>Standard!AU203</f>
        <v>40</v>
      </c>
      <c r="Q203" s="49">
        <f t="shared" si="30"/>
        <v>200</v>
      </c>
      <c r="R203" s="714" t="s">
        <v>1852</v>
      </c>
    </row>
    <row r="204" spans="1:18" x14ac:dyDescent="0.25">
      <c r="A204" s="1189">
        <f>Coltura!A202</f>
        <v>201</v>
      </c>
      <c r="B204" s="1189">
        <f>Coltura!B202</f>
        <v>5</v>
      </c>
      <c r="C204" s="1189" t="str">
        <f>Coltura!C202</f>
        <v>S5</v>
      </c>
      <c r="D204" s="1190" t="s">
        <v>645</v>
      </c>
      <c r="E204" s="930" t="str">
        <f>Coltura!D202</f>
        <v>Cetriolo da seme</v>
      </c>
      <c r="F204" s="1186">
        <v>340</v>
      </c>
      <c r="G204" s="41" t="s">
        <v>645</v>
      </c>
      <c r="H204" s="41" t="s">
        <v>645</v>
      </c>
      <c r="I204" s="41"/>
      <c r="J204" s="41" t="s">
        <v>1119</v>
      </c>
      <c r="K204" s="41" t="s">
        <v>570</v>
      </c>
      <c r="L204" s="49" t="b">
        <f t="shared" si="29"/>
        <v>0</v>
      </c>
      <c r="M204" s="41"/>
      <c r="N204" s="45" t="str">
        <f>Standard!E204</f>
        <v>nd</v>
      </c>
      <c r="O204" s="45">
        <f>Standard!F204</f>
        <v>180</v>
      </c>
      <c r="P204" s="45">
        <f>Standard!AU204</f>
        <v>40</v>
      </c>
      <c r="Q204" s="49">
        <f t="shared" si="30"/>
        <v>220</v>
      </c>
      <c r="R204" s="714" t="s">
        <v>1852</v>
      </c>
    </row>
    <row r="205" spans="1:18" x14ac:dyDescent="0.25">
      <c r="A205" s="1189">
        <f>Coltura!A203</f>
        <v>202</v>
      </c>
      <c r="B205" s="1189">
        <f>Coltura!B203</f>
        <v>6</v>
      </c>
      <c r="C205" s="1189" t="str">
        <f>Coltura!C203</f>
        <v>S6</v>
      </c>
      <c r="D205" s="1190" t="s">
        <v>645</v>
      </c>
      <c r="E205" s="930" t="str">
        <f>Coltura!D203</f>
        <v>Cicoria da seme</v>
      </c>
      <c r="F205" s="1186">
        <v>340</v>
      </c>
      <c r="G205" s="41" t="s">
        <v>645</v>
      </c>
      <c r="H205" s="41" t="s">
        <v>645</v>
      </c>
      <c r="I205" s="41"/>
      <c r="J205" s="41" t="s">
        <v>1119</v>
      </c>
      <c r="K205" s="41" t="s">
        <v>570</v>
      </c>
      <c r="L205" s="49" t="b">
        <f t="shared" si="29"/>
        <v>0</v>
      </c>
      <c r="M205" s="41"/>
      <c r="N205" s="45" t="str">
        <f>Standard!E205</f>
        <v>nd</v>
      </c>
      <c r="O205" s="45">
        <f>Standard!F205</f>
        <v>140</v>
      </c>
      <c r="P205" s="45">
        <f>Standard!AU205</f>
        <v>40</v>
      </c>
      <c r="Q205" s="49">
        <f t="shared" si="30"/>
        <v>180</v>
      </c>
      <c r="R205" s="714" t="s">
        <v>1852</v>
      </c>
    </row>
    <row r="206" spans="1:18" x14ac:dyDescent="0.25">
      <c r="A206" s="1189">
        <f>Coltura!A204</f>
        <v>203</v>
      </c>
      <c r="B206" s="1189">
        <f>Coltura!B204</f>
        <v>7</v>
      </c>
      <c r="C206" s="1189" t="str">
        <f>Coltura!C204</f>
        <v>S7</v>
      </c>
      <c r="D206" s="1190" t="s">
        <v>645</v>
      </c>
      <c r="E206" s="930" t="str">
        <f>Coltura!D204</f>
        <v>Cipolla da seme (fase portaseme)</v>
      </c>
      <c r="F206" s="1186">
        <v>340</v>
      </c>
      <c r="G206" s="41" t="s">
        <v>645</v>
      </c>
      <c r="H206" s="41" t="s">
        <v>645</v>
      </c>
      <c r="I206" s="41"/>
      <c r="J206" s="41" t="s">
        <v>1119</v>
      </c>
      <c r="K206" s="41" t="s">
        <v>570</v>
      </c>
      <c r="L206" s="49" t="b">
        <f t="shared" si="29"/>
        <v>0</v>
      </c>
      <c r="M206" s="41"/>
      <c r="N206" s="45" t="str">
        <f>Standard!E206</f>
        <v>nd</v>
      </c>
      <c r="O206" s="45">
        <f>Standard!F206</f>
        <v>130</v>
      </c>
      <c r="P206" s="45">
        <f>Standard!AU206</f>
        <v>30</v>
      </c>
      <c r="Q206" s="49">
        <f t="shared" si="30"/>
        <v>160</v>
      </c>
      <c r="R206" s="714" t="s">
        <v>1852</v>
      </c>
    </row>
    <row r="207" spans="1:18" x14ac:dyDescent="0.25">
      <c r="A207" s="1189">
        <f>Coltura!A205</f>
        <v>204</v>
      </c>
      <c r="B207" s="1189">
        <f>Coltura!B205</f>
        <v>8</v>
      </c>
      <c r="C207" s="1189" t="str">
        <f>Coltura!C205</f>
        <v>S8</v>
      </c>
      <c r="D207" s="1190" t="s">
        <v>645</v>
      </c>
      <c r="E207" s="930" t="str">
        <f>Coltura!D205</f>
        <v>Cipolla da seme (fase vivaio)</v>
      </c>
      <c r="F207" s="1186">
        <v>340</v>
      </c>
      <c r="G207" s="41" t="s">
        <v>645</v>
      </c>
      <c r="H207" s="41" t="s">
        <v>645</v>
      </c>
      <c r="I207" s="41"/>
      <c r="J207" s="41" t="s">
        <v>1117</v>
      </c>
      <c r="K207" s="41" t="s">
        <v>570</v>
      </c>
      <c r="L207" s="49" t="b">
        <f t="shared" si="29"/>
        <v>0</v>
      </c>
      <c r="M207" s="41"/>
      <c r="N207" s="45">
        <f>Standard!E207</f>
        <v>45</v>
      </c>
      <c r="O207" s="45">
        <f>Standard!F207</f>
        <v>130</v>
      </c>
      <c r="P207" s="45">
        <f>Standard!AU207</f>
        <v>40</v>
      </c>
      <c r="Q207" s="49">
        <f t="shared" si="30"/>
        <v>170</v>
      </c>
      <c r="R207" s="714" t="s">
        <v>1852</v>
      </c>
    </row>
    <row r="208" spans="1:18" x14ac:dyDescent="0.25">
      <c r="A208" s="1189">
        <f>Coltura!A206</f>
        <v>205</v>
      </c>
      <c r="B208" s="1189">
        <f>Coltura!B206</f>
        <v>9</v>
      </c>
      <c r="C208" s="1189" t="str">
        <f>Coltura!C206</f>
        <v>S9</v>
      </c>
      <c r="D208" s="1190" t="s">
        <v>645</v>
      </c>
      <c r="E208" s="930" t="str">
        <f>Coltura!D206</f>
        <v>Coriandolo da seme</v>
      </c>
      <c r="F208" s="1186">
        <v>340</v>
      </c>
      <c r="G208" s="41" t="s">
        <v>645</v>
      </c>
      <c r="H208" s="41" t="s">
        <v>645</v>
      </c>
      <c r="I208" s="41"/>
      <c r="J208" s="41" t="s">
        <v>1119</v>
      </c>
      <c r="K208" s="41" t="s">
        <v>570</v>
      </c>
      <c r="L208" s="49" t="b">
        <f t="shared" si="29"/>
        <v>0</v>
      </c>
      <c r="M208" s="41"/>
      <c r="N208" s="45" t="str">
        <f>Standard!E208</f>
        <v>nd</v>
      </c>
      <c r="O208" s="45">
        <f>Standard!F208</f>
        <v>70</v>
      </c>
      <c r="P208" s="45">
        <f>Standard!AU208</f>
        <v>20</v>
      </c>
      <c r="Q208" s="49">
        <f t="shared" si="30"/>
        <v>90</v>
      </c>
      <c r="R208" s="714" t="s">
        <v>1852</v>
      </c>
    </row>
    <row r="209" spans="1:18" x14ac:dyDescent="0.25">
      <c r="A209" s="1189">
        <f>Coltura!A207</f>
        <v>206</v>
      </c>
      <c r="B209" s="1189">
        <f>Coltura!B207</f>
        <v>10</v>
      </c>
      <c r="C209" s="1189" t="str">
        <f>Coltura!C207</f>
        <v>S10</v>
      </c>
      <c r="D209" s="1190" t="s">
        <v>645</v>
      </c>
      <c r="E209" s="930" t="str">
        <f>Coltura!D207</f>
        <v>Erba medica  da seme</v>
      </c>
      <c r="F209" s="1186">
        <v>340</v>
      </c>
      <c r="G209" s="41" t="s">
        <v>645</v>
      </c>
      <c r="H209" s="41" t="s">
        <v>645</v>
      </c>
      <c r="I209" s="41"/>
      <c r="J209" s="41" t="s">
        <v>1119</v>
      </c>
      <c r="K209" s="41" t="s">
        <v>570</v>
      </c>
      <c r="L209" s="49" t="b">
        <f t="shared" si="29"/>
        <v>0</v>
      </c>
      <c r="M209" s="41"/>
      <c r="N209" s="45" t="str">
        <f>Standard!E209</f>
        <v>nd</v>
      </c>
      <c r="O209" s="45">
        <f>Standard!F209</f>
        <v>0</v>
      </c>
      <c r="P209" s="45">
        <f>Standard!AU209</f>
        <v>100</v>
      </c>
      <c r="Q209" s="49">
        <f t="shared" si="30"/>
        <v>100</v>
      </c>
      <c r="R209" s="714" t="s">
        <v>1852</v>
      </c>
    </row>
    <row r="210" spans="1:18" x14ac:dyDescent="0.25">
      <c r="A210" s="1189">
        <f>Coltura!A208</f>
        <v>207</v>
      </c>
      <c r="B210" s="1189">
        <f>Coltura!B208</f>
        <v>11</v>
      </c>
      <c r="C210" s="1189" t="str">
        <f>Coltura!C208</f>
        <v>S11</v>
      </c>
      <c r="D210" s="1190" t="s">
        <v>645</v>
      </c>
      <c r="E210" s="930" t="str">
        <f>Coltura!D208</f>
        <v>Finocchio da seme</v>
      </c>
      <c r="F210" s="1186">
        <v>340</v>
      </c>
      <c r="G210" s="41" t="s">
        <v>645</v>
      </c>
      <c r="H210" s="41" t="s">
        <v>645</v>
      </c>
      <c r="I210" s="41"/>
      <c r="J210" s="41" t="s">
        <v>1119</v>
      </c>
      <c r="K210" s="41" t="s">
        <v>570</v>
      </c>
      <c r="L210" s="49" t="b">
        <f t="shared" si="29"/>
        <v>0</v>
      </c>
      <c r="M210" s="41"/>
      <c r="N210" s="45" t="str">
        <f>Standard!E210</f>
        <v>nd</v>
      </c>
      <c r="O210" s="45">
        <f>Standard!F210</f>
        <v>100</v>
      </c>
      <c r="P210" s="45">
        <f>Standard!AU210</f>
        <v>20</v>
      </c>
      <c r="Q210" s="49">
        <f t="shared" si="30"/>
        <v>120</v>
      </c>
      <c r="R210" s="714" t="s">
        <v>1852</v>
      </c>
    </row>
    <row r="211" spans="1:18" x14ac:dyDescent="0.25">
      <c r="A211" s="1189">
        <f>Coltura!A209</f>
        <v>208</v>
      </c>
      <c r="B211" s="1189">
        <f>Coltura!B209</f>
        <v>12</v>
      </c>
      <c r="C211" s="1189" t="str">
        <f>Coltura!C209</f>
        <v>S12</v>
      </c>
      <c r="D211" s="1190" t="s">
        <v>645</v>
      </c>
      <c r="E211" s="930" t="str">
        <f>Coltura!D209</f>
        <v>Frumento duro da seme (granella)</v>
      </c>
      <c r="F211" s="1186">
        <v>340</v>
      </c>
      <c r="G211" s="41">
        <v>190</v>
      </c>
      <c r="H211" s="41">
        <v>6</v>
      </c>
      <c r="I211" s="41" t="s">
        <v>1111</v>
      </c>
      <c r="J211" s="41" t="s">
        <v>1112</v>
      </c>
      <c r="K211" s="41" t="s">
        <v>570</v>
      </c>
      <c r="L211" s="49">
        <f t="shared" si="29"/>
        <v>6</v>
      </c>
      <c r="M211" s="41">
        <v>87</v>
      </c>
      <c r="N211" s="45">
        <f>Standard!E211</f>
        <v>6</v>
      </c>
      <c r="O211" s="45">
        <f>Standard!F211</f>
        <v>160</v>
      </c>
      <c r="P211" s="45">
        <f>Standard!AU211</f>
        <v>30</v>
      </c>
      <c r="Q211" s="49">
        <f t="shared" si="30"/>
        <v>190</v>
      </c>
      <c r="R211" s="714" t="s">
        <v>1852</v>
      </c>
    </row>
    <row r="212" spans="1:18" x14ac:dyDescent="0.25">
      <c r="A212" s="1189">
        <f>Coltura!A210</f>
        <v>209</v>
      </c>
      <c r="B212" s="1189">
        <f>Coltura!B210</f>
        <v>13</v>
      </c>
      <c r="C212" s="1189" t="str">
        <f>Coltura!C210</f>
        <v>S13</v>
      </c>
      <c r="D212" s="1190" t="s">
        <v>645</v>
      </c>
      <c r="E212" s="930" t="str">
        <f>Coltura!D210</f>
        <v>Frumento tenero da seme (granella)</v>
      </c>
      <c r="F212" s="1186">
        <v>340</v>
      </c>
      <c r="G212" s="41">
        <v>180</v>
      </c>
      <c r="H212" s="41">
        <v>6.5</v>
      </c>
      <c r="I212" s="41" t="s">
        <v>1111</v>
      </c>
      <c r="J212" s="41" t="s">
        <v>1112</v>
      </c>
      <c r="K212" s="41" t="s">
        <v>570</v>
      </c>
      <c r="L212" s="49">
        <f t="shared" si="29"/>
        <v>6.5</v>
      </c>
      <c r="M212" s="41">
        <v>87</v>
      </c>
      <c r="N212" s="45">
        <f>Standard!E212</f>
        <v>6</v>
      </c>
      <c r="O212" s="45">
        <f>Standard!F212</f>
        <v>140</v>
      </c>
      <c r="P212" s="45">
        <f>Standard!AU212</f>
        <v>40</v>
      </c>
      <c r="Q212" s="49">
        <f t="shared" si="30"/>
        <v>180</v>
      </c>
      <c r="R212" s="714" t="s">
        <v>1852</v>
      </c>
    </row>
    <row r="213" spans="1:18" x14ac:dyDescent="0.25">
      <c r="A213" s="1189">
        <f>Coltura!A211</f>
        <v>210</v>
      </c>
      <c r="B213" s="1189">
        <f>Coltura!B211</f>
        <v>14</v>
      </c>
      <c r="C213" s="1189" t="str">
        <f>Coltura!C211</f>
        <v>S14</v>
      </c>
      <c r="D213" s="1190" t="s">
        <v>645</v>
      </c>
      <c r="E213" s="930" t="str">
        <f>Coltura!D211</f>
        <v>Girasole da seme (granella)</v>
      </c>
      <c r="F213" s="1186">
        <v>340</v>
      </c>
      <c r="G213" s="41">
        <v>120</v>
      </c>
      <c r="H213" s="41">
        <v>3.5</v>
      </c>
      <c r="I213" s="41" t="s">
        <v>1111</v>
      </c>
      <c r="J213" s="41" t="s">
        <v>1112</v>
      </c>
      <c r="K213" s="41" t="s">
        <v>570</v>
      </c>
      <c r="L213" s="49">
        <f t="shared" si="29"/>
        <v>3.5</v>
      </c>
      <c r="M213" s="41">
        <v>90</v>
      </c>
      <c r="N213" s="45">
        <f>Standard!E213</f>
        <v>3</v>
      </c>
      <c r="O213" s="45">
        <f>Standard!F213</f>
        <v>90</v>
      </c>
      <c r="P213" s="45">
        <f>Standard!AU213</f>
        <v>40</v>
      </c>
      <c r="Q213" s="49">
        <f t="shared" si="30"/>
        <v>130</v>
      </c>
      <c r="R213" s="714" t="s">
        <v>1852</v>
      </c>
    </row>
    <row r="214" spans="1:18" x14ac:dyDescent="0.25">
      <c r="A214" s="1189">
        <f>Coltura!A212</f>
        <v>211</v>
      </c>
      <c r="B214" s="1189">
        <f>Coltura!B212</f>
        <v>15</v>
      </c>
      <c r="C214" s="1189" t="str">
        <f>Coltura!C212</f>
        <v>S15</v>
      </c>
      <c r="D214" s="1190" t="s">
        <v>645</v>
      </c>
      <c r="E214" s="930" t="str">
        <f>Coltura!D212</f>
        <v>Lattuga da seme</v>
      </c>
      <c r="F214" s="1186">
        <v>340</v>
      </c>
      <c r="G214" s="41">
        <v>130</v>
      </c>
      <c r="H214" s="41"/>
      <c r="I214" s="41"/>
      <c r="J214" s="41" t="s">
        <v>1119</v>
      </c>
      <c r="K214" s="41" t="s">
        <v>570</v>
      </c>
      <c r="L214" s="49" t="b">
        <f t="shared" si="29"/>
        <v>0</v>
      </c>
      <c r="M214" s="41"/>
      <c r="N214" s="45" t="str">
        <f>Standard!E214</f>
        <v>nd</v>
      </c>
      <c r="O214" s="45">
        <f>Standard!F214</f>
        <v>100</v>
      </c>
      <c r="P214" s="45">
        <f>Standard!AU214</f>
        <v>30</v>
      </c>
      <c r="Q214" s="49">
        <f t="shared" si="30"/>
        <v>130</v>
      </c>
      <c r="R214" s="714" t="s">
        <v>1852</v>
      </c>
    </row>
    <row r="215" spans="1:18" x14ac:dyDescent="0.25">
      <c r="A215" s="1189">
        <f>Coltura!A213</f>
        <v>212</v>
      </c>
      <c r="B215" s="1189">
        <f>Coltura!B213</f>
        <v>16</v>
      </c>
      <c r="C215" s="1189" t="str">
        <f>Coltura!C213</f>
        <v>S16</v>
      </c>
      <c r="D215" s="1190" t="s">
        <v>645</v>
      </c>
      <c r="E215" s="930" t="str">
        <f>Coltura!D213</f>
        <v>Orzo da seme (granella)</v>
      </c>
      <c r="F215" s="1186">
        <v>340</v>
      </c>
      <c r="G215" s="41">
        <v>150</v>
      </c>
      <c r="H215" s="41">
        <v>6</v>
      </c>
      <c r="I215" s="41" t="s">
        <v>1111</v>
      </c>
      <c r="J215" s="41" t="s">
        <v>1112</v>
      </c>
      <c r="K215" s="41" t="s">
        <v>570</v>
      </c>
      <c r="L215" s="49">
        <f t="shared" si="29"/>
        <v>6</v>
      </c>
      <c r="M215" s="41">
        <v>87</v>
      </c>
      <c r="N215" s="45">
        <f>Standard!E215</f>
        <v>6.5</v>
      </c>
      <c r="O215" s="45">
        <f>Standard!F215</f>
        <v>125</v>
      </c>
      <c r="P215" s="45">
        <f>Standard!AU215</f>
        <v>40</v>
      </c>
      <c r="Q215" s="49">
        <f t="shared" si="30"/>
        <v>165</v>
      </c>
      <c r="R215" s="714" t="s">
        <v>1852</v>
      </c>
    </row>
    <row r="216" spans="1:18" x14ac:dyDescent="0.25">
      <c r="A216" s="1189">
        <f>Coltura!A214</f>
        <v>213</v>
      </c>
      <c r="B216" s="1189">
        <f>Coltura!B214</f>
        <v>17</v>
      </c>
      <c r="C216" s="1189" t="str">
        <f>Coltura!C214</f>
        <v>S17</v>
      </c>
      <c r="D216" s="1190" t="s">
        <v>645</v>
      </c>
      <c r="E216" s="930" t="str">
        <f>Coltura!D214</f>
        <v>Pisello proteico da seme (granella)</v>
      </c>
      <c r="F216" s="1186">
        <v>50</v>
      </c>
      <c r="G216" s="41" t="s">
        <v>645</v>
      </c>
      <c r="H216" s="41" t="s">
        <v>645</v>
      </c>
      <c r="I216" s="41"/>
      <c r="J216" s="41" t="s">
        <v>1112</v>
      </c>
      <c r="K216" s="41" t="s">
        <v>570</v>
      </c>
      <c r="L216" s="49" t="b">
        <f t="shared" si="29"/>
        <v>0</v>
      </c>
      <c r="M216" s="41"/>
      <c r="N216" s="45" t="str">
        <f>Standard!E216</f>
        <v>nd</v>
      </c>
      <c r="O216" s="45">
        <f>Standard!F216</f>
        <v>50</v>
      </c>
      <c r="P216" s="45">
        <f>Standard!AU216</f>
        <v>30</v>
      </c>
      <c r="Q216" s="49">
        <f t="shared" si="30"/>
        <v>80</v>
      </c>
      <c r="R216" s="714" t="s">
        <v>1852</v>
      </c>
    </row>
    <row r="217" spans="1:18" x14ac:dyDescent="0.25">
      <c r="A217" s="1189">
        <f>Coltura!A215</f>
        <v>214</v>
      </c>
      <c r="B217" s="1189">
        <f>Coltura!B215</f>
        <v>18</v>
      </c>
      <c r="C217" s="1189" t="str">
        <f>Coltura!C215</f>
        <v>S18</v>
      </c>
      <c r="D217" s="1190" t="s">
        <v>645</v>
      </c>
      <c r="E217" s="930" t="str">
        <f>Coltura!D215</f>
        <v>Prezzemolo da seme</v>
      </c>
      <c r="F217" s="1186">
        <v>340</v>
      </c>
      <c r="G217" s="41" t="s">
        <v>645</v>
      </c>
      <c r="H217" s="41" t="s">
        <v>645</v>
      </c>
      <c r="I217" s="41"/>
      <c r="J217" s="41" t="s">
        <v>1119</v>
      </c>
      <c r="K217" s="41" t="s">
        <v>570</v>
      </c>
      <c r="L217" s="49" t="b">
        <f t="shared" si="29"/>
        <v>0</v>
      </c>
      <c r="M217" s="41"/>
      <c r="N217" s="45" t="str">
        <f>Standard!E217</f>
        <v>nd</v>
      </c>
      <c r="O217" s="45">
        <f>Standard!F217</f>
        <v>100</v>
      </c>
      <c r="P217" s="45">
        <f>Standard!AU217</f>
        <v>20</v>
      </c>
      <c r="Q217" s="49">
        <f t="shared" si="30"/>
        <v>120</v>
      </c>
      <c r="R217" s="714" t="s">
        <v>1852</v>
      </c>
    </row>
    <row r="218" spans="1:18" x14ac:dyDescent="0.25">
      <c r="A218" s="1189">
        <f>Coltura!A216</f>
        <v>215</v>
      </c>
      <c r="B218" s="1189">
        <f>Coltura!B216</f>
        <v>19</v>
      </c>
      <c r="C218" s="1189" t="str">
        <f>Coltura!C216</f>
        <v>S19</v>
      </c>
      <c r="D218" s="1190" t="s">
        <v>645</v>
      </c>
      <c r="E218" s="930" t="str">
        <f>Coltura!D216</f>
        <v>Ravanello da seme</v>
      </c>
      <c r="F218" s="1186">
        <v>340</v>
      </c>
      <c r="G218" s="41" t="s">
        <v>645</v>
      </c>
      <c r="H218" s="41" t="s">
        <v>645</v>
      </c>
      <c r="I218" s="41"/>
      <c r="J218" s="41" t="s">
        <v>1119</v>
      </c>
      <c r="K218" s="41" t="s">
        <v>570</v>
      </c>
      <c r="L218" s="49" t="b">
        <f t="shared" si="29"/>
        <v>0</v>
      </c>
      <c r="M218" s="41"/>
      <c r="N218" s="45" t="str">
        <f>Standard!E218</f>
        <v>nd</v>
      </c>
      <c r="O218" s="45">
        <f>Standard!F218</f>
        <v>150</v>
      </c>
      <c r="P218" s="45">
        <f>Standard!AU218</f>
        <v>40</v>
      </c>
      <c r="Q218" s="49">
        <f t="shared" si="30"/>
        <v>190</v>
      </c>
      <c r="R218" s="714" t="s">
        <v>1852</v>
      </c>
    </row>
    <row r="219" spans="1:18" x14ac:dyDescent="0.25">
      <c r="A219" s="1189">
        <f>Coltura!A217</f>
        <v>216</v>
      </c>
      <c r="B219" s="1189">
        <f>Coltura!B217</f>
        <v>20</v>
      </c>
      <c r="C219" s="1189" t="str">
        <f>Coltura!C217</f>
        <v>S20</v>
      </c>
      <c r="D219" s="1190" t="s">
        <v>645</v>
      </c>
      <c r="E219" s="930" t="str">
        <f>Coltura!D217</f>
        <v>Segale da seme (granella)</v>
      </c>
      <c r="F219" s="1186">
        <v>340</v>
      </c>
      <c r="G219" s="41">
        <v>120</v>
      </c>
      <c r="H219" s="41">
        <v>4.5</v>
      </c>
      <c r="I219" s="41" t="s">
        <v>1111</v>
      </c>
      <c r="J219" s="41" t="s">
        <v>1112</v>
      </c>
      <c r="K219" s="41" t="s">
        <v>570</v>
      </c>
      <c r="L219" s="49">
        <f>IF(I219="tq",H219,IF(I219="s.s.",(H219/(M219/100))))</f>
        <v>4.5</v>
      </c>
      <c r="M219" s="41">
        <v>87</v>
      </c>
      <c r="N219" s="45">
        <f>Standard!E219</f>
        <v>4</v>
      </c>
      <c r="O219" s="45">
        <f>Standard!F219</f>
        <v>100</v>
      </c>
      <c r="P219" s="45">
        <f>Standard!AU219</f>
        <v>50</v>
      </c>
      <c r="Q219" s="49">
        <f t="shared" si="30"/>
        <v>150</v>
      </c>
      <c r="R219" s="714" t="s">
        <v>1852</v>
      </c>
    </row>
    <row r="220" spans="1:18" x14ac:dyDescent="0.25">
      <c r="A220" s="1189">
        <f>Coltura!A218</f>
        <v>217</v>
      </c>
      <c r="B220" s="1189">
        <f>Coltura!B218</f>
        <v>21</v>
      </c>
      <c r="C220" s="1189" t="str">
        <f>Coltura!C218</f>
        <v>S21</v>
      </c>
      <c r="D220" s="1190" t="s">
        <v>645</v>
      </c>
      <c r="E220" s="930" t="str">
        <f>Coltura!D218</f>
        <v>Soia da seme (granella)</v>
      </c>
      <c r="F220" s="1186">
        <v>120</v>
      </c>
      <c r="G220" s="41">
        <v>30</v>
      </c>
      <c r="H220" s="41"/>
      <c r="I220" s="41" t="s">
        <v>1111</v>
      </c>
      <c r="J220" s="41" t="s">
        <v>1112</v>
      </c>
      <c r="K220" s="41" t="s">
        <v>570</v>
      </c>
      <c r="L220" s="49">
        <f t="shared" si="29"/>
        <v>0</v>
      </c>
      <c r="M220" s="41">
        <v>86</v>
      </c>
      <c r="N220" s="45">
        <f>Standard!E220</f>
        <v>3.5</v>
      </c>
      <c r="O220" s="45">
        <f>Standard!F220</f>
        <v>0</v>
      </c>
      <c r="P220" s="45">
        <f>Standard!AU220</f>
        <v>120</v>
      </c>
      <c r="Q220" s="49">
        <f t="shared" si="30"/>
        <v>120</v>
      </c>
      <c r="R220" s="714" t="s">
        <v>1852</v>
      </c>
    </row>
    <row r="221" spans="1:18" x14ac:dyDescent="0.25">
      <c r="A221" s="1189">
        <f>Coltura!A219</f>
        <v>218</v>
      </c>
      <c r="B221" s="1189">
        <f>Coltura!B219</f>
        <v>22</v>
      </c>
      <c r="C221" s="1189" t="str">
        <f>Coltura!C219</f>
        <v>S22</v>
      </c>
      <c r="D221" s="1190" t="s">
        <v>645</v>
      </c>
      <c r="E221" s="930" t="str">
        <f>Coltura!D219</f>
        <v>Triticale da seme (granella)</v>
      </c>
      <c r="F221" s="1186">
        <v>340</v>
      </c>
      <c r="G221" s="41">
        <v>150</v>
      </c>
      <c r="H221" s="41">
        <v>6</v>
      </c>
      <c r="I221" s="41" t="s">
        <v>1111</v>
      </c>
      <c r="J221" s="41" t="s">
        <v>1112</v>
      </c>
      <c r="K221" s="41" t="s">
        <v>570</v>
      </c>
      <c r="L221" s="49">
        <f t="shared" si="29"/>
        <v>6</v>
      </c>
      <c r="M221" s="41">
        <v>87</v>
      </c>
      <c r="N221" s="45">
        <f>Standard!E221</f>
        <v>7.5</v>
      </c>
      <c r="O221" s="45">
        <f>Standard!F221</f>
        <v>140</v>
      </c>
      <c r="P221" s="45">
        <f>Standard!AU221</f>
        <v>50</v>
      </c>
      <c r="Q221" s="49">
        <f t="shared" si="30"/>
        <v>190</v>
      </c>
      <c r="R221" s="714" t="s">
        <v>1852</v>
      </c>
    </row>
    <row r="222" spans="1:18" x14ac:dyDescent="0.25">
      <c r="A222" s="1189">
        <f>Coltura!A220</f>
        <v>219</v>
      </c>
      <c r="B222" s="1189">
        <f>Coltura!B220</f>
        <v>23</v>
      </c>
      <c r="C222" s="1189" t="str">
        <f>Coltura!C220</f>
        <v>S23</v>
      </c>
      <c r="D222" s="1190" t="s">
        <v>645</v>
      </c>
      <c r="E222" s="930" t="str">
        <f>Coltura!D220</f>
        <v>Trifoglio da seme (trifoglio)</v>
      </c>
      <c r="F222" s="1186">
        <v>340</v>
      </c>
      <c r="G222" s="41">
        <v>170</v>
      </c>
      <c r="H222" s="823" t="s">
        <v>645</v>
      </c>
      <c r="I222" s="41" t="s">
        <v>1111</v>
      </c>
      <c r="J222" s="823" t="s">
        <v>1112</v>
      </c>
      <c r="K222" s="41" t="s">
        <v>570</v>
      </c>
      <c r="L222" s="49" t="str">
        <f>IF(I222="tq",H222,IF(I222="s.s.",(H222/(M222/100))))</f>
        <v>nd</v>
      </c>
      <c r="M222" s="1168"/>
      <c r="N222" s="45" t="str">
        <f>Standard!E222</f>
        <v>nd</v>
      </c>
      <c r="O222" s="45">
        <f>Standard!F222</f>
        <v>0</v>
      </c>
      <c r="P222" s="45">
        <f>Standard!AU222</f>
        <v>0</v>
      </c>
      <c r="Q222" s="49">
        <f t="shared" ref="Q222" si="47">(O222+P222)</f>
        <v>0</v>
      </c>
      <c r="R222" s="714"/>
    </row>
    <row r="223" spans="1:18" x14ac:dyDescent="0.25">
      <c r="A223" s="1198">
        <f>Coltura!A221</f>
        <v>220</v>
      </c>
      <c r="B223" s="45">
        <f>Coltura!B221</f>
        <v>1</v>
      </c>
      <c r="C223" s="45" t="str">
        <f>Coltura!C221</f>
        <v>BL1</v>
      </c>
      <c r="D223" s="41" t="s">
        <v>1149</v>
      </c>
      <c r="E223" s="1198" t="str">
        <f>Standard!C223</f>
        <v>Bietola da foglia</v>
      </c>
      <c r="F223" s="1186">
        <v>340</v>
      </c>
      <c r="G223" s="41" t="s">
        <v>645</v>
      </c>
      <c r="H223" s="41" t="s">
        <v>645</v>
      </c>
      <c r="I223" s="41" t="s">
        <v>1111</v>
      </c>
      <c r="J223" s="41" t="s">
        <v>1249</v>
      </c>
      <c r="K223" s="41" t="s">
        <v>571</v>
      </c>
      <c r="L223" s="49" t="str">
        <f>IF(I223="tq",H223,IF(I223="s.s.",(H223/(M223/100))))</f>
        <v>nd</v>
      </c>
      <c r="M223" s="41"/>
      <c r="N223" s="45">
        <f>Standard!E223</f>
        <v>11.5</v>
      </c>
      <c r="O223" s="45">
        <f>Standard!F223</f>
        <v>60</v>
      </c>
      <c r="P223" s="45">
        <f>Standard!AU223</f>
        <v>30</v>
      </c>
      <c r="Q223" s="49">
        <v>90</v>
      </c>
      <c r="R223" s="714" t="s">
        <v>1852</v>
      </c>
    </row>
    <row r="224" spans="1:18" x14ac:dyDescent="0.25">
      <c r="A224" s="1198">
        <f>Coltura!A222</f>
        <v>221</v>
      </c>
      <c r="B224" s="45">
        <f>Coltura!B221</f>
        <v>1</v>
      </c>
      <c r="C224" s="45" t="str">
        <f>Coltura!C221</f>
        <v>BL1</v>
      </c>
      <c r="D224" s="41" t="s">
        <v>1150</v>
      </c>
      <c r="E224" s="1198" t="str">
        <f>Standard!C224</f>
        <v>Bietola da foglia</v>
      </c>
      <c r="F224" s="1186">
        <v>340</v>
      </c>
      <c r="G224" s="41" t="s">
        <v>645</v>
      </c>
      <c r="H224" s="41" t="s">
        <v>645</v>
      </c>
      <c r="I224" s="41" t="s">
        <v>1111</v>
      </c>
      <c r="J224" s="41" t="s">
        <v>1249</v>
      </c>
      <c r="K224" s="41" t="s">
        <v>571</v>
      </c>
      <c r="L224" s="49" t="str">
        <f t="shared" ref="L224" si="48">IF(I224="tq",H224,IF(I224="s.s.",(H224/(M224/100))))</f>
        <v>nd</v>
      </c>
      <c r="M224" s="41"/>
      <c r="N224" s="45">
        <f>Standard!E224</f>
        <v>11.5</v>
      </c>
      <c r="O224" s="45">
        <f>Standard!F224</f>
        <v>30</v>
      </c>
      <c r="P224" s="45">
        <f>Standard!AU224</f>
        <v>30</v>
      </c>
      <c r="Q224" s="49">
        <v>60</v>
      </c>
      <c r="R224" s="714" t="s">
        <v>1852</v>
      </c>
    </row>
    <row r="225" spans="1:18" x14ac:dyDescent="0.25">
      <c r="A225" s="1198">
        <f>Coltura!A223</f>
        <v>222</v>
      </c>
      <c r="B225" s="45">
        <f>Coltura!B223</f>
        <v>3</v>
      </c>
      <c r="C225" s="45" t="str">
        <f>Coltura!C223</f>
        <v>BL3</v>
      </c>
      <c r="D225" s="41" t="s">
        <v>1149</v>
      </c>
      <c r="E225" s="1198" t="str">
        <f>Standard!C225</f>
        <v>Cicorino</v>
      </c>
      <c r="F225" s="1186">
        <v>340</v>
      </c>
      <c r="G225" s="41" t="s">
        <v>645</v>
      </c>
      <c r="H225" s="41" t="s">
        <v>645</v>
      </c>
      <c r="I225" s="41" t="s">
        <v>1111</v>
      </c>
      <c r="J225" s="41" t="s">
        <v>1249</v>
      </c>
      <c r="K225" s="41" t="s">
        <v>571</v>
      </c>
      <c r="L225" s="49" t="s">
        <v>645</v>
      </c>
      <c r="M225" s="41"/>
      <c r="N225" s="45">
        <f>Standard!E225</f>
        <v>12</v>
      </c>
      <c r="O225" s="45">
        <f>Standard!F225</f>
        <v>60</v>
      </c>
      <c r="P225" s="45">
        <f>Standard!AU225</f>
        <v>40</v>
      </c>
      <c r="Q225" s="49">
        <v>100</v>
      </c>
      <c r="R225" s="714" t="s">
        <v>1852</v>
      </c>
    </row>
    <row r="226" spans="1:18" x14ac:dyDescent="0.25">
      <c r="A226" s="1198">
        <f>Coltura!A224</f>
        <v>223</v>
      </c>
      <c r="B226" s="45">
        <f>Coltura!B223</f>
        <v>3</v>
      </c>
      <c r="C226" s="45" t="str">
        <f>Coltura!C225</f>
        <v>BL5</v>
      </c>
      <c r="D226" s="41" t="s">
        <v>1150</v>
      </c>
      <c r="E226" s="1198" t="str">
        <f>Standard!C226</f>
        <v>Cicorino</v>
      </c>
      <c r="F226" s="1186">
        <v>340</v>
      </c>
      <c r="G226" s="41" t="s">
        <v>645</v>
      </c>
      <c r="H226" s="41" t="s">
        <v>645</v>
      </c>
      <c r="I226" s="41" t="s">
        <v>1111</v>
      </c>
      <c r="J226" s="41" t="s">
        <v>1249</v>
      </c>
      <c r="K226" s="41" t="s">
        <v>571</v>
      </c>
      <c r="L226" s="49" t="s">
        <v>645</v>
      </c>
      <c r="M226" s="41"/>
      <c r="N226" s="45">
        <f>Standard!E226</f>
        <v>12</v>
      </c>
      <c r="O226" s="45">
        <f>Standard!F226</f>
        <v>40</v>
      </c>
      <c r="P226" s="45">
        <f>Standard!AU226</f>
        <v>40</v>
      </c>
      <c r="Q226" s="49">
        <v>80</v>
      </c>
      <c r="R226" s="714" t="s">
        <v>1852</v>
      </c>
    </row>
    <row r="227" spans="1:18" x14ac:dyDescent="0.25">
      <c r="A227" s="1198">
        <f>Coltura!A225</f>
        <v>224</v>
      </c>
      <c r="B227" s="45">
        <f>Coltura!B225</f>
        <v>5</v>
      </c>
      <c r="C227" s="45" t="str">
        <f>Coltura!C225</f>
        <v>BL5</v>
      </c>
      <c r="D227" s="41" t="s">
        <v>1149</v>
      </c>
      <c r="E227" s="1198" t="str">
        <f>Standard!C227</f>
        <v>Foglie e steli di Brassica</v>
      </c>
      <c r="F227" s="1186">
        <v>340</v>
      </c>
      <c r="G227" s="41" t="s">
        <v>645</v>
      </c>
      <c r="H227" s="41" t="s">
        <v>645</v>
      </c>
      <c r="I227" s="41" t="s">
        <v>1111</v>
      </c>
      <c r="J227" s="41" t="s">
        <v>1249</v>
      </c>
      <c r="K227" s="41" t="s">
        <v>571</v>
      </c>
      <c r="L227" s="49" t="s">
        <v>645</v>
      </c>
      <c r="M227" s="41"/>
      <c r="N227" s="45">
        <f>Standard!E227</f>
        <v>10</v>
      </c>
      <c r="O227" s="45">
        <f>Standard!F227</f>
        <v>40</v>
      </c>
      <c r="P227" s="45">
        <f>Standard!AU227</f>
        <v>20</v>
      </c>
      <c r="Q227" s="49">
        <v>60</v>
      </c>
      <c r="R227" s="714" t="s">
        <v>1852</v>
      </c>
    </row>
    <row r="228" spans="1:18" x14ac:dyDescent="0.25">
      <c r="A228" s="1198">
        <f>Coltura!A226</f>
        <v>225</v>
      </c>
      <c r="B228" s="45">
        <f>Coltura!B225</f>
        <v>5</v>
      </c>
      <c r="C228" s="45" t="str">
        <f>Coltura!C225</f>
        <v>BL5</v>
      </c>
      <c r="D228" s="41" t="s">
        <v>1150</v>
      </c>
      <c r="E228" s="1198" t="str">
        <f>Standard!C228</f>
        <v>Foglie e steli di Brassica</v>
      </c>
      <c r="F228" s="1186">
        <v>340</v>
      </c>
      <c r="G228" s="41" t="s">
        <v>645</v>
      </c>
      <c r="H228" s="41" t="s">
        <v>645</v>
      </c>
      <c r="I228" s="41" t="s">
        <v>1111</v>
      </c>
      <c r="J228" s="41" t="s">
        <v>1249</v>
      </c>
      <c r="K228" s="41" t="s">
        <v>571</v>
      </c>
      <c r="L228" s="49" t="s">
        <v>645</v>
      </c>
      <c r="M228" s="41"/>
      <c r="N228" s="45">
        <f>Standard!E228</f>
        <v>10</v>
      </c>
      <c r="O228" s="45">
        <f>Standard!F228</f>
        <v>20</v>
      </c>
      <c r="P228" s="45">
        <f>Standard!AU228</f>
        <v>20</v>
      </c>
      <c r="Q228" s="49">
        <v>40</v>
      </c>
      <c r="R228" s="714" t="s">
        <v>1852</v>
      </c>
    </row>
    <row r="229" spans="1:18" x14ac:dyDescent="0.25">
      <c r="A229" s="1198">
        <f>Coltura!A227</f>
        <v>226</v>
      </c>
      <c r="B229" s="45">
        <f>Coltura!B227</f>
        <v>7</v>
      </c>
      <c r="C229" s="45" t="str">
        <f>Coltura!C227</f>
        <v>BL7</v>
      </c>
      <c r="D229" s="41" t="s">
        <v>1151</v>
      </c>
      <c r="E229" s="1198" t="str">
        <f>Standard!C229</f>
        <v>Lattuga da cespo</v>
      </c>
      <c r="F229" s="1186">
        <v>340</v>
      </c>
      <c r="G229" s="41" t="s">
        <v>645</v>
      </c>
      <c r="H229" s="41" t="s">
        <v>645</v>
      </c>
      <c r="I229" s="41" t="s">
        <v>1111</v>
      </c>
      <c r="J229" s="41" t="s">
        <v>1249</v>
      </c>
      <c r="K229" s="41" t="s">
        <v>571</v>
      </c>
      <c r="L229" s="49" t="s">
        <v>645</v>
      </c>
      <c r="M229" s="41"/>
      <c r="N229" s="45">
        <f>Standard!E229</f>
        <v>32</v>
      </c>
      <c r="O229" s="45">
        <f>Standard!F229</f>
        <v>110</v>
      </c>
      <c r="P229" s="45">
        <f>Standard!AU229</f>
        <v>30</v>
      </c>
      <c r="Q229" s="49">
        <v>140</v>
      </c>
      <c r="R229" s="714" t="s">
        <v>1852</v>
      </c>
    </row>
    <row r="230" spans="1:18" x14ac:dyDescent="0.25">
      <c r="A230" s="1198">
        <f>Coltura!A228</f>
        <v>227</v>
      </c>
      <c r="B230" s="45">
        <f>Coltura!B228</f>
        <v>8</v>
      </c>
      <c r="C230" s="45" t="str">
        <f>Coltura!C228</f>
        <v>BL8</v>
      </c>
      <c r="D230" s="41" t="s">
        <v>1149</v>
      </c>
      <c r="E230" s="1198" t="str">
        <f>Standard!C230</f>
        <v>Lattughino 1° taglio</v>
      </c>
      <c r="F230" s="1186">
        <v>340</v>
      </c>
      <c r="G230" s="41" t="s">
        <v>645</v>
      </c>
      <c r="H230" s="41" t="s">
        <v>645</v>
      </c>
      <c r="I230" s="41" t="s">
        <v>1111</v>
      </c>
      <c r="J230" s="41" t="s">
        <v>1249</v>
      </c>
      <c r="K230" s="41" t="s">
        <v>571</v>
      </c>
      <c r="L230" s="49" t="s">
        <v>645</v>
      </c>
      <c r="M230" s="41"/>
      <c r="N230" s="45">
        <f>Standard!E230</f>
        <v>11.5</v>
      </c>
      <c r="O230" s="45">
        <f>Standard!F230</f>
        <v>25</v>
      </c>
      <c r="P230" s="45">
        <f>Standard!AU230</f>
        <v>20</v>
      </c>
      <c r="Q230" s="49">
        <v>45</v>
      </c>
      <c r="R230" s="714" t="s">
        <v>1852</v>
      </c>
    </row>
    <row r="231" spans="1:18" x14ac:dyDescent="0.25">
      <c r="A231" s="1198">
        <f>Coltura!A229</f>
        <v>228</v>
      </c>
      <c r="B231" s="45">
        <f>Coltura!B229</f>
        <v>9</v>
      </c>
      <c r="C231" s="1189" t="str">
        <f>Coltura!C229</f>
        <v>BL9</v>
      </c>
      <c r="D231" s="41" t="s">
        <v>1150</v>
      </c>
      <c r="E231" s="1198" t="str">
        <f>Standard!C231</f>
        <v>Lattughino 2° taglio</v>
      </c>
      <c r="F231" s="1186">
        <v>340</v>
      </c>
      <c r="G231" s="41" t="s">
        <v>645</v>
      </c>
      <c r="H231" s="41" t="s">
        <v>645</v>
      </c>
      <c r="I231" s="41" t="s">
        <v>1111</v>
      </c>
      <c r="J231" s="41" t="s">
        <v>1249</v>
      </c>
      <c r="K231" s="41" t="s">
        <v>571</v>
      </c>
      <c r="L231" s="49" t="s">
        <v>645</v>
      </c>
      <c r="M231" s="41"/>
      <c r="N231" s="45">
        <f>Standard!E231</f>
        <v>11.5</v>
      </c>
      <c r="O231" s="45">
        <f>Standard!F231</f>
        <v>15</v>
      </c>
      <c r="P231" s="45">
        <f>Standard!AU231</f>
        <v>20</v>
      </c>
      <c r="Q231" s="49">
        <v>35</v>
      </c>
      <c r="R231" s="714" t="s">
        <v>1852</v>
      </c>
    </row>
    <row r="232" spans="1:18" x14ac:dyDescent="0.25">
      <c r="A232" s="1198">
        <f>Coltura!A230</f>
        <v>229</v>
      </c>
      <c r="B232" s="45">
        <f>Coltura!B230</f>
        <v>10</v>
      </c>
      <c r="C232" s="45" t="str">
        <f>Coltura!C230</f>
        <v>BL10</v>
      </c>
      <c r="D232" s="41" t="s">
        <v>1149</v>
      </c>
      <c r="E232" s="1198" t="str">
        <f>Standard!C232</f>
        <v>Rucola 1° taglio</v>
      </c>
      <c r="F232" s="1186">
        <v>340</v>
      </c>
      <c r="G232" s="41" t="s">
        <v>645</v>
      </c>
      <c r="H232" s="41" t="s">
        <v>645</v>
      </c>
      <c r="I232" s="41" t="s">
        <v>1111</v>
      </c>
      <c r="J232" s="41" t="s">
        <v>1249</v>
      </c>
      <c r="K232" s="41" t="s">
        <v>571</v>
      </c>
      <c r="L232" s="49" t="s">
        <v>645</v>
      </c>
      <c r="M232" s="41"/>
      <c r="N232" s="45">
        <f>Standard!E232</f>
        <v>8.5</v>
      </c>
      <c r="O232" s="45">
        <f>Standard!F232</f>
        <v>40</v>
      </c>
      <c r="P232" s="45">
        <f>Standard!AU232</f>
        <v>20</v>
      </c>
      <c r="Q232" s="49">
        <v>60</v>
      </c>
      <c r="R232" s="714" t="s">
        <v>1852</v>
      </c>
    </row>
    <row r="233" spans="1:18" x14ac:dyDescent="0.25">
      <c r="A233" s="1198">
        <f>Coltura!A231</f>
        <v>230</v>
      </c>
      <c r="B233" s="45">
        <f>Coltura!B231</f>
        <v>11</v>
      </c>
      <c r="C233" s="45" t="str">
        <f>Coltura!C231</f>
        <v>BL11</v>
      </c>
      <c r="D233" s="41" t="s">
        <v>1150</v>
      </c>
      <c r="E233" s="1198" t="str">
        <f>Standard!C233</f>
        <v>Rucola 2° taglio</v>
      </c>
      <c r="F233" s="1186">
        <v>340</v>
      </c>
      <c r="G233" s="41" t="s">
        <v>645</v>
      </c>
      <c r="H233" s="41" t="s">
        <v>645</v>
      </c>
      <c r="I233" s="41" t="s">
        <v>1111</v>
      </c>
      <c r="J233" s="41" t="s">
        <v>1249</v>
      </c>
      <c r="K233" s="41" t="s">
        <v>571</v>
      </c>
      <c r="L233" s="49" t="s">
        <v>645</v>
      </c>
      <c r="M233" s="41"/>
      <c r="N233" s="45">
        <f>Standard!E233</f>
        <v>8.5</v>
      </c>
      <c r="O233" s="45">
        <f>Standard!F233</f>
        <v>15</v>
      </c>
      <c r="P233" s="45">
        <f>Standard!AU233</f>
        <v>20</v>
      </c>
      <c r="Q233" s="49">
        <v>35</v>
      </c>
      <c r="R233" s="714" t="s">
        <v>1852</v>
      </c>
    </row>
    <row r="234" spans="1:18" x14ac:dyDescent="0.25">
      <c r="A234" s="1198">
        <f>Coltura!A232</f>
        <v>231</v>
      </c>
      <c r="B234" s="45">
        <f>Coltura!B232</f>
        <v>12</v>
      </c>
      <c r="C234" s="45" t="str">
        <f>Coltura!C232</f>
        <v>BL12</v>
      </c>
      <c r="D234" s="41" t="s">
        <v>1149</v>
      </c>
      <c r="E234" s="1198" t="str">
        <f>Standard!C234</f>
        <v>Spinacino 1° taglio</v>
      </c>
      <c r="F234" s="1186">
        <v>340</v>
      </c>
      <c r="G234" s="41" t="s">
        <v>645</v>
      </c>
      <c r="H234" s="41" t="s">
        <v>645</v>
      </c>
      <c r="I234" s="41" t="s">
        <v>1111</v>
      </c>
      <c r="J234" s="41" t="s">
        <v>1249</v>
      </c>
      <c r="K234" s="41" t="s">
        <v>571</v>
      </c>
      <c r="L234" s="49" t="s">
        <v>645</v>
      </c>
      <c r="M234" s="41"/>
      <c r="N234" s="45">
        <f>Standard!E234</f>
        <v>6</v>
      </c>
      <c r="O234" s="45">
        <f>Standard!F234</f>
        <v>25</v>
      </c>
      <c r="P234" s="45">
        <f>Standard!AU234</f>
        <v>20</v>
      </c>
      <c r="Q234" s="49">
        <v>45</v>
      </c>
      <c r="R234" s="714" t="s">
        <v>1852</v>
      </c>
    </row>
    <row r="235" spans="1:18" x14ac:dyDescent="0.25">
      <c r="A235" s="1198">
        <f>Coltura!A233</f>
        <v>232</v>
      </c>
      <c r="B235" s="45">
        <f>Coltura!B233</f>
        <v>13</v>
      </c>
      <c r="C235" s="45" t="str">
        <f>Coltura!C233</f>
        <v>BL13</v>
      </c>
      <c r="D235" s="41" t="s">
        <v>1150</v>
      </c>
      <c r="E235" s="1198" t="str">
        <f>Standard!C235</f>
        <v>Spinacino 2° taglio</v>
      </c>
      <c r="F235" s="1186">
        <v>340</v>
      </c>
      <c r="G235" s="41" t="s">
        <v>645</v>
      </c>
      <c r="H235" s="41" t="s">
        <v>645</v>
      </c>
      <c r="I235" s="41" t="s">
        <v>1111</v>
      </c>
      <c r="J235" s="41" t="s">
        <v>1249</v>
      </c>
      <c r="K235" s="41" t="s">
        <v>571</v>
      </c>
      <c r="L235" s="49" t="s">
        <v>645</v>
      </c>
      <c r="M235" s="41"/>
      <c r="N235" s="45">
        <f>Standard!E235</f>
        <v>6</v>
      </c>
      <c r="O235" s="45">
        <f>Standard!F235</f>
        <v>15</v>
      </c>
      <c r="P235" s="45">
        <f>Standard!AU235</f>
        <v>20</v>
      </c>
      <c r="Q235" s="49">
        <v>35</v>
      </c>
      <c r="R235" s="714" t="s">
        <v>1852</v>
      </c>
    </row>
    <row r="236" spans="1:18" x14ac:dyDescent="0.25">
      <c r="A236" s="1198">
        <f>Coltura!A234</f>
        <v>233</v>
      </c>
      <c r="B236" s="45">
        <f>Coltura!B234</f>
        <v>14</v>
      </c>
      <c r="C236" s="1189" t="str">
        <f>Coltura!C234</f>
        <v>BL14</v>
      </c>
      <c r="D236" s="41" t="s">
        <v>1151</v>
      </c>
      <c r="E236" s="1198" t="str">
        <f>Standard!C236</f>
        <v>Valerianella</v>
      </c>
      <c r="F236" s="1186">
        <v>340</v>
      </c>
      <c r="G236" s="41" t="s">
        <v>645</v>
      </c>
      <c r="H236" s="41" t="s">
        <v>645</v>
      </c>
      <c r="I236" s="41" t="s">
        <v>1111</v>
      </c>
      <c r="J236" s="41" t="s">
        <v>1249</v>
      </c>
      <c r="K236" s="41" t="s">
        <v>571</v>
      </c>
      <c r="L236" s="49" t="s">
        <v>645</v>
      </c>
      <c r="M236" s="41"/>
      <c r="N236" s="45">
        <f>Standard!E236</f>
        <v>9</v>
      </c>
      <c r="O236" s="45">
        <f>Standard!F236</f>
        <v>40</v>
      </c>
      <c r="P236" s="45">
        <f>Standard!AU236</f>
        <v>20</v>
      </c>
      <c r="Q236" s="49">
        <v>60</v>
      </c>
      <c r="R236" s="714" t="s">
        <v>1852</v>
      </c>
    </row>
    <row r="237" spans="1:18" x14ac:dyDescent="0.25">
      <c r="A237" s="1198">
        <f>Coltura!A235</f>
        <v>234</v>
      </c>
      <c r="B237" s="45">
        <f>Coltura!B235</f>
        <v>15</v>
      </c>
      <c r="C237" s="1189" t="str">
        <f>Coltura!C235</f>
        <v>BL15</v>
      </c>
      <c r="D237" s="41" t="s">
        <v>1151</v>
      </c>
      <c r="E237" s="1198" t="str">
        <f>Standard!C237</f>
        <v>baby leaf generica</v>
      </c>
      <c r="F237" s="1186">
        <v>340</v>
      </c>
      <c r="G237" s="41" t="s">
        <v>645</v>
      </c>
      <c r="H237" s="41" t="s">
        <v>645</v>
      </c>
      <c r="I237" s="41" t="s">
        <v>1111</v>
      </c>
      <c r="J237" s="41" t="s">
        <v>1249</v>
      </c>
      <c r="K237" s="41" t="s">
        <v>571</v>
      </c>
      <c r="L237" s="49" t="s">
        <v>645</v>
      </c>
      <c r="M237" s="41"/>
      <c r="N237" s="45">
        <f>Standard!E237</f>
        <v>10</v>
      </c>
      <c r="O237" s="45">
        <f>Standard!F237</f>
        <v>40</v>
      </c>
      <c r="P237" s="45">
        <f>Standard!AU237</f>
        <v>20</v>
      </c>
      <c r="Q237" s="49">
        <v>60</v>
      </c>
      <c r="R237" s="714" t="s">
        <v>1852</v>
      </c>
    </row>
    <row r="238" spans="1:18" x14ac:dyDescent="0.25">
      <c r="A238" s="1190"/>
      <c r="B238" s="1190"/>
      <c r="C238" s="1190"/>
      <c r="D238" s="1190"/>
      <c r="F238" s="1186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1:18" x14ac:dyDescent="0.25">
      <c r="A239" s="132">
        <v>1</v>
      </c>
      <c r="B239" s="1199">
        <f>(A239+1)</f>
        <v>2</v>
      </c>
      <c r="C239" s="1199">
        <f t="shared" ref="C239:G239" si="49">(B239+1)</f>
        <v>3</v>
      </c>
      <c r="D239" s="1199">
        <f t="shared" si="49"/>
        <v>4</v>
      </c>
      <c r="E239" s="1199">
        <f t="shared" si="49"/>
        <v>5</v>
      </c>
      <c r="F239" s="1199">
        <f t="shared" si="49"/>
        <v>6</v>
      </c>
      <c r="G239" s="1199">
        <f t="shared" si="49"/>
        <v>7</v>
      </c>
      <c r="H239" s="1199">
        <f t="shared" ref="H239:R239" si="50">(G239+1)</f>
        <v>8</v>
      </c>
      <c r="I239" s="1199">
        <f t="shared" si="50"/>
        <v>9</v>
      </c>
      <c r="J239" s="1199">
        <f t="shared" si="50"/>
        <v>10</v>
      </c>
      <c r="K239" s="1199">
        <f t="shared" si="50"/>
        <v>11</v>
      </c>
      <c r="L239" s="1199">
        <f t="shared" si="50"/>
        <v>12</v>
      </c>
      <c r="M239" s="1199">
        <f t="shared" si="50"/>
        <v>13</v>
      </c>
      <c r="N239" s="1199">
        <f t="shared" si="50"/>
        <v>14</v>
      </c>
      <c r="O239" s="1199">
        <f t="shared" si="50"/>
        <v>15</v>
      </c>
      <c r="P239" s="1199">
        <f t="shared" si="50"/>
        <v>16</v>
      </c>
      <c r="Q239" s="1199">
        <f t="shared" si="50"/>
        <v>17</v>
      </c>
      <c r="R239" s="1199">
        <f t="shared" si="50"/>
        <v>18</v>
      </c>
    </row>
    <row r="240" spans="1:18" ht="39.6" x14ac:dyDescent="0.25">
      <c r="A240" s="32" t="s">
        <v>23</v>
      </c>
      <c r="B240" s="191" t="s">
        <v>1000</v>
      </c>
      <c r="C240" s="32" t="s">
        <v>24</v>
      </c>
      <c r="D240" s="41" t="s">
        <v>1208</v>
      </c>
      <c r="E240" s="32" t="s">
        <v>240</v>
      </c>
      <c r="F240" s="1186"/>
      <c r="R240" s="714" t="s">
        <v>1508</v>
      </c>
    </row>
    <row r="241" spans="1:20" x14ac:dyDescent="0.25">
      <c r="A241" s="1200">
        <f>Standard!A243</f>
        <v>50</v>
      </c>
      <c r="B241" s="1189">
        <f>Coltura!B238</f>
        <v>17</v>
      </c>
      <c r="C241" s="1189" t="str">
        <f>Coltura!C238</f>
        <v>E17</v>
      </c>
      <c r="D241" s="1200" t="str">
        <f>Standard!D243</f>
        <v>nd</v>
      </c>
      <c r="E241" s="1141" t="str">
        <f>DGET($A$3:$Q$237,E239,$A$240:$D$241)</f>
        <v>Grano duro (pianta intera)</v>
      </c>
      <c r="F241" s="1201">
        <v>120</v>
      </c>
      <c r="G241" s="1141">
        <f t="shared" ref="G241:P241" si="51">DGET($A$3:$Q$237,G239,$A$240:$D$241)</f>
        <v>190</v>
      </c>
      <c r="H241" s="1141">
        <f t="shared" si="51"/>
        <v>6</v>
      </c>
      <c r="I241" s="1141" t="str">
        <f t="shared" si="51"/>
        <v>tq</v>
      </c>
      <c r="J241" s="1141" t="str">
        <f t="shared" si="51"/>
        <v>gran</v>
      </c>
      <c r="K241" s="1141" t="str">
        <f t="shared" si="51"/>
        <v>no</v>
      </c>
      <c r="L241" s="1141">
        <f t="shared" si="51"/>
        <v>6</v>
      </c>
      <c r="M241" s="1141">
        <f t="shared" si="51"/>
        <v>87</v>
      </c>
      <c r="N241" s="49">
        <f t="shared" si="51"/>
        <v>6</v>
      </c>
      <c r="O241" s="1141">
        <f t="shared" si="51"/>
        <v>160</v>
      </c>
      <c r="P241" s="1141">
        <f t="shared" si="51"/>
        <v>40</v>
      </c>
      <c r="Q241" s="1141">
        <f>DGET($A$3:$R$237,Q239,$A$240:$D$241)</f>
        <v>200</v>
      </c>
      <c r="R241" s="1141" t="str">
        <f>DGET($A$3:$R$237,R239,$A$240:$D$241)</f>
        <v>RR n. 2/2024</v>
      </c>
    </row>
    <row r="242" spans="1:20" x14ac:dyDescent="0.25">
      <c r="E242" s="1202" t="s">
        <v>1484</v>
      </c>
      <c r="F242" s="1201">
        <f>IF(Codici!AT2&lt;Coltura!E238,1,0)</f>
        <v>0</v>
      </c>
    </row>
    <row r="243" spans="1:20" x14ac:dyDescent="0.25">
      <c r="L243" s="32" t="s">
        <v>1121</v>
      </c>
      <c r="N243" s="32" t="s">
        <v>1122</v>
      </c>
      <c r="Q243" s="32" t="s">
        <v>1131</v>
      </c>
    </row>
    <row r="244" spans="1:20" x14ac:dyDescent="0.25">
      <c r="G244" s="32" t="s">
        <v>1123</v>
      </c>
      <c r="L244" s="32" t="s">
        <v>1123</v>
      </c>
      <c r="N244" s="32" t="s">
        <v>1105</v>
      </c>
      <c r="Q244" s="32" t="s">
        <v>1132</v>
      </c>
      <c r="R244" s="32" t="s">
        <v>1238</v>
      </c>
    </row>
    <row r="245" spans="1:20" x14ac:dyDescent="0.25">
      <c r="C245" s="32" t="s">
        <v>438</v>
      </c>
      <c r="E245" s="32" t="s">
        <v>437</v>
      </c>
      <c r="G245" s="32" t="s">
        <v>330</v>
      </c>
      <c r="L245" s="41" t="s">
        <v>330</v>
      </c>
      <c r="N245" s="41" t="s">
        <v>593</v>
      </c>
      <c r="Q245" s="41" t="s">
        <v>330</v>
      </c>
      <c r="R245" s="41" t="s">
        <v>330</v>
      </c>
    </row>
    <row r="246" spans="1:20" x14ac:dyDescent="0.25">
      <c r="C246" s="45">
        <f>E!A27</f>
        <v>6</v>
      </c>
      <c r="D246" s="45"/>
      <c r="E246" s="930" t="str">
        <f>E!B28</f>
        <v>Mais stocchi asportati</v>
      </c>
      <c r="F246" s="930"/>
      <c r="G246" s="49">
        <f>IF(OR(C246=8,C246=9),60,IF(OR(C246=15,C246=16),40,0))</f>
        <v>0</v>
      </c>
      <c r="L246" s="45">
        <f>E!C28</f>
        <v>-10</v>
      </c>
      <c r="N246" s="45">
        <f>Codici!M2</f>
        <v>6</v>
      </c>
      <c r="Q246" s="984">
        <f>Bilancio!H33</f>
        <v>142.24599999999998</v>
      </c>
      <c r="R246" s="49">
        <f ca="1">IF(C_tempo!I22="sì",Scheda_N!D39,Scheda_N!H32)</f>
        <v>200</v>
      </c>
    </row>
    <row r="248" spans="1:20" x14ac:dyDescent="0.25">
      <c r="C248" s="32" t="s">
        <v>1124</v>
      </c>
      <c r="M248" s="91" t="s">
        <v>1125</v>
      </c>
      <c r="N248" s="92"/>
      <c r="O248" s="92"/>
      <c r="P248" s="92"/>
      <c r="Q248" s="92"/>
      <c r="R248" s="92"/>
      <c r="S248" s="92" t="s">
        <v>1224</v>
      </c>
      <c r="T248" s="85" t="s">
        <v>1225</v>
      </c>
    </row>
    <row r="249" spans="1:20" ht="25.5" customHeight="1" x14ac:dyDescent="0.25">
      <c r="C249" s="45" t="b">
        <f>Codici!AW2</f>
        <v>0</v>
      </c>
      <c r="D249" s="45"/>
      <c r="M249" s="932" t="s">
        <v>1226</v>
      </c>
      <c r="N249" s="1203" t="s">
        <v>1223</v>
      </c>
      <c r="O249" s="1204"/>
      <c r="P249" s="1204"/>
      <c r="Q249" s="1204"/>
      <c r="R249" s="1204"/>
      <c r="S249" s="1141" t="b">
        <f>IF(G258="nd",FALSE,IF(AND($N$246&gt;$L$254,$I$254=TRUE),TRUE,FALSE))</f>
        <v>0</v>
      </c>
      <c r="T249" s="60"/>
    </row>
    <row r="250" spans="1:20" ht="27" customHeight="1" x14ac:dyDescent="0.25">
      <c r="E250" s="32" t="s">
        <v>1126</v>
      </c>
      <c r="M250" s="932" t="s">
        <v>1227</v>
      </c>
      <c r="N250" s="1203" t="s">
        <v>1260</v>
      </c>
      <c r="O250" s="1204"/>
      <c r="P250" s="1204"/>
      <c r="Q250" s="1204"/>
      <c r="R250" s="1204"/>
      <c r="T250" s="1205" t="b">
        <f>IF(N246&gt;Standard!$AH$247,TRUE,FALSE)</f>
        <v>0</v>
      </c>
    </row>
    <row r="251" spans="1:20" ht="25.5" customHeight="1" x14ac:dyDescent="0.25">
      <c r="E251" s="49" t="b">
        <f>IF(OR(C241="E28",C241="E29",C241="E32"),FALSE,TRUE)</f>
        <v>1</v>
      </c>
      <c r="F251" s="49"/>
      <c r="M251" s="132" t="s">
        <v>1198</v>
      </c>
      <c r="N251" s="1206" t="str">
        <f ca="1">IF(OR(G258="nd",C_tempo!E22&lt;1)," ",IF(AND(Scheda_N!H32&gt;$G$258,$I$254=TRUE),"ATTENZIONE! L'apporto di N non può superare il limite MAS"," "))</f>
        <v xml:space="preserve"> </v>
      </c>
      <c r="O251" s="1206"/>
      <c r="P251" s="1206"/>
      <c r="Q251" s="1206"/>
      <c r="R251" s="1206"/>
      <c r="S251" s="971" t="b">
        <f ca="1">IF(G258="nd",FALSE,IF(AND(R246&gt;$G$258,$I$254=TRUE),TRUE,FALSE))</f>
        <v>0</v>
      </c>
      <c r="T251" s="60"/>
    </row>
    <row r="252" spans="1:20" ht="39.6" x14ac:dyDescent="0.25">
      <c r="G252" s="32" t="s">
        <v>1127</v>
      </c>
      <c r="H252" s="1207" t="s">
        <v>1134</v>
      </c>
      <c r="I252" s="41" t="s">
        <v>1129</v>
      </c>
      <c r="L252" s="1207" t="s">
        <v>1128</v>
      </c>
      <c r="M252" s="132" t="s">
        <v>1198</v>
      </c>
      <c r="N252" s="1206" t="str">
        <f ca="1">IF(AND(S251=TRUE,S249=TRUE),"Per poter superare il MAS bisogna documentare la resa elevata"," ")</f>
        <v xml:space="preserve"> </v>
      </c>
      <c r="O252" s="1206"/>
      <c r="P252" s="1206"/>
      <c r="Q252" s="1206"/>
      <c r="R252" s="1206"/>
      <c r="S252" s="971" t="str">
        <f>CONCATENATE("&gt; di ",$H$254," t/ha")</f>
        <v>&gt; di 6 t/ha</v>
      </c>
      <c r="T252" s="60"/>
    </row>
    <row r="253" spans="1:20" ht="25.5" customHeight="1" x14ac:dyDescent="0.25">
      <c r="G253" s="32" t="s">
        <v>330</v>
      </c>
      <c r="H253" s="41" t="s">
        <v>593</v>
      </c>
      <c r="I253" s="41"/>
      <c r="L253" s="41" t="s">
        <v>593</v>
      </c>
      <c r="M253" s="132" t="s">
        <v>1197</v>
      </c>
      <c r="N253" s="1206" t="str">
        <f>IF(G258="nd"," ",IF(AND($Q$246&gt;$G$258,$I$254=TRUE),"ATTENZIONE! L'apporto di N non può superare il limite MAS"," "))</f>
        <v xml:space="preserve"> </v>
      </c>
      <c r="O253" s="1206"/>
      <c r="P253" s="1206"/>
      <c r="Q253" s="1206"/>
      <c r="R253" s="1206"/>
      <c r="S253" s="971" t="b">
        <f>IF(G258="nd",FALSE,IF(AND($Q$246&gt;$G$258,$I$254=TRUE),TRUE,FALSE))</f>
        <v>0</v>
      </c>
      <c r="T253" s="60"/>
    </row>
    <row r="254" spans="1:20" ht="26.25" customHeight="1" x14ac:dyDescent="0.25">
      <c r="G254" s="49">
        <f>IF(AND($C$249=FALSE,$K$241="sì"),70,0)</f>
        <v>0</v>
      </c>
      <c r="H254" s="49">
        <f>IF(AND($C$249=FALSE,$K$241="sì"),(H241*0.8),H241)</f>
        <v>6</v>
      </c>
      <c r="I254" s="45" t="b">
        <f>Codici!AX2</f>
        <v>0</v>
      </c>
      <c r="L254" s="52">
        <f>IF(AND($C$249=FALSE,$K$241="sì"),(L241*0.8),L241)</f>
        <v>6</v>
      </c>
      <c r="M254" s="132" t="s">
        <v>1197</v>
      </c>
      <c r="N254" s="1206" t="str">
        <f>IF(AND(S253=TRUE,S249=TRUE),"Per poter superare il MAS bisogna documentare la resa elevata"," ")</f>
        <v xml:space="preserve"> </v>
      </c>
      <c r="O254" s="1206"/>
      <c r="P254" s="1206"/>
      <c r="Q254" s="1206"/>
      <c r="R254" s="1206"/>
      <c r="S254" s="971" t="str">
        <f>CONCATENATE("&gt; di ",$L$255," t/ha")</f>
        <v>&gt; di 6 t/ha</v>
      </c>
      <c r="T254" s="62"/>
    </row>
    <row r="255" spans="1:20" x14ac:dyDescent="0.25">
      <c r="K255" s="32" t="s">
        <v>3</v>
      </c>
      <c r="L255" s="52">
        <f>ROUND(L254,1)</f>
        <v>6</v>
      </c>
    </row>
    <row r="256" spans="1:20" x14ac:dyDescent="0.25">
      <c r="G256" s="41" t="s">
        <v>1104</v>
      </c>
    </row>
    <row r="257" spans="7:7" x14ac:dyDescent="0.25">
      <c r="G257" s="32" t="s">
        <v>1130</v>
      </c>
    </row>
    <row r="258" spans="7:7" x14ac:dyDescent="0.25">
      <c r="G258" s="49">
        <f>IF(G241="nd","nd",(G241-G246-G254))</f>
        <v>190</v>
      </c>
    </row>
  </sheetData>
  <sheetProtection algorithmName="SHA-512" hashValue="O7C/bTnUCzVrfEY6JrDfr6+qj+j3h31iT8rTsrQg1bMrICRMFUt4mjyomVT1hxp/6SG7tr0l6QoV+RTtqdJzEg==" saltValue="m/3rnkSbvv7e+no8oSITHA==" spinCount="100000" sheet="1" objects="1" scenarios="1"/>
  <mergeCells count="6">
    <mergeCell ref="N254:R254"/>
    <mergeCell ref="N249:R249"/>
    <mergeCell ref="N251:R251"/>
    <mergeCell ref="N252:R252"/>
    <mergeCell ref="N253:R253"/>
    <mergeCell ref="N250:R25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2"/>
  <dimension ref="B1:G7"/>
  <sheetViews>
    <sheetView workbookViewId="0">
      <selection activeCell="E5" sqref="E5"/>
    </sheetView>
  </sheetViews>
  <sheetFormatPr defaultRowHeight="13.2" x14ac:dyDescent="0.25"/>
  <cols>
    <col min="2" max="2" width="26.6640625" customWidth="1"/>
    <col min="5" max="5" width="9.5546875" bestFit="1" customWidth="1"/>
  </cols>
  <sheetData>
    <row r="1" spans="2:7" ht="27" customHeight="1" thickBot="1" x14ac:dyDescent="0.3">
      <c r="B1" s="1044" t="s">
        <v>1486</v>
      </c>
      <c r="C1" s="1044"/>
      <c r="D1" s="1044"/>
      <c r="E1" s="1044"/>
      <c r="F1" s="1044"/>
      <c r="G1" s="1044"/>
    </row>
    <row r="2" spans="2:7" x14ac:dyDescent="0.25">
      <c r="B2" s="185" t="s">
        <v>1036</v>
      </c>
      <c r="C2" s="118"/>
      <c r="D2" s="118"/>
      <c r="E2" s="692">
        <f>IF(C_tempo!A22=1,0,IF(C_tempo!A22=2,Standard!BI243,IF(C_tempo!A22=3,Standard!BJ247,(Bilancio!$H$31*C_tempo!E22))))</f>
        <v>142.24599999999998</v>
      </c>
      <c r="F2" s="692">
        <f>IF(AND(C_tempo!A22=2,Gri_P!A10&gt;2),Standard!BL243,IF(AND(C_tempo!A22=3,Gri_P!A10&gt;2),Standard!BM247,Bilancio!$I$31))</f>
        <v>112.896047736</v>
      </c>
      <c r="G2" s="693">
        <f ca="1">IF(AND(C_tempo!A22=2,Gri_K!H18&gt;2),Standard!BO243,IF(AND(C_tempo!A22=3,Gri_K!H18&gt;2),Standard!BP247,Bilancio!$J$31))</f>
        <v>139.39999999999998</v>
      </c>
    </row>
    <row r="3" spans="2:7" x14ac:dyDescent="0.25">
      <c r="B3" s="694" t="s">
        <v>1487</v>
      </c>
      <c r="C3" s="675"/>
      <c r="D3" s="675"/>
      <c r="E3" s="695">
        <f>IF(E2&gt;0,E2,0)</f>
        <v>142.24599999999998</v>
      </c>
      <c r="F3" s="695">
        <f t="shared" ref="F3:G3" si="0">IF(F2&gt;0,F2,0)</f>
        <v>112.896047736</v>
      </c>
      <c r="G3" s="696">
        <f t="shared" ca="1" si="0"/>
        <v>139.39999999999998</v>
      </c>
    </row>
    <row r="4" spans="2:7" x14ac:dyDescent="0.25">
      <c r="B4" s="694" t="s">
        <v>1488</v>
      </c>
      <c r="C4" s="675"/>
      <c r="D4" s="675"/>
      <c r="E4" s="678">
        <f>Coltura!H238</f>
        <v>340</v>
      </c>
      <c r="F4" s="675"/>
      <c r="G4" s="697"/>
    </row>
    <row r="5" spans="2:7" x14ac:dyDescent="0.25">
      <c r="B5" s="694" t="s">
        <v>1489</v>
      </c>
      <c r="C5" s="675"/>
      <c r="D5" s="675"/>
      <c r="E5" s="678">
        <f>MAS!F241</f>
        <v>120</v>
      </c>
      <c r="F5" s="675"/>
      <c r="G5" s="697"/>
    </row>
    <row r="6" spans="2:7" x14ac:dyDescent="0.25">
      <c r="B6" s="694" t="s">
        <v>1490</v>
      </c>
      <c r="C6" s="675"/>
      <c r="D6" s="675"/>
      <c r="E6" s="677">
        <f>IF(MAS!F242=1,'Valori da riportare'!E5,'Valori da riportare'!E4)</f>
        <v>340</v>
      </c>
      <c r="F6" s="676">
        <v>250</v>
      </c>
      <c r="G6" s="698">
        <v>300</v>
      </c>
    </row>
    <row r="7" spans="2:7" ht="13.8" thickBot="1" x14ac:dyDescent="0.3">
      <c r="B7" s="699" t="s">
        <v>1491</v>
      </c>
      <c r="C7" s="700"/>
      <c r="D7" s="700"/>
      <c r="E7" s="701">
        <f>IF(E3&lt;E6,E3,E6)</f>
        <v>142.24599999999998</v>
      </c>
      <c r="F7" s="702">
        <f t="shared" ref="F7:G7" si="1">IF(F3&lt;F6,F3,F6)</f>
        <v>112.896047736</v>
      </c>
      <c r="G7" s="703">
        <f t="shared" ca="1" si="1"/>
        <v>139.39999999999998</v>
      </c>
    </row>
  </sheetData>
  <sheetProtection password="CC0C" sheet="1" objects="1" scenarios="1"/>
  <mergeCells count="1">
    <mergeCell ref="B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K38"/>
  <sheetViews>
    <sheetView topLeftCell="A20" zoomScale="105" zoomScaleNormal="105" workbookViewId="0">
      <selection activeCell="H33" sqref="H33"/>
    </sheetView>
  </sheetViews>
  <sheetFormatPr defaultRowHeight="13.2" x14ac:dyDescent="0.25"/>
  <cols>
    <col min="2" max="2" width="10.6640625" customWidth="1"/>
    <col min="3" max="3" width="11.33203125" customWidth="1"/>
    <col min="4" max="4" width="35.44140625" customWidth="1"/>
    <col min="5" max="6" width="10.33203125" customWidth="1"/>
    <col min="7" max="7" width="10.5546875" customWidth="1"/>
    <col min="8" max="10" width="10.6640625" customWidth="1"/>
    <col min="11" max="11" width="10.5546875" customWidth="1"/>
  </cols>
  <sheetData>
    <row r="1" spans="1:11" x14ac:dyDescent="0.25">
      <c r="A1" s="215"/>
      <c r="B1" s="299" t="s">
        <v>563</v>
      </c>
      <c r="C1" s="298"/>
      <c r="D1" s="298"/>
      <c r="E1" s="298"/>
      <c r="F1" s="298"/>
      <c r="G1" s="298"/>
      <c r="H1" s="298"/>
      <c r="I1" s="298"/>
      <c r="J1" s="298"/>
      <c r="K1" s="320"/>
    </row>
    <row r="2" spans="1:11" x14ac:dyDescent="0.25">
      <c r="A2" s="460" t="str">
        <f>Metodo!D3</f>
        <v>sì</v>
      </c>
      <c r="B2" s="300" t="str">
        <f>IF(Metodo!D3="no","Metodo del Bilancio NON PREVISTO per questa coltura","Quantitativi di elementi nutritivi da apportare calcolati col METODO DEL BILANCIO")</f>
        <v>Quantitativi di elementi nutritivi da apportare calcolati col METODO DEL BILANCIO</v>
      </c>
      <c r="C2" s="298"/>
      <c r="D2" s="459"/>
      <c r="E2" s="298"/>
      <c r="F2" s="298"/>
      <c r="G2" s="298"/>
      <c r="H2" s="298"/>
      <c r="I2" s="298"/>
      <c r="J2" s="298"/>
      <c r="K2" s="320"/>
    </row>
    <row r="3" spans="1:11" ht="3.75" customHeight="1" x14ac:dyDescent="0.25">
      <c r="A3" s="215"/>
      <c r="B3" s="299"/>
      <c r="C3" s="298"/>
      <c r="D3" s="298"/>
      <c r="E3" s="298"/>
      <c r="F3" s="298"/>
      <c r="G3" s="298"/>
      <c r="H3" s="298"/>
      <c r="I3" s="298"/>
      <c r="J3" s="298"/>
      <c r="K3" s="320"/>
    </row>
    <row r="4" spans="1:11" x14ac:dyDescent="0.25">
      <c r="A4" s="215"/>
      <c r="B4" s="299" t="s">
        <v>968</v>
      </c>
      <c r="C4" s="1051" t="str">
        <f>Inserimento!B5</f>
        <v>Pinco Pallino</v>
      </c>
      <c r="D4" s="1053"/>
      <c r="E4" s="298"/>
      <c r="F4" s="298"/>
      <c r="G4" s="298"/>
      <c r="H4" s="352" t="s">
        <v>1189</v>
      </c>
      <c r="I4" s="298"/>
      <c r="J4" s="313" t="s">
        <v>1188</v>
      </c>
      <c r="K4" s="279" t="str">
        <f>Inserimento!N5</f>
        <v>A</v>
      </c>
    </row>
    <row r="5" spans="1:11" ht="2.25" customHeight="1" x14ac:dyDescent="0.25">
      <c r="A5" s="215"/>
      <c r="B5" s="299"/>
      <c r="C5" s="298"/>
      <c r="D5" s="298"/>
      <c r="E5" s="298"/>
      <c r="F5" s="298"/>
      <c r="G5" s="298"/>
      <c r="H5" s="353"/>
      <c r="I5" s="298"/>
      <c r="J5" s="298"/>
      <c r="K5" s="320"/>
    </row>
    <row r="6" spans="1:11" x14ac:dyDescent="0.25">
      <c r="A6" s="215"/>
      <c r="B6" s="299" t="s">
        <v>964</v>
      </c>
      <c r="C6" s="1051">
        <f>Inserimento!Q5</f>
        <v>1</v>
      </c>
      <c r="D6" s="1052"/>
      <c r="E6" s="298"/>
      <c r="F6" s="298"/>
      <c r="G6" s="298"/>
      <c r="H6" s="354" t="b">
        <f>Codici!AX2</f>
        <v>0</v>
      </c>
      <c r="I6" s="298"/>
      <c r="J6" s="313" t="s">
        <v>927</v>
      </c>
      <c r="K6" s="314">
        <f>Inserimento!T5</f>
        <v>2025</v>
      </c>
    </row>
    <row r="7" spans="1:11" ht="3.75" customHeight="1" x14ac:dyDescent="0.25">
      <c r="A7" s="215"/>
      <c r="B7" s="298"/>
      <c r="C7" s="298"/>
      <c r="D7" s="298"/>
      <c r="E7" s="298"/>
      <c r="F7" s="298"/>
      <c r="G7" s="298"/>
      <c r="H7" s="298"/>
      <c r="I7" s="215"/>
      <c r="J7" s="215"/>
      <c r="K7" s="215"/>
    </row>
    <row r="8" spans="1:11" x14ac:dyDescent="0.25">
      <c r="A8" s="215"/>
      <c r="B8" s="228"/>
      <c r="C8" s="738" t="s">
        <v>13</v>
      </c>
      <c r="D8" s="1056" t="str">
        <f>(Coltura!D238)</f>
        <v>Grano duro (pianta intera)</v>
      </c>
      <c r="E8" s="1056"/>
      <c r="F8" s="1056"/>
      <c r="G8" s="228"/>
      <c r="H8" s="400" t="s">
        <v>572</v>
      </c>
      <c r="I8" s="302"/>
      <c r="J8" s="401" t="s">
        <v>383</v>
      </c>
      <c r="K8" s="402">
        <f>Codici!M2</f>
        <v>6</v>
      </c>
    </row>
    <row r="9" spans="1:11" ht="12.75" customHeight="1" x14ac:dyDescent="0.25">
      <c r="A9" s="215"/>
      <c r="B9" s="312"/>
      <c r="C9" s="409" t="s">
        <v>1196</v>
      </c>
      <c r="D9" s="518" t="str">
        <f>C_tempo!B22</f>
        <v>Primaverile-estiva  100–130 gg</v>
      </c>
      <c r="E9" s="228"/>
      <c r="F9" s="228"/>
      <c r="G9" s="1045" t="str">
        <f>IF(MAS!S249=TRUE,MAS!N249," ")</f>
        <v xml:space="preserve"> </v>
      </c>
      <c r="H9" s="1046"/>
      <c r="I9" s="1046"/>
      <c r="J9" s="1046"/>
      <c r="K9" s="1047"/>
    </row>
    <row r="10" spans="1:11" ht="12.75" customHeight="1" x14ac:dyDescent="0.25">
      <c r="A10" s="215"/>
      <c r="B10" s="1054" t="s">
        <v>1331</v>
      </c>
      <c r="C10" s="302"/>
      <c r="D10" s="523"/>
      <c r="E10" s="228"/>
      <c r="F10" s="228"/>
      <c r="G10" s="1048" t="str">
        <f>IF(MAS!T250=TRUE,MAS!N250," ")</f>
        <v xml:space="preserve"> </v>
      </c>
      <c r="H10" s="1049"/>
      <c r="I10" s="1049"/>
      <c r="J10" s="1049"/>
      <c r="K10" s="1050"/>
    </row>
    <row r="11" spans="1:11" ht="12.75" customHeight="1" thickBot="1" x14ac:dyDescent="0.3">
      <c r="A11" s="215"/>
      <c r="B11" s="1055"/>
      <c r="C11" s="522" t="str">
        <f>Coltura!M22</f>
        <v>pieno campo</v>
      </c>
      <c r="D11" s="705" t="str">
        <f>IF(MAS!F242=1,"Azoto fissazione carente"," ")</f>
        <v xml:space="preserve"> </v>
      </c>
      <c r="E11" s="228"/>
      <c r="F11" s="228"/>
      <c r="G11" s="228"/>
      <c r="H11" s="228"/>
      <c r="I11" s="228"/>
      <c r="J11" s="228"/>
      <c r="K11" s="228"/>
    </row>
    <row r="12" spans="1:11" ht="13.8" thickBot="1" x14ac:dyDescent="0.3">
      <c r="A12" s="215"/>
      <c r="B12" s="361"/>
      <c r="C12" s="362"/>
      <c r="D12" s="362"/>
      <c r="E12" s="362"/>
      <c r="F12" s="362"/>
      <c r="G12" s="362"/>
      <c r="H12" s="363"/>
      <c r="I12" s="364" t="s">
        <v>330</v>
      </c>
      <c r="J12" s="410"/>
      <c r="K12" s="227"/>
    </row>
    <row r="13" spans="1:11" x14ac:dyDescent="0.25">
      <c r="A13" s="215"/>
      <c r="B13" s="365"/>
      <c r="C13" s="228"/>
      <c r="D13" s="215"/>
      <c r="E13" s="228"/>
      <c r="F13" s="228"/>
      <c r="G13" s="228"/>
      <c r="H13" s="358" t="s">
        <v>243</v>
      </c>
      <c r="I13" s="358" t="s">
        <v>244</v>
      </c>
      <c r="J13" s="669" t="s">
        <v>1454</v>
      </c>
      <c r="K13" s="227"/>
    </row>
    <row r="14" spans="1:11" x14ac:dyDescent="0.25">
      <c r="A14" s="215"/>
      <c r="B14" s="411"/>
      <c r="C14" s="213"/>
      <c r="D14" s="302" t="s">
        <v>960</v>
      </c>
      <c r="E14" s="302"/>
      <c r="F14" s="302"/>
      <c r="G14" s="302"/>
      <c r="H14" s="302"/>
      <c r="I14" s="302"/>
      <c r="J14" s="367"/>
      <c r="K14" s="320"/>
    </row>
    <row r="15" spans="1:11" x14ac:dyDescent="0.25">
      <c r="A15" s="215"/>
      <c r="B15" s="365"/>
      <c r="C15" s="228" t="s">
        <v>522</v>
      </c>
      <c r="D15" s="228" t="s">
        <v>529</v>
      </c>
      <c r="E15" s="228"/>
      <c r="F15" s="228"/>
      <c r="G15" s="228"/>
      <c r="H15" s="316">
        <f>A!D244</f>
        <v>186.6</v>
      </c>
      <c r="I15" s="316">
        <f>A!E244</f>
        <v>63.6</v>
      </c>
      <c r="J15" s="368">
        <f>A!F244</f>
        <v>119.39999999999999</v>
      </c>
      <c r="K15" s="320"/>
    </row>
    <row r="16" spans="1:11" x14ac:dyDescent="0.25">
      <c r="A16" s="215"/>
      <c r="B16" s="365"/>
      <c r="C16" s="228" t="s">
        <v>526</v>
      </c>
      <c r="D16" s="228" t="s">
        <v>527</v>
      </c>
      <c r="E16" s="228"/>
      <c r="F16" s="228"/>
      <c r="G16" s="228"/>
      <c r="H16" s="316">
        <f>'C&amp;D'!C22+'C&amp;D'!C24+'C&amp;D'!C32</f>
        <v>0</v>
      </c>
      <c r="I16" s="316"/>
      <c r="J16" s="368">
        <f>Gri_K!O21</f>
        <v>20</v>
      </c>
      <c r="K16" s="320"/>
    </row>
    <row r="17" spans="1:11" x14ac:dyDescent="0.25">
      <c r="A17" s="215"/>
      <c r="B17" s="365"/>
      <c r="C17" s="682" t="s">
        <v>1477</v>
      </c>
      <c r="D17" s="424" t="s">
        <v>1479</v>
      </c>
      <c r="E17" s="228"/>
      <c r="F17" s="228"/>
      <c r="G17" s="228"/>
      <c r="H17" s="681">
        <f>'C&amp;D'!C22</f>
        <v>0</v>
      </c>
      <c r="I17" s="316"/>
      <c r="J17" s="368"/>
      <c r="K17" s="320"/>
    </row>
    <row r="18" spans="1:11" x14ac:dyDescent="0.25">
      <c r="A18" s="215"/>
      <c r="B18" s="365"/>
      <c r="C18" s="682" t="s">
        <v>1478</v>
      </c>
      <c r="D18" s="424" t="s">
        <v>1480</v>
      </c>
      <c r="E18" s="228"/>
      <c r="F18" s="228"/>
      <c r="G18" s="228"/>
      <c r="H18" s="681">
        <f>('C&amp;D'!C24+'C&amp;D'!C32)</f>
        <v>0</v>
      </c>
      <c r="I18" s="316"/>
      <c r="J18" s="368"/>
      <c r="K18" s="320"/>
    </row>
    <row r="19" spans="1:11" x14ac:dyDescent="0.25">
      <c r="A19" s="215"/>
      <c r="B19" s="365"/>
      <c r="C19" s="228" t="s">
        <v>528</v>
      </c>
      <c r="D19" s="228" t="s">
        <v>546</v>
      </c>
      <c r="E19" s="228"/>
      <c r="F19" s="228"/>
      <c r="G19" s="228"/>
      <c r="H19" s="316">
        <f>'C&amp;D'!G23</f>
        <v>39.536000000000001</v>
      </c>
      <c r="I19" s="316"/>
      <c r="J19" s="368"/>
      <c r="K19" s="320"/>
    </row>
    <row r="20" spans="1:11" x14ac:dyDescent="0.25">
      <c r="A20" s="215"/>
      <c r="B20" s="365"/>
      <c r="C20" s="228" t="s">
        <v>558</v>
      </c>
      <c r="D20" s="228" t="s">
        <v>559</v>
      </c>
      <c r="E20" s="228"/>
      <c r="F20" s="228"/>
      <c r="G20" s="228"/>
      <c r="H20" s="316"/>
      <c r="I20" s="316">
        <f>Gri_P!I14</f>
        <v>49.296047735999998</v>
      </c>
      <c r="J20" s="368">
        <f ca="1">Gri_K!F29</f>
        <v>0</v>
      </c>
      <c r="K20" s="320"/>
    </row>
    <row r="21" spans="1:11" x14ac:dyDescent="0.25">
      <c r="A21" s="215"/>
      <c r="B21" s="365"/>
      <c r="C21" s="228" t="s">
        <v>566</v>
      </c>
      <c r="D21" s="228" t="s">
        <v>567</v>
      </c>
      <c r="E21" s="228"/>
      <c r="F21" s="228"/>
      <c r="G21" s="228"/>
      <c r="H21" s="317"/>
      <c r="I21" s="317">
        <f>IF(AND(C_tempo!H22="sì",Codici!K2=TRUE),Gri_P!H22,0)</f>
        <v>0</v>
      </c>
      <c r="J21" s="369">
        <f>IF(AND(C_tempo!H22="sì",Codici!K2=TRUE),Gri_K!G26,0)</f>
        <v>0</v>
      </c>
      <c r="K21" s="320"/>
    </row>
    <row r="22" spans="1:11" x14ac:dyDescent="0.25">
      <c r="A22" s="215"/>
      <c r="B22" s="370" t="s">
        <v>531</v>
      </c>
      <c r="C22" s="312"/>
      <c r="D22" s="312"/>
      <c r="E22" s="312"/>
      <c r="F22" s="312"/>
      <c r="G22" s="312"/>
      <c r="H22" s="317">
        <f>SUM(H15,H16,H19:H21)</f>
        <v>226.136</v>
      </c>
      <c r="I22" s="317">
        <f>SUM(I15:I21)</f>
        <v>112.896047736</v>
      </c>
      <c r="J22" s="369">
        <f ca="1">SUM(J15:J21)</f>
        <v>139.39999999999998</v>
      </c>
      <c r="K22" s="320"/>
    </row>
    <row r="23" spans="1:11" ht="6" customHeight="1" x14ac:dyDescent="0.25">
      <c r="A23" s="215"/>
      <c r="B23" s="365"/>
      <c r="C23" s="228"/>
      <c r="D23" s="228"/>
      <c r="E23" s="228"/>
      <c r="F23" s="228"/>
      <c r="G23" s="228"/>
      <c r="H23" s="316"/>
      <c r="I23" s="316"/>
      <c r="J23" s="368"/>
      <c r="K23" s="320"/>
    </row>
    <row r="24" spans="1:11" x14ac:dyDescent="0.25">
      <c r="A24" s="215"/>
      <c r="B24" s="371"/>
      <c r="C24" s="302"/>
      <c r="D24" s="302" t="s">
        <v>961</v>
      </c>
      <c r="E24" s="302"/>
      <c r="F24" s="302"/>
      <c r="G24" s="302"/>
      <c r="H24" s="357"/>
      <c r="I24" s="357"/>
      <c r="J24" s="372"/>
      <c r="K24" s="320"/>
    </row>
    <row r="25" spans="1:11" x14ac:dyDescent="0.25">
      <c r="A25" s="215"/>
      <c r="B25" s="365"/>
      <c r="C25" s="228" t="s">
        <v>523</v>
      </c>
      <c r="D25" s="424" t="s">
        <v>1363</v>
      </c>
      <c r="E25" s="228"/>
      <c r="F25" s="228"/>
      <c r="G25" s="228"/>
      <c r="H25" s="316">
        <f>B!P19</f>
        <v>73.84</v>
      </c>
      <c r="I25" s="316">
        <f>Gri_P!I16</f>
        <v>0</v>
      </c>
      <c r="J25" s="368">
        <f ca="1">IF(Gri_K!K36="Sì",0,Gri_K!F31)</f>
        <v>0</v>
      </c>
      <c r="K25" s="320"/>
    </row>
    <row r="26" spans="1:11" x14ac:dyDescent="0.25">
      <c r="A26" s="215"/>
      <c r="B26" s="365"/>
      <c r="C26" s="228" t="s">
        <v>524</v>
      </c>
      <c r="D26" s="228" t="s">
        <v>437</v>
      </c>
      <c r="E26" s="228"/>
      <c r="F26" s="228"/>
      <c r="G26" s="228"/>
      <c r="H26" s="358">
        <f>E!F28</f>
        <v>0</v>
      </c>
      <c r="I26" s="228"/>
      <c r="J26" s="373"/>
      <c r="K26" s="320"/>
    </row>
    <row r="27" spans="1:11" x14ac:dyDescent="0.25">
      <c r="A27" s="215"/>
      <c r="B27" s="365"/>
      <c r="C27" s="228" t="s">
        <v>525</v>
      </c>
      <c r="D27" s="228" t="s">
        <v>530</v>
      </c>
      <c r="E27" s="228"/>
      <c r="F27" s="228"/>
      <c r="G27" s="228"/>
      <c r="H27" s="316">
        <f>F!M14</f>
        <v>0</v>
      </c>
      <c r="I27" s="228"/>
      <c r="J27" s="373"/>
      <c r="K27" s="320"/>
    </row>
    <row r="28" spans="1:11" x14ac:dyDescent="0.25">
      <c r="A28" s="215"/>
      <c r="B28" s="365"/>
      <c r="C28" s="228" t="s">
        <v>533</v>
      </c>
      <c r="D28" s="228" t="s">
        <v>516</v>
      </c>
      <c r="E28" s="228"/>
      <c r="F28" s="228"/>
      <c r="G28" s="228"/>
      <c r="H28" s="317">
        <f>G!D20</f>
        <v>10.050000000000001</v>
      </c>
      <c r="I28" s="312"/>
      <c r="J28" s="374"/>
      <c r="K28" s="320"/>
    </row>
    <row r="29" spans="1:11" x14ac:dyDescent="0.25">
      <c r="A29" s="215"/>
      <c r="B29" s="370" t="s">
        <v>532</v>
      </c>
      <c r="C29" s="312"/>
      <c r="D29" s="312"/>
      <c r="E29" s="312"/>
      <c r="F29" s="312"/>
      <c r="G29" s="312"/>
      <c r="H29" s="317">
        <f>SUM(H25:H28)</f>
        <v>83.89</v>
      </c>
      <c r="I29" s="317">
        <f>SUM(I25:I28)</f>
        <v>0</v>
      </c>
      <c r="J29" s="369">
        <f ca="1">SUM(J25:J28)</f>
        <v>0</v>
      </c>
      <c r="K29" s="320"/>
    </row>
    <row r="30" spans="1:11" ht="6" customHeight="1" thickBot="1" x14ac:dyDescent="0.3">
      <c r="A30" s="215"/>
      <c r="B30" s="365"/>
      <c r="C30" s="228"/>
      <c r="D30" s="228"/>
      <c r="E30" s="228"/>
      <c r="F30" s="228"/>
      <c r="G30" s="228"/>
      <c r="H30" s="318"/>
      <c r="I30" s="318"/>
      <c r="J30" s="375"/>
      <c r="K30" s="320"/>
    </row>
    <row r="31" spans="1:11" ht="13.8" thickTop="1" x14ac:dyDescent="0.25">
      <c r="A31" s="215"/>
      <c r="B31" s="365" t="s">
        <v>538</v>
      </c>
      <c r="C31" s="228"/>
      <c r="D31" s="228"/>
      <c r="E31" s="228"/>
      <c r="F31" s="228"/>
      <c r="G31" s="228"/>
      <c r="H31" s="376">
        <f>(H22-H29)</f>
        <v>142.24599999999998</v>
      </c>
      <c r="I31" s="376">
        <f>(I22-I29)</f>
        <v>112.896047736</v>
      </c>
      <c r="J31" s="377">
        <f ca="1">(J22-J29)</f>
        <v>139.39999999999998</v>
      </c>
      <c r="K31" s="320"/>
    </row>
    <row r="32" spans="1:11" ht="7.5" customHeight="1" x14ac:dyDescent="0.25">
      <c r="A32" s="215"/>
      <c r="B32" s="365"/>
      <c r="C32" s="228"/>
      <c r="D32" s="228"/>
      <c r="E32" s="228"/>
      <c r="F32" s="228"/>
      <c r="G32" s="228"/>
      <c r="H32" s="228"/>
      <c r="I32" s="228"/>
      <c r="J32" s="373"/>
      <c r="K32" s="320"/>
    </row>
    <row r="33" spans="1:11" ht="13.8" thickBot="1" x14ac:dyDescent="0.3">
      <c r="A33" s="215"/>
      <c r="B33" s="378" t="s">
        <v>1775</v>
      </c>
      <c r="C33" s="360"/>
      <c r="D33" s="360"/>
      <c r="E33" s="717" t="str">
        <f>IF(Standard!BR243="sì",Standard!BT243,"")</f>
        <v/>
      </c>
      <c r="F33" s="717"/>
      <c r="G33" s="360"/>
      <c r="H33" s="644">
        <f>'Valori da riportare'!E7</f>
        <v>142.24599999999998</v>
      </c>
      <c r="I33" s="644">
        <f>'Valori da riportare'!F7</f>
        <v>112.896047736</v>
      </c>
      <c r="J33" s="704">
        <f ca="1">'Valori da riportare'!G7</f>
        <v>139.39999999999998</v>
      </c>
      <c r="K33" s="320"/>
    </row>
    <row r="34" spans="1:11" x14ac:dyDescent="0.25">
      <c r="A34" s="215"/>
      <c r="B34" s="394"/>
      <c r="C34" s="362"/>
      <c r="D34" s="362"/>
      <c r="E34" s="381"/>
      <c r="F34" s="381"/>
      <c r="G34" s="381"/>
      <c r="H34" s="395"/>
      <c r="I34" s="382"/>
      <c r="J34" s="383"/>
      <c r="K34" s="412"/>
    </row>
    <row r="35" spans="1:11" x14ac:dyDescent="0.25">
      <c r="A35" s="215"/>
      <c r="B35" s="413" t="str">
        <f>MAS!N253</f>
        <v xml:space="preserve"> </v>
      </c>
      <c r="C35" s="228"/>
      <c r="D35" s="228"/>
      <c r="E35" s="320"/>
      <c r="F35" s="320"/>
      <c r="G35" s="320"/>
      <c r="H35" s="416">
        <f>MAS!G258</f>
        <v>190</v>
      </c>
      <c r="I35" s="730" t="str">
        <f>IF(MAS!S253=TRUE,MAS!R241," ")</f>
        <v xml:space="preserve"> </v>
      </c>
      <c r="J35" s="384"/>
      <c r="K35" s="388"/>
    </row>
    <row r="36" spans="1:11" x14ac:dyDescent="0.25">
      <c r="A36" s="215"/>
      <c r="B36" s="414" t="str">
        <f>MAS!N254</f>
        <v xml:space="preserve"> </v>
      </c>
      <c r="C36" s="380"/>
      <c r="D36" s="380"/>
      <c r="E36" s="458" t="str">
        <f>MAS!S254</f>
        <v>&gt; di 6 t/ha</v>
      </c>
      <c r="F36" s="458"/>
      <c r="G36" s="399"/>
      <c r="H36" s="385"/>
      <c r="I36" s="386"/>
      <c r="J36" s="387"/>
      <c r="K36" s="388"/>
    </row>
    <row r="37" spans="1:11" x14ac:dyDescent="0.25">
      <c r="A37" s="670" t="s">
        <v>1455</v>
      </c>
      <c r="B37" s="424" t="s">
        <v>1456</v>
      </c>
      <c r="C37" s="215"/>
      <c r="D37" s="215"/>
      <c r="E37" s="215"/>
      <c r="F37" s="215"/>
      <c r="G37" s="215"/>
      <c r="H37" s="215"/>
      <c r="I37" s="215"/>
      <c r="J37" s="215"/>
      <c r="K37" s="215"/>
    </row>
    <row r="38" spans="1:11" x14ac:dyDescent="0.25">
      <c r="A38" s="670" t="s">
        <v>1453</v>
      </c>
      <c r="B38" s="668" t="str">
        <f>IF(Gri_K!$K$36="sì"," dotazione di K corretta in funzione del rapporto Mg/K e della CSC"," ")</f>
        <v xml:space="preserve"> </v>
      </c>
      <c r="D38" s="215"/>
      <c r="E38" s="215"/>
      <c r="F38" s="215"/>
      <c r="G38" s="215"/>
      <c r="H38" s="215"/>
      <c r="I38" s="215"/>
      <c r="J38" s="215"/>
      <c r="K38" s="215"/>
    </row>
  </sheetData>
  <sheetProtection algorithmName="SHA-512" hashValue="JXUf8v53bAMFg09vuIwt6Rl+lD3YsaZyLy+SiwmCdgwr2SgBBfLion4kLhsEwnLlj3kVajgMiwhT0ki2YLnMOg==" saltValue="mr7VI4aKddnl8XY4/38syQ==" spinCount="100000" sheet="1" objects="1" scenarios="1"/>
  <mergeCells count="6">
    <mergeCell ref="G9:K9"/>
    <mergeCell ref="G10:K10"/>
    <mergeCell ref="C6:D6"/>
    <mergeCell ref="C4:D4"/>
    <mergeCell ref="B10:B11"/>
    <mergeCell ref="D8:F8"/>
  </mergeCells>
  <phoneticPr fontId="2" type="noConversion"/>
  <conditionalFormatting sqref="E36:F36">
    <cfRule type="expression" dxfId="49" priority="1" stopIfTrue="1">
      <formula>$B$36=" "</formula>
    </cfRule>
  </conditionalFormatting>
  <conditionalFormatting sqref="H35">
    <cfRule type="expression" dxfId="48" priority="2" stopIfTrue="1">
      <formula>$B$35=" "</formula>
    </cfRule>
  </conditionalFormatting>
  <conditionalFormatting sqref="B2">
    <cfRule type="expression" dxfId="47" priority="3" stopIfTrue="1">
      <formula>$A$2="no"</formula>
    </cfRule>
  </conditionalFormatting>
  <pageMargins left="0.75" right="0.75" top="1" bottom="1" header="0.5" footer="0.5"/>
  <pageSetup paperSize="9" orientation="landscape" r:id="rId1"/>
  <headerFooter alignWithMargins="0">
    <oddHeader>&amp;R&amp;G</oddHeader>
    <oddFooter>&amp;C&amp;F&amp;R&amp;D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N41"/>
  <sheetViews>
    <sheetView topLeftCell="A15" zoomScale="90" workbookViewId="0">
      <selection activeCell="H40" sqref="H40"/>
    </sheetView>
  </sheetViews>
  <sheetFormatPr defaultRowHeight="13.2" x14ac:dyDescent="0.25"/>
  <cols>
    <col min="1" max="1" width="1.6640625" customWidth="1"/>
    <col min="2" max="2" width="7.6640625" customWidth="1"/>
    <col min="3" max="3" width="38.6640625" customWidth="1"/>
    <col min="4" max="4" width="9.44140625" customWidth="1"/>
    <col min="5" max="5" width="4.6640625" customWidth="1"/>
    <col min="6" max="6" width="9.5546875" customWidth="1"/>
    <col min="7" max="7" width="38.6640625" customWidth="1"/>
    <col min="8" max="8" width="10.5546875" customWidth="1"/>
    <col min="9" max="9" width="6.44140625" customWidth="1"/>
    <col min="10" max="10" width="8.6640625" customWidth="1"/>
    <col min="11" max="11" width="39.44140625" customWidth="1"/>
    <col min="12" max="12" width="10" customWidth="1"/>
    <col min="13" max="13" width="6.6640625" customWidth="1"/>
    <col min="14" max="14" width="10.33203125" customWidth="1"/>
  </cols>
  <sheetData>
    <row r="1" spans="1:14" ht="5.25" customHeight="1" x14ac:dyDescent="0.25">
      <c r="A1" s="215"/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</row>
    <row r="2" spans="1:14" x14ac:dyDescent="0.25">
      <c r="A2" s="215"/>
      <c r="B2" s="397" t="s">
        <v>1190</v>
      </c>
      <c r="C2" s="215"/>
      <c r="D2" s="215"/>
      <c r="E2" s="215"/>
      <c r="F2" s="215"/>
      <c r="G2" s="215"/>
      <c r="H2" s="215"/>
      <c r="I2" s="215"/>
      <c r="J2" s="215"/>
      <c r="K2" s="215"/>
      <c r="L2" s="322" t="s">
        <v>933</v>
      </c>
      <c r="M2" s="280">
        <f>Inserimento!T5</f>
        <v>2025</v>
      </c>
      <c r="N2" s="215"/>
    </row>
    <row r="3" spans="1:14" ht="4.2" customHeight="1" x14ac:dyDescent="0.25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9"/>
      <c r="M3" s="215"/>
      <c r="N3" s="215"/>
    </row>
    <row r="4" spans="1:14" x14ac:dyDescent="0.25">
      <c r="A4" s="215"/>
      <c r="B4" s="215" t="s">
        <v>968</v>
      </c>
      <c r="C4" s="415" t="str">
        <f>Inserimento!B5</f>
        <v>Pinco Pallino</v>
      </c>
      <c r="D4" s="215"/>
      <c r="E4" s="215"/>
      <c r="F4" s="220" t="s">
        <v>13</v>
      </c>
      <c r="G4" s="1060" t="str">
        <f>(Coltura!D238)</f>
        <v>Grano duro (pianta intera)</v>
      </c>
      <c r="H4" s="1060"/>
      <c r="I4" s="1061"/>
      <c r="J4" s="1062"/>
      <c r="K4" s="215"/>
      <c r="L4" s="322" t="s">
        <v>1129</v>
      </c>
      <c r="M4" s="347" t="b">
        <f>Codici!AX2</f>
        <v>0</v>
      </c>
      <c r="N4" s="215"/>
    </row>
    <row r="5" spans="1:14" ht="4.2" customHeight="1" x14ac:dyDescent="0.25">
      <c r="A5" s="215"/>
      <c r="B5" s="215"/>
      <c r="C5" s="215"/>
      <c r="D5" s="215"/>
      <c r="E5" s="215"/>
      <c r="F5" s="221"/>
      <c r="G5" s="215"/>
      <c r="H5" s="215"/>
      <c r="I5" s="215"/>
      <c r="J5" s="419"/>
      <c r="K5" s="215"/>
      <c r="L5" s="219"/>
      <c r="M5" s="215"/>
      <c r="N5" s="215"/>
    </row>
    <row r="6" spans="1:14" x14ac:dyDescent="0.25">
      <c r="A6" s="215"/>
      <c r="B6" s="215" t="s">
        <v>964</v>
      </c>
      <c r="C6" s="4">
        <f>Inserimento!Q5</f>
        <v>1</v>
      </c>
      <c r="D6" s="215"/>
      <c r="E6" s="215"/>
      <c r="F6" s="222" t="s">
        <v>1041</v>
      </c>
      <c r="G6" s="1059" t="str">
        <f>C_tempo!B22</f>
        <v>Primaverile-estiva  100–130 gg</v>
      </c>
      <c r="H6" s="1059"/>
      <c r="I6" s="1059"/>
      <c r="J6" s="406"/>
      <c r="K6" s="215"/>
      <c r="L6" s="322" t="s">
        <v>1188</v>
      </c>
      <c r="M6" s="279" t="str">
        <f>Inserimento!N5</f>
        <v>A</v>
      </c>
      <c r="N6" s="215"/>
    </row>
    <row r="7" spans="1:14" ht="6" customHeight="1" thickBot="1" x14ac:dyDescent="0.3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</row>
    <row r="8" spans="1:14" x14ac:dyDescent="0.25">
      <c r="A8" s="215"/>
      <c r="B8" s="359"/>
      <c r="C8" s="445" t="s">
        <v>637</v>
      </c>
      <c r="D8" s="446"/>
      <c r="E8" s="446"/>
      <c r="F8" s="362"/>
      <c r="G8" s="391" t="s">
        <v>615</v>
      </c>
      <c r="H8" s="391"/>
      <c r="I8" s="391"/>
      <c r="J8" s="356"/>
      <c r="K8" s="445" t="s">
        <v>638</v>
      </c>
      <c r="L8" s="447" t="s">
        <v>303</v>
      </c>
      <c r="M8" s="448">
        <f>(Standard!AU243+M30)</f>
        <v>40</v>
      </c>
      <c r="N8" s="215"/>
    </row>
    <row r="9" spans="1:14" x14ac:dyDescent="0.25">
      <c r="A9" s="215"/>
      <c r="B9" s="355"/>
      <c r="C9" s="358" t="s">
        <v>635</v>
      </c>
      <c r="D9" s="358" t="s">
        <v>636</v>
      </c>
      <c r="E9" s="421"/>
      <c r="F9" s="421"/>
      <c r="G9" s="723" t="str">
        <f>IF(Standard!$BR$243="sì","Dose Standard base kg/ha","")</f>
        <v/>
      </c>
      <c r="H9" s="724" t="str">
        <f>IF(Standard!$BR$243="sì",Standard!BS243,"")</f>
        <v/>
      </c>
      <c r="I9" s="358"/>
      <c r="J9" s="215"/>
      <c r="K9" s="358" t="s">
        <v>635</v>
      </c>
      <c r="L9" s="358" t="s">
        <v>636</v>
      </c>
      <c r="M9" s="425"/>
      <c r="N9" s="215"/>
    </row>
    <row r="10" spans="1:14" ht="16.5" customHeight="1" x14ac:dyDescent="0.25">
      <c r="A10" s="215"/>
      <c r="B10" s="392"/>
      <c r="C10" s="301" t="str">
        <f>CONCATENATE(Standard!$O$3," ",Standard!$O$243," t/ha")</f>
        <v>Resa bassa inferiore a 5 t/ha</v>
      </c>
      <c r="D10" s="454" t="b">
        <f>IF(Standard!O243="nd","nd",IF(Codici!$M$2&lt;Standard!$O$243,TRUE,FALSE))</f>
        <v>0</v>
      </c>
      <c r="E10" s="450">
        <f>IF(D10=TRUE,Standard!P243,0)</f>
        <v>0</v>
      </c>
      <c r="F10" s="358"/>
      <c r="G10" s="725" t="str">
        <f>IF(Standard!$BR$243="sì","numero tagli programmati","")</f>
        <v/>
      </c>
      <c r="H10" s="726" t="str">
        <f>IF(Standard!$BR$243="sì",Codici!BA2,"")</f>
        <v/>
      </c>
      <c r="I10" s="426"/>
      <c r="J10" s="214"/>
      <c r="K10" s="301" t="str">
        <f>CONCATENATE(Standard!$AH$3," ",Standard!$AH$243," t/ha")</f>
        <v>Resa alta superiore a 7 t/ha</v>
      </c>
      <c r="L10" s="451" t="b">
        <f>IF(Standard!AH243="nd","nd",IF(Codici!$M$2&gt;Standard!$AH$243,TRUE,FALSE))</f>
        <v>0</v>
      </c>
      <c r="M10" s="455">
        <f>IF(L10=TRUE,Standard!AI$243,0)</f>
        <v>0</v>
      </c>
      <c r="N10" s="215"/>
    </row>
    <row r="11" spans="1:14" ht="4.2" customHeight="1" x14ac:dyDescent="0.25">
      <c r="A11" s="215"/>
      <c r="B11" s="355"/>
      <c r="C11" s="228"/>
      <c r="D11" s="358"/>
      <c r="E11" s="358"/>
      <c r="F11" s="358"/>
      <c r="G11" s="716"/>
      <c r="H11" s="727"/>
      <c r="I11" s="358"/>
      <c r="J11" s="215"/>
      <c r="K11" s="228"/>
      <c r="L11" s="358"/>
      <c r="M11" s="373"/>
      <c r="N11" s="215"/>
    </row>
    <row r="12" spans="1:14" ht="18" customHeight="1" x14ac:dyDescent="0.25">
      <c r="A12" s="215"/>
      <c r="B12" s="456"/>
      <c r="C12" s="301" t="str">
        <f>IF(Standard!Q243&gt;0,Standard!Q3," ")</f>
        <v>Ammendante nell'anno precedente</v>
      </c>
      <c r="D12" s="449" t="b">
        <v>0</v>
      </c>
      <c r="E12" s="450">
        <f>IF(D12=TRUE,Standard!Q243,0)</f>
        <v>0</v>
      </c>
      <c r="F12" s="358"/>
      <c r="G12" s="728" t="str">
        <f>IF(Standard!$BR$243="sì","dose per ogni taglio successivo","")</f>
        <v/>
      </c>
      <c r="H12" s="729" t="str">
        <f>IF(Standard!$BR$243="sì",Standard!BU243,"")</f>
        <v/>
      </c>
      <c r="J12" s="214"/>
      <c r="K12" s="301" t="str">
        <f>IF(Standard!AJ243&gt;0,Standard!$AJ$3," ")</f>
        <v>Tenore SO nel suolo basso</v>
      </c>
      <c r="L12" s="451" t="b">
        <f ca="1">IF(OR(B!$E$19="molto bassa",B!$E$19="bassa"),TRUE,FALSE)</f>
        <v>0</v>
      </c>
      <c r="M12" s="455">
        <f ca="1">IF(L12=TRUE,Standard!AJ$243,0)</f>
        <v>0</v>
      </c>
      <c r="N12" s="215"/>
    </row>
    <row r="13" spans="1:14" ht="4.2" customHeight="1" thickBot="1" x14ac:dyDescent="0.3">
      <c r="A13" s="215"/>
      <c r="B13" s="355"/>
      <c r="C13" s="228"/>
      <c r="D13" s="358"/>
      <c r="E13" s="358"/>
      <c r="F13" s="358"/>
      <c r="G13" s="358"/>
      <c r="H13" s="711"/>
      <c r="I13" s="358"/>
      <c r="J13" s="215"/>
      <c r="K13" s="228"/>
      <c r="L13" s="358"/>
      <c r="M13" s="373"/>
      <c r="N13" s="215"/>
    </row>
    <row r="14" spans="1:14" ht="13.8" thickBot="1" x14ac:dyDescent="0.3">
      <c r="A14" s="215"/>
      <c r="B14" s="392"/>
      <c r="C14" s="301" t="str">
        <f>IF(Standard!R243&gt;0,Standard!R3," ")</f>
        <v xml:space="preserve"> </v>
      </c>
      <c r="D14" s="449" t="b">
        <v>1</v>
      </c>
      <c r="E14" s="450">
        <f>IF(D14=TRUE,Standard!R243,0)</f>
        <v>0</v>
      </c>
      <c r="F14" s="358"/>
      <c r="G14" s="734" t="str">
        <f>IF(Standard!$BR$243="sì","Dose Standard complessiva  kg/ha","Dose Standard base kg/ha")</f>
        <v>Dose Standard base kg/ha</v>
      </c>
      <c r="H14" s="740">
        <f>IF(OR(M39=1,M39=15,M39=16),"Vedi Bilancio",IF(M38=0,0,IF(M38&lt;1,"Vedi dose fase allevamento",IF(Standard!F243="nd","nd",Standard!F243))))</f>
        <v>160</v>
      </c>
      <c r="J14" s="214"/>
      <c r="K14" s="301" t="str">
        <f>IF(Standard!AK243&gt;0,Standard!AK3," ")</f>
        <v xml:space="preserve"> </v>
      </c>
      <c r="L14" s="449" t="b">
        <v>0</v>
      </c>
      <c r="M14" s="455">
        <f>IF(L14=TRUE,Standard!AK243,0)</f>
        <v>0</v>
      </c>
      <c r="N14" s="215"/>
    </row>
    <row r="15" spans="1:14" ht="21.6" customHeight="1" x14ac:dyDescent="0.25">
      <c r="A15" s="215"/>
      <c r="B15" s="355"/>
      <c r="C15" s="422" t="str">
        <f>IF(AND(D14=TRUE,L14=TRUE),"selezione incongruente !", " ")</f>
        <v xml:space="preserve"> </v>
      </c>
      <c r="D15" s="420"/>
      <c r="E15" s="358"/>
      <c r="F15" s="358"/>
      <c r="G15" s="487"/>
      <c r="H15" s="487"/>
      <c r="I15" s="358"/>
      <c r="J15" s="215"/>
      <c r="K15" s="228"/>
      <c r="L15" s="420"/>
      <c r="M15" s="366"/>
      <c r="N15" s="215"/>
    </row>
    <row r="16" spans="1:14" ht="16.5" customHeight="1" x14ac:dyDescent="0.25">
      <c r="A16" s="215"/>
      <c r="B16" s="355"/>
      <c r="C16" s="228"/>
      <c r="D16" s="420"/>
      <c r="E16" s="358"/>
      <c r="F16" s="358"/>
      <c r="G16" s="422" t="str">
        <f>IF(AND(L16=TRUE,OR(D22=TRUE,D24=TRUE)),"selezione incongruente!"," ")</f>
        <v xml:space="preserve"> </v>
      </c>
      <c r="H16" s="422"/>
      <c r="I16" s="358"/>
      <c r="J16" s="214"/>
      <c r="K16" s="301" t="str">
        <f>IF(Standard!AN243&gt;0,Standard!AN3," ")</f>
        <v>Ristoppio o interramento paglie</v>
      </c>
      <c r="L16" s="449" t="b">
        <v>1</v>
      </c>
      <c r="M16" s="455">
        <f>IF(L16=TRUE,Standard!AN243,0)</f>
        <v>30</v>
      </c>
      <c r="N16" s="215"/>
    </row>
    <row r="17" spans="1:14" ht="5.25" customHeight="1" x14ac:dyDescent="0.25">
      <c r="A17" s="215"/>
      <c r="B17" s="355"/>
      <c r="C17" s="228"/>
      <c r="D17" s="358"/>
      <c r="E17" s="358"/>
      <c r="F17" s="358"/>
      <c r="G17" s="358"/>
      <c r="H17" s="358"/>
      <c r="I17" s="358"/>
      <c r="J17" s="215"/>
      <c r="L17" s="358"/>
      <c r="M17" s="373"/>
      <c r="N17" s="215"/>
    </row>
    <row r="18" spans="1:14" ht="16.5" customHeight="1" x14ac:dyDescent="0.25">
      <c r="A18" s="215"/>
      <c r="B18" s="392"/>
      <c r="C18" s="301" t="str">
        <f>IF(Standard!S243&gt;0,Standard!S3," ")</f>
        <v>Tenore SO nel suolo elevato</v>
      </c>
      <c r="D18" s="451" t="b">
        <f ca="1">IF(B!E19="elevata",TRUE,FALSE)</f>
        <v>0</v>
      </c>
      <c r="E18" s="450">
        <f ca="1">IF(D18=TRUE,Standard!S243,0)</f>
        <v>0</v>
      </c>
      <c r="F18" s="358"/>
      <c r="G18" s="358"/>
      <c r="H18" s="358"/>
      <c r="I18" s="358"/>
      <c r="J18" s="214"/>
      <c r="K18" s="301" t="str">
        <f>IF(Standard!AM243&gt;0,(Standard!AM3)," ")</f>
        <v>Lisciviazione x surplus pluviometrico</v>
      </c>
      <c r="L18" s="454" t="b">
        <f>'C&amp;D'!D35</f>
        <v>0</v>
      </c>
      <c r="M18" s="455">
        <f>IF(L18=TRUE,Standard!AM243,0)</f>
        <v>0</v>
      </c>
      <c r="N18" s="215"/>
    </row>
    <row r="19" spans="1:14" ht="4.2" customHeight="1" x14ac:dyDescent="0.25">
      <c r="A19" s="215"/>
      <c r="B19" s="355"/>
      <c r="C19" s="228"/>
      <c r="D19" s="358"/>
      <c r="E19" s="358"/>
      <c r="F19" s="358"/>
      <c r="G19" s="358"/>
      <c r="H19" s="358"/>
      <c r="I19" s="358"/>
      <c r="J19" s="215"/>
      <c r="K19" s="228"/>
      <c r="L19" s="358"/>
      <c r="M19" s="373"/>
      <c r="N19" s="215"/>
    </row>
    <row r="20" spans="1:14" ht="16.5" customHeight="1" x14ac:dyDescent="0.25">
      <c r="A20" s="215"/>
      <c r="B20" s="392"/>
      <c r="C20" s="301" t="str">
        <f>IF(Standard!T243&gt;0,Standard!T3," ")</f>
        <v xml:space="preserve"> </v>
      </c>
      <c r="D20" s="451" t="b">
        <f>IF(Codici!Z2&gt;4,TRUE,FALSE)</f>
        <v>0</v>
      </c>
      <c r="E20" s="450">
        <f>IF(D20=TRUE,Standard!T243,0)</f>
        <v>0</v>
      </c>
      <c r="F20" s="358"/>
      <c r="G20" s="358"/>
      <c r="H20" s="358"/>
      <c r="I20" s="358"/>
      <c r="J20" s="214"/>
      <c r="K20" s="301" t="str">
        <f>IF(Standard!AR243&gt;0,Standard!AR3," ")</f>
        <v xml:space="preserve"> </v>
      </c>
      <c r="L20" s="449" t="b">
        <v>0</v>
      </c>
      <c r="M20" s="455">
        <f>IF(L20=TRUE,Standard!AR243,0)</f>
        <v>0</v>
      </c>
      <c r="N20" s="215"/>
    </row>
    <row r="21" spans="1:14" ht="4.5" customHeight="1" x14ac:dyDescent="0.25">
      <c r="A21" s="215"/>
      <c r="B21" s="355"/>
      <c r="C21" s="228"/>
      <c r="D21" s="420"/>
      <c r="E21" s="423"/>
      <c r="F21" s="423"/>
      <c r="G21" s="423"/>
      <c r="H21" s="423"/>
      <c r="I21" s="423"/>
      <c r="J21" s="215"/>
      <c r="K21" s="228"/>
      <c r="L21" s="420"/>
      <c r="M21" s="366"/>
      <c r="N21" s="215"/>
    </row>
    <row r="22" spans="1:14" ht="16.5" customHeight="1" x14ac:dyDescent="0.25">
      <c r="A22" s="215"/>
      <c r="B22" s="392"/>
      <c r="C22" s="452" t="str">
        <f>IF(Standard!U243&gt;0,Standard!U3," ")</f>
        <v>Dopo medica o prato &gt; 5 anni</v>
      </c>
      <c r="D22" s="449" t="b">
        <v>0</v>
      </c>
      <c r="E22" s="453">
        <f>IF(D22=TRUE,Standard!U243,0)</f>
        <v>0</v>
      </c>
      <c r="F22" s="423"/>
      <c r="G22" s="427" t="str">
        <f>IF(AND(D22=TRUE,D24=TRUE),"selezione incongruente!"," ")</f>
        <v xml:space="preserve"> </v>
      </c>
      <c r="H22" s="427"/>
      <c r="I22" s="427"/>
      <c r="J22" s="214"/>
      <c r="K22" s="301" t="str">
        <f>IF(Standard!AP243&gt;0,Standard!AP3," ")</f>
        <v>Terreno compattato o semina su sodo</v>
      </c>
      <c r="L22" s="449" t="b">
        <v>1</v>
      </c>
      <c r="M22" s="455">
        <f>IF(L22=TRUE,Standard!AP243,0)</f>
        <v>10</v>
      </c>
      <c r="N22" s="215"/>
    </row>
    <row r="23" spans="1:14" ht="3.75" customHeight="1" x14ac:dyDescent="0.25">
      <c r="A23" s="215"/>
      <c r="B23" s="355"/>
      <c r="C23" s="228"/>
      <c r="D23" s="358"/>
      <c r="E23" s="228"/>
      <c r="F23" s="228"/>
      <c r="G23" s="228"/>
      <c r="H23" s="228"/>
      <c r="I23" s="228"/>
      <c r="J23" s="215"/>
      <c r="K23" s="228"/>
      <c r="L23" s="358"/>
      <c r="M23" s="373"/>
      <c r="N23" s="215"/>
    </row>
    <row r="24" spans="1:14" ht="16.5" customHeight="1" x14ac:dyDescent="0.25">
      <c r="A24" s="215"/>
      <c r="B24" s="392"/>
      <c r="C24" s="452" t="str">
        <f>IF(Standard!V243&gt;0,Standard!V3," ")</f>
        <v>Dopo una  leguminosa</v>
      </c>
      <c r="D24" s="449" t="b">
        <v>0</v>
      </c>
      <c r="E24" s="453">
        <f>IF(D24=TRUE,Standard!V243,0)</f>
        <v>0</v>
      </c>
      <c r="F24" s="423"/>
      <c r="G24" s="423"/>
      <c r="H24" s="423"/>
      <c r="I24" s="423"/>
      <c r="J24" s="214"/>
      <c r="K24" s="301" t="str">
        <f>IF(Standard!AQ243&gt;0,Standard!AQ3," ")</f>
        <v xml:space="preserve"> </v>
      </c>
      <c r="L24" s="449" t="b">
        <v>0</v>
      </c>
      <c r="M24" s="455">
        <f>IF(L24=TRUE,Standard!AQ243,0)</f>
        <v>0</v>
      </c>
      <c r="N24" s="215"/>
    </row>
    <row r="25" spans="1:14" ht="4.2" customHeight="1" x14ac:dyDescent="0.25">
      <c r="A25" s="215"/>
      <c r="B25" s="355"/>
      <c r="C25" s="424"/>
      <c r="D25" s="420"/>
      <c r="E25" s="423"/>
      <c r="F25" s="423"/>
      <c r="G25" s="423"/>
      <c r="H25" s="423"/>
      <c r="I25" s="423"/>
      <c r="J25" s="215"/>
      <c r="K25" s="228"/>
      <c r="L25" s="420"/>
      <c r="M25" s="366"/>
      <c r="N25" s="215"/>
    </row>
    <row r="26" spans="1:14" ht="16.5" customHeight="1" x14ac:dyDescent="0.25">
      <c r="A26" s="215"/>
      <c r="B26" s="392"/>
      <c r="C26" s="452" t="str">
        <f>IF(Standard!W243&gt;0,Standard!W3," ")</f>
        <v xml:space="preserve"> </v>
      </c>
      <c r="D26" s="449" t="b">
        <v>0</v>
      </c>
      <c r="E26" s="453">
        <f>IF(D26=TRUE,Standard!AA243,0)</f>
        <v>0</v>
      </c>
      <c r="F26" s="423"/>
      <c r="G26" s="423"/>
      <c r="H26" s="423"/>
      <c r="I26" s="423"/>
      <c r="J26" s="214"/>
      <c r="K26" s="301" t="str">
        <f>IF(Standard!AS243&gt;0,Standard!AS3," ")</f>
        <v xml:space="preserve"> </v>
      </c>
      <c r="L26" s="449" t="b">
        <v>0</v>
      </c>
      <c r="M26" s="455">
        <f>IF(L26=TRUE,Standard!AS243,0)</f>
        <v>0</v>
      </c>
      <c r="N26" s="215"/>
    </row>
    <row r="27" spans="1:14" ht="4.2" customHeight="1" x14ac:dyDescent="0.25">
      <c r="A27" s="215"/>
      <c r="B27" s="355"/>
      <c r="C27" s="424"/>
      <c r="D27" s="420"/>
      <c r="E27" s="423"/>
      <c r="F27" s="423"/>
      <c r="G27" s="423"/>
      <c r="H27" s="423"/>
      <c r="I27" s="423"/>
      <c r="J27" s="215"/>
      <c r="K27" s="228"/>
      <c r="L27" s="420"/>
      <c r="M27" s="366"/>
      <c r="N27" s="215"/>
    </row>
    <row r="28" spans="1:14" ht="16.5" customHeight="1" x14ac:dyDescent="0.25">
      <c r="A28" s="215"/>
      <c r="B28" s="355"/>
      <c r="C28" s="424"/>
      <c r="D28" s="420"/>
      <c r="E28" s="423"/>
      <c r="F28" s="423"/>
      <c r="G28" s="423"/>
      <c r="H28" s="423"/>
      <c r="I28" s="423"/>
      <c r="J28" s="214"/>
      <c r="K28" s="301" t="str">
        <f>IF(Standard!AO243&gt;0,Standard!AO3," ")</f>
        <v xml:space="preserve"> </v>
      </c>
      <c r="L28" s="449" t="b">
        <v>0</v>
      </c>
      <c r="M28" s="455">
        <f>IF(L28=TRUE,Standard!AO243,0)</f>
        <v>0</v>
      </c>
      <c r="N28" s="215"/>
    </row>
    <row r="29" spans="1:14" ht="4.2" customHeight="1" x14ac:dyDescent="0.25">
      <c r="A29" s="215"/>
      <c r="B29" s="355"/>
      <c r="C29" s="424"/>
      <c r="D29" s="420"/>
      <c r="E29" s="423"/>
      <c r="F29" s="423"/>
      <c r="G29" s="423"/>
      <c r="H29" s="423"/>
      <c r="I29" s="423"/>
      <c r="J29" s="215"/>
      <c r="K29" s="228"/>
      <c r="L29" s="420"/>
      <c r="M29" s="366"/>
      <c r="N29" s="215"/>
    </row>
    <row r="30" spans="1:14" ht="16.5" customHeight="1" x14ac:dyDescent="0.25">
      <c r="A30" s="215"/>
      <c r="B30" s="355"/>
      <c r="C30" s="424"/>
      <c r="D30" s="420"/>
      <c r="E30" s="423"/>
      <c r="F30" s="423"/>
      <c r="G30" s="423"/>
      <c r="H30" s="423"/>
      <c r="I30" s="423"/>
      <c r="J30" s="214"/>
      <c r="K30" s="301" t="str">
        <f>IF(Standard!AT243&gt;0,Standard!AT3," ")</f>
        <v xml:space="preserve"> </v>
      </c>
      <c r="L30" s="449" t="b">
        <v>0</v>
      </c>
      <c r="M30" s="455">
        <f>IF(L30=TRUE,Standard!AT243,0)</f>
        <v>0</v>
      </c>
      <c r="N30" s="215"/>
    </row>
    <row r="31" spans="1:14" ht="4.2" customHeight="1" thickBot="1" x14ac:dyDescent="0.3">
      <c r="A31" s="215"/>
      <c r="B31" s="355"/>
      <c r="C31" s="228"/>
      <c r="D31" s="358"/>
      <c r="E31" s="228"/>
      <c r="F31" s="228"/>
      <c r="G31" s="228"/>
      <c r="H31" s="228"/>
      <c r="I31" s="228"/>
      <c r="J31" s="215"/>
      <c r="K31" s="228"/>
      <c r="L31" s="358"/>
      <c r="M31" s="373"/>
      <c r="N31" s="215"/>
    </row>
    <row r="32" spans="1:14" ht="13.8" thickBot="1" x14ac:dyDescent="0.3">
      <c r="A32" s="215"/>
      <c r="B32" s="355"/>
      <c r="C32" s="228" t="s">
        <v>613</v>
      </c>
      <c r="D32" s="358"/>
      <c r="E32" s="358">
        <f ca="1">SUM(E10:E30)</f>
        <v>0</v>
      </c>
      <c r="F32" s="358"/>
      <c r="G32" s="734" t="s">
        <v>1509</v>
      </c>
      <c r="H32" s="740">
        <f ca="1">IF(H14="Vedi Bilancio",H39,IF(M38=0,0,IF(M40="sì","nessun ricalcolo ",IF((H14-E32+M32)&lt;0,0,IF(OR((H14-E32+M32)&lt;(H14+M8),(H14-E32+M32)=(H14+M8)),(H14-E32+M32),(H14+M8))))))</f>
        <v>200</v>
      </c>
      <c r="I32" s="358"/>
      <c r="J32" s="215"/>
      <c r="K32" s="228" t="s">
        <v>614</v>
      </c>
      <c r="L32" s="358"/>
      <c r="M32" s="366">
        <f ca="1">SUM(M10:M30)</f>
        <v>40</v>
      </c>
      <c r="N32" s="215"/>
    </row>
    <row r="33" spans="1:14" ht="15" x14ac:dyDescent="0.25">
      <c r="A33" s="215"/>
      <c r="B33" s="355"/>
      <c r="C33" s="228"/>
      <c r="D33" s="358"/>
      <c r="E33" s="358"/>
      <c r="F33" s="358"/>
      <c r="H33" s="461"/>
      <c r="I33" s="426"/>
      <c r="J33" s="215"/>
      <c r="K33" s="228"/>
      <c r="L33" s="358"/>
      <c r="M33" s="366"/>
      <c r="N33" s="215"/>
    </row>
    <row r="34" spans="1:14" ht="15" x14ac:dyDescent="0.25">
      <c r="A34" s="215"/>
      <c r="B34" s="355"/>
      <c r="C34" s="228"/>
      <c r="D34" s="358"/>
      <c r="E34" s="358"/>
      <c r="F34" s="358"/>
      <c r="G34" s="722"/>
      <c r="H34" s="423"/>
      <c r="I34" s="426"/>
      <c r="J34" s="215"/>
      <c r="K34" s="228"/>
      <c r="L34" s="358"/>
      <c r="M34" s="366"/>
      <c r="N34" s="215"/>
    </row>
    <row r="35" spans="1:14" x14ac:dyDescent="0.25">
      <c r="A35" s="215"/>
      <c r="B35" s="432" t="str">
        <f ca="1">MAS!N251</f>
        <v xml:space="preserve"> </v>
      </c>
      <c r="C35" s="393"/>
      <c r="D35" s="302"/>
      <c r="E35" s="407"/>
      <c r="F35" s="407"/>
      <c r="G35" s="417">
        <f>MAS!G258</f>
        <v>190</v>
      </c>
      <c r="H35" s="417"/>
      <c r="I35" s="418"/>
      <c r="J35" s="433"/>
      <c r="K35" s="302"/>
      <c r="L35" s="302"/>
      <c r="M35" s="434"/>
      <c r="N35" s="215"/>
    </row>
    <row r="36" spans="1:14" ht="13.8" thickBot="1" x14ac:dyDescent="0.3">
      <c r="A36" s="215"/>
      <c r="B36" s="435" t="str">
        <f ca="1">MAS!N252</f>
        <v xml:space="preserve"> </v>
      </c>
      <c r="C36" s="360"/>
      <c r="D36" s="360"/>
      <c r="E36" s="436" t="str">
        <f>MAS!S252</f>
        <v>&gt; di 6 t/ha</v>
      </c>
      <c r="F36" s="437"/>
      <c r="G36" s="437"/>
      <c r="H36" s="437"/>
      <c r="I36" s="437"/>
      <c r="J36" s="360"/>
      <c r="K36" s="360"/>
      <c r="L36" s="360"/>
      <c r="M36" s="438"/>
      <c r="N36" s="215"/>
    </row>
    <row r="37" spans="1:14" ht="4.2" customHeight="1" x14ac:dyDescent="0.25">
      <c r="A37" s="215"/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</row>
    <row r="38" spans="1:14" ht="15" x14ac:dyDescent="0.25">
      <c r="A38" s="215"/>
      <c r="B38" s="428" t="str">
        <f>IF(M40="sì","Concimazione azoto in allevamento:"," ")</f>
        <v xml:space="preserve"> </v>
      </c>
      <c r="C38" s="302"/>
      <c r="D38" s="302"/>
      <c r="E38" s="302"/>
      <c r="F38" s="302"/>
      <c r="G38" s="1057" t="s">
        <v>1191</v>
      </c>
      <c r="H38" s="1057"/>
      <c r="I38" s="1058"/>
      <c r="J38" s="302"/>
      <c r="K38" s="302"/>
      <c r="L38" s="439" t="s">
        <v>1038</v>
      </c>
      <c r="M38" s="440">
        <f>C_tempo!E22</f>
        <v>1</v>
      </c>
      <c r="N38" s="215"/>
    </row>
    <row r="39" spans="1:14" ht="15" x14ac:dyDescent="0.25">
      <c r="A39" s="215"/>
      <c r="B39" s="315"/>
      <c r="C39" s="429" t="str">
        <f>IF($M$39=2,"1 anno ",IF(M39=3,"2 anno"," "))</f>
        <v xml:space="preserve"> </v>
      </c>
      <c r="D39" s="430" t="str">
        <f>IF(M40="no"," ",IF(M39=2,Standard!BI243,Standard!BJ247))</f>
        <v xml:space="preserve"> </v>
      </c>
      <c r="E39" s="228" t="s">
        <v>1037</v>
      </c>
      <c r="F39" s="228"/>
      <c r="G39" s="718" t="s">
        <v>1192</v>
      </c>
      <c r="H39" s="720">
        <f>Bilancio!H33</f>
        <v>142.24599999999998</v>
      </c>
      <c r="J39" s="228"/>
      <c r="K39" s="228"/>
      <c r="L39" s="441" t="s">
        <v>1194</v>
      </c>
      <c r="M39" s="442">
        <f>C_tempo!A22</f>
        <v>11</v>
      </c>
      <c r="N39" s="215"/>
    </row>
    <row r="40" spans="1:14" x14ac:dyDescent="0.25">
      <c r="A40" s="215"/>
      <c r="B40" s="409"/>
      <c r="C40" s="431"/>
      <c r="D40" s="312"/>
      <c r="E40" s="312"/>
      <c r="F40" s="312"/>
      <c r="G40" s="719" t="s">
        <v>1193</v>
      </c>
      <c r="H40" s="721">
        <f>Bilancio!H31</f>
        <v>142.24599999999998</v>
      </c>
      <c r="I40" s="16"/>
      <c r="J40" s="312"/>
      <c r="K40" s="312"/>
      <c r="L40" s="443" t="s">
        <v>1195</v>
      </c>
      <c r="M40" s="444" t="str">
        <f>C_tempo!I22</f>
        <v>no</v>
      </c>
      <c r="N40" s="215"/>
    </row>
    <row r="41" spans="1:14" x14ac:dyDescent="0.25">
      <c r="A41" s="215"/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</row>
  </sheetData>
  <sheetProtection algorithmName="SHA-512" hashValue="9CrGhQiu2xY5t9nt7KJYIKAc5gV2fX538ygnpHr3u3xvo62zgJ/Uar45sQcTMo5TEj14L+Btn0pbPdIggOu6TQ==" saltValue="x2QKQEUc/FVPDgma/6H5QQ==" spinCount="100000" sheet="1" objects="1" scenarios="1"/>
  <mergeCells count="3">
    <mergeCell ref="G38:I38"/>
    <mergeCell ref="G6:I6"/>
    <mergeCell ref="G4:J4"/>
  </mergeCells>
  <phoneticPr fontId="2" type="noConversion"/>
  <conditionalFormatting sqref="C31 I23 I31">
    <cfRule type="expression" dxfId="46" priority="2" stopIfTrue="1">
      <formula>E23=0</formula>
    </cfRule>
  </conditionalFormatting>
  <conditionalFormatting sqref="C18 E18:I18">
    <cfRule type="expression" dxfId="45" priority="3" stopIfTrue="1">
      <formula>AND($E$18=0,$D18=TRUE)</formula>
    </cfRule>
  </conditionalFormatting>
  <conditionalFormatting sqref="D12 D14 D18 D24 D26 D22 D20">
    <cfRule type="expression" dxfId="44" priority="4" stopIfTrue="1">
      <formula>$C12=" "</formula>
    </cfRule>
  </conditionalFormatting>
  <conditionalFormatting sqref="C20 E20:I20">
    <cfRule type="expression" dxfId="43" priority="5" stopIfTrue="1">
      <formula>AND($E$20=0,$D20=TRUE)</formula>
    </cfRule>
  </conditionalFormatting>
  <conditionalFormatting sqref="L12 L14 L16 L18 L26:L30 L24 L20:L22">
    <cfRule type="expression" dxfId="42" priority="6" stopIfTrue="1">
      <formula>$K12=" "</formula>
    </cfRule>
  </conditionalFormatting>
  <conditionalFormatting sqref="D39 B38">
    <cfRule type="expression" dxfId="41" priority="7" stopIfTrue="1">
      <formula>(AND($M$38&lt;1,$M$38&gt;0))</formula>
    </cfRule>
  </conditionalFormatting>
  <conditionalFormatting sqref="E39:F39">
    <cfRule type="expression" dxfId="40" priority="8" stopIfTrue="1">
      <formula>$M$40="no"</formula>
    </cfRule>
  </conditionalFormatting>
  <conditionalFormatting sqref="I10 I33:I34">
    <cfRule type="expression" dxfId="39" priority="9" stopIfTrue="1">
      <formula>$M$38=1</formula>
    </cfRule>
  </conditionalFormatting>
  <conditionalFormatting sqref="E23:F23 E31:F31">
    <cfRule type="expression" dxfId="38" priority="10" stopIfTrue="1">
      <formula>#REF!=0</formula>
    </cfRule>
  </conditionalFormatting>
  <conditionalFormatting sqref="D21">
    <cfRule type="expression" dxfId="37" priority="11" stopIfTrue="1">
      <formula>#REF!=" "</formula>
    </cfRule>
  </conditionalFormatting>
  <conditionalFormatting sqref="H14">
    <cfRule type="expression" dxfId="36" priority="12" stopIfTrue="1">
      <formula>$M$38=1</formula>
    </cfRule>
  </conditionalFormatting>
  <conditionalFormatting sqref="H33">
    <cfRule type="expression" dxfId="35" priority="13" stopIfTrue="1">
      <formula>$M$38=1</formula>
    </cfRule>
  </conditionalFormatting>
  <conditionalFormatting sqref="G35:H35">
    <cfRule type="expression" dxfId="34" priority="14" stopIfTrue="1">
      <formula>$B$35=" "</formula>
    </cfRule>
  </conditionalFormatting>
  <conditionalFormatting sqref="E36">
    <cfRule type="expression" dxfId="33" priority="15" stopIfTrue="1">
      <formula>$B$36=" "</formula>
    </cfRule>
  </conditionalFormatting>
  <conditionalFormatting sqref="G23:H23 G31:H31">
    <cfRule type="expression" dxfId="32" priority="25" stopIfTrue="1">
      <formula>J23=0</formula>
    </cfRule>
  </conditionalFormatting>
  <conditionalFormatting sqref="H32">
    <cfRule type="expression" dxfId="31" priority="1" stopIfTrue="1">
      <formula>$M$38=1</formula>
    </cfRule>
  </conditionalFormatting>
  <pageMargins left="0.75" right="0.75" top="1.1399999999999999" bottom="1" header="0.33" footer="0.5"/>
  <pageSetup paperSize="9" scale="70" orientation="landscape" r:id="rId1"/>
  <headerFooter alignWithMargins="0">
    <oddHeader>&amp;R&amp;G</oddHeader>
    <oddFooter>&amp;C&amp;F&amp;R&amp;D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Check Box 3">
              <controlPr locked="0" defaultSize="0" autoFill="0" autoLine="0" autoPict="0">
                <anchor moveWithCells="1">
                  <from>
                    <xdr:col>1</xdr:col>
                    <xdr:colOff>76200</xdr:colOff>
                    <xdr:row>11</xdr:row>
                    <xdr:rowOff>22860</xdr:rowOff>
                  </from>
                  <to>
                    <xdr:col>1</xdr:col>
                    <xdr:colOff>403860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locked="0" defaultSize="0" autoFill="0" autoLine="0" autoPict="0">
                <anchor moveWithCells="1">
                  <from>
                    <xdr:col>1</xdr:col>
                    <xdr:colOff>76200</xdr:colOff>
                    <xdr:row>13</xdr:row>
                    <xdr:rowOff>22860</xdr:rowOff>
                  </from>
                  <to>
                    <xdr:col>1</xdr:col>
                    <xdr:colOff>403860</xdr:colOff>
                    <xdr:row>13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13</xdr:row>
                    <xdr:rowOff>22860</xdr:rowOff>
                  </from>
                  <to>
                    <xdr:col>9</xdr:col>
                    <xdr:colOff>327660</xdr:colOff>
                    <xdr:row>13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Check Box 7">
              <controlPr locked="0" defaultSize="0" autoFill="0" autoLine="0" autoPict="0">
                <anchor moveWithCells="1">
                  <from>
                    <xdr:col>1</xdr:col>
                    <xdr:colOff>30480</xdr:colOff>
                    <xdr:row>21</xdr:row>
                    <xdr:rowOff>22860</xdr:rowOff>
                  </from>
                  <to>
                    <xdr:col>1</xdr:col>
                    <xdr:colOff>365760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Check Box 8">
              <controlPr locked="0" defaultSize="0" autoFill="0" autoLine="0" autoPict="0">
                <anchor moveWithCells="1">
                  <from>
                    <xdr:col>1</xdr:col>
                    <xdr:colOff>60960</xdr:colOff>
                    <xdr:row>23</xdr:row>
                    <xdr:rowOff>22860</xdr:rowOff>
                  </from>
                  <to>
                    <xdr:col>1</xdr:col>
                    <xdr:colOff>373380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Check Box 9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19</xdr:row>
                    <xdr:rowOff>30480</xdr:rowOff>
                  </from>
                  <to>
                    <xdr:col>9</xdr:col>
                    <xdr:colOff>335280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Check Box 10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23</xdr:row>
                    <xdr:rowOff>22860</xdr:rowOff>
                  </from>
                  <to>
                    <xdr:col>9</xdr:col>
                    <xdr:colOff>327660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Check Box 11">
              <controlPr locked="0" defaultSize="0" autoFill="0" autoLine="0" autoPict="0">
                <anchor moveWithCells="1">
                  <from>
                    <xdr:col>9</xdr:col>
                    <xdr:colOff>60960</xdr:colOff>
                    <xdr:row>25</xdr:row>
                    <xdr:rowOff>22860</xdr:rowOff>
                  </from>
                  <to>
                    <xdr:col>9</xdr:col>
                    <xdr:colOff>373380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3" name="Check Box 12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15</xdr:row>
                    <xdr:rowOff>22860</xdr:rowOff>
                  </from>
                  <to>
                    <xdr:col>9</xdr:col>
                    <xdr:colOff>327660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4" name="Check Box 13">
              <controlPr locked="0" defaultSize="0" autoFill="0" autoLine="0" autoPict="0">
                <anchor moveWithCells="1">
                  <from>
                    <xdr:col>9</xdr:col>
                    <xdr:colOff>30480</xdr:colOff>
                    <xdr:row>29</xdr:row>
                    <xdr:rowOff>38100</xdr:rowOff>
                  </from>
                  <to>
                    <xdr:col>9</xdr:col>
                    <xdr:colOff>365760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5" name="Check Box 14">
              <controlPr locked="0" defaultSize="0" autoFill="0" autoLine="0" autoPict="0">
                <anchor moveWithCells="1">
                  <from>
                    <xdr:col>1</xdr:col>
                    <xdr:colOff>60960</xdr:colOff>
                    <xdr:row>25</xdr:row>
                    <xdr:rowOff>38100</xdr:rowOff>
                  </from>
                  <to>
                    <xdr:col>1</xdr:col>
                    <xdr:colOff>373380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6" name="Check Box 15">
              <controlPr locked="0" defaultSize="0" autoFill="0" autoLine="0" autoPict="0">
                <anchor moveWithCells="1">
                  <from>
                    <xdr:col>9</xdr:col>
                    <xdr:colOff>30480</xdr:colOff>
                    <xdr:row>27</xdr:row>
                    <xdr:rowOff>30480</xdr:rowOff>
                  </from>
                  <to>
                    <xdr:col>9</xdr:col>
                    <xdr:colOff>373380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7" name="Check Box 16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22860</xdr:rowOff>
                  </from>
                  <to>
                    <xdr:col>9</xdr:col>
                    <xdr:colOff>381000</xdr:colOff>
                    <xdr:row>22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B1:R39"/>
  <sheetViews>
    <sheetView zoomScale="85" zoomScaleNormal="85" workbookViewId="0">
      <selection activeCell="C3" sqref="C3"/>
    </sheetView>
  </sheetViews>
  <sheetFormatPr defaultColWidth="9.109375" defaultRowHeight="13.2" x14ac:dyDescent="0.25"/>
  <cols>
    <col min="1" max="1" width="1.6640625" style="32" customWidth="1"/>
    <col min="2" max="2" width="7.6640625" style="32" customWidth="1"/>
    <col min="3" max="3" width="34.6640625" style="32" customWidth="1"/>
    <col min="4" max="4" width="8.6640625" style="32" customWidth="1"/>
    <col min="5" max="5" width="7.6640625" style="32" customWidth="1"/>
    <col min="6" max="6" width="6.33203125" style="32" customWidth="1"/>
    <col min="7" max="7" width="33.33203125" style="32" customWidth="1"/>
    <col min="8" max="8" width="11" style="32" customWidth="1"/>
    <col min="9" max="9" width="6.33203125" style="32" customWidth="1"/>
    <col min="10" max="10" width="5.6640625" style="32" customWidth="1"/>
    <col min="11" max="11" width="41.44140625" style="32" customWidth="1"/>
    <col min="12" max="12" width="8.6640625" style="32" customWidth="1"/>
    <col min="13" max="13" width="9" style="32" customWidth="1"/>
    <col min="14" max="14" width="2.33203125" style="32" customWidth="1"/>
    <col min="15" max="15" width="12.33203125" style="32" customWidth="1"/>
    <col min="16" max="16384" width="9.109375" style="32"/>
  </cols>
  <sheetData>
    <row r="1" spans="2:17" x14ac:dyDescent="0.25">
      <c r="B1" s="770" t="s">
        <v>1190</v>
      </c>
      <c r="C1" s="228"/>
      <c r="D1" s="228"/>
      <c r="E1" s="228"/>
      <c r="F1" s="228"/>
      <c r="G1" s="228"/>
      <c r="H1" s="228"/>
      <c r="I1" s="228"/>
      <c r="J1" s="228"/>
      <c r="K1" s="771"/>
      <c r="L1" s="738" t="s">
        <v>933</v>
      </c>
      <c r="M1" s="314">
        <f>Inserimento!T5</f>
        <v>2025</v>
      </c>
    </row>
    <row r="2" spans="2:17" ht="6" customHeight="1" x14ac:dyDescent="0.25">
      <c r="B2" s="770"/>
      <c r="D2" s="228"/>
      <c r="E2" s="228"/>
      <c r="F2" s="228"/>
      <c r="G2" s="228"/>
      <c r="H2" s="228"/>
      <c r="I2" s="228"/>
      <c r="J2" s="228"/>
      <c r="K2" s="771"/>
    </row>
    <row r="3" spans="2:17" x14ac:dyDescent="0.25">
      <c r="B3" s="738" t="s">
        <v>968</v>
      </c>
      <c r="C3" s="347" t="str">
        <f>Inserimento!B5</f>
        <v>Pinco Pallino</v>
      </c>
      <c r="D3" s="228"/>
      <c r="E3" s="151" t="s">
        <v>13</v>
      </c>
      <c r="F3" s="772" t="str">
        <f>Coltura!D238</f>
        <v>Grano duro (pianta intera)</v>
      </c>
      <c r="G3" s="773"/>
      <c r="H3" s="773"/>
      <c r="I3" s="773"/>
      <c r="J3" s="347"/>
      <c r="K3" s="228"/>
      <c r="L3" s="132" t="s">
        <v>1129</v>
      </c>
      <c r="M3" s="398" t="b">
        <f>Codici!AX2</f>
        <v>0</v>
      </c>
      <c r="O3" s="774" t="s">
        <v>1207</v>
      </c>
      <c r="P3" s="775" t="str">
        <f>C_tempo!I22</f>
        <v>no</v>
      </c>
    </row>
    <row r="4" spans="2:17" ht="6" customHeight="1" x14ac:dyDescent="0.25">
      <c r="B4" s="228"/>
      <c r="D4" s="228"/>
      <c r="I4" s="228"/>
      <c r="J4" s="228"/>
      <c r="K4" s="228"/>
      <c r="L4" s="41"/>
    </row>
    <row r="5" spans="2:17" x14ac:dyDescent="0.25">
      <c r="B5" s="738" t="s">
        <v>964</v>
      </c>
      <c r="C5" s="347">
        <f>Inserimento!Q5</f>
        <v>1</v>
      </c>
      <c r="D5" s="228"/>
      <c r="E5" s="151" t="s">
        <v>1041</v>
      </c>
      <c r="F5" s="773" t="str">
        <f>C_tempo!B22</f>
        <v>Primaverile-estiva  100–130 gg</v>
      </c>
      <c r="G5" s="773"/>
      <c r="H5" s="347"/>
      <c r="J5" s="228"/>
      <c r="K5" s="228"/>
      <c r="L5" s="132" t="s">
        <v>1188</v>
      </c>
      <c r="M5" s="314" t="str">
        <f>Inserimento!N5</f>
        <v>A</v>
      </c>
      <c r="O5" s="776" t="s">
        <v>1139</v>
      </c>
      <c r="P5" s="775">
        <f>C_tempo!A22</f>
        <v>11</v>
      </c>
    </row>
    <row r="6" spans="2:17" ht="6" customHeight="1" x14ac:dyDescent="0.25">
      <c r="B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O6" s="777"/>
      <c r="P6" s="778"/>
    </row>
    <row r="7" spans="2:17" x14ac:dyDescent="0.25">
      <c r="B7" s="400"/>
      <c r="C7" s="407" t="s">
        <v>637</v>
      </c>
      <c r="D7" s="302"/>
      <c r="E7" s="302"/>
      <c r="F7" s="302"/>
      <c r="G7" s="302"/>
      <c r="H7" s="302"/>
      <c r="I7" s="779"/>
      <c r="J7" s="302"/>
      <c r="K7" s="407" t="s">
        <v>638</v>
      </c>
      <c r="L7" s="780"/>
      <c r="M7" s="523"/>
      <c r="O7" s="781"/>
      <c r="P7" s="781"/>
    </row>
    <row r="8" spans="2:17" ht="13.8" thickBot="1" x14ac:dyDescent="0.3">
      <c r="B8" s="782"/>
      <c r="C8" s="437" t="s">
        <v>635</v>
      </c>
      <c r="D8" s="360" t="s">
        <v>636</v>
      </c>
      <c r="E8" s="360"/>
      <c r="F8" s="360"/>
      <c r="G8" s="182"/>
      <c r="H8" s="182"/>
      <c r="I8" s="360"/>
      <c r="J8" s="360"/>
      <c r="K8" s="437" t="s">
        <v>635</v>
      </c>
      <c r="L8" s="360" t="s">
        <v>636</v>
      </c>
      <c r="M8" s="783"/>
      <c r="O8" s="781"/>
      <c r="P8" s="781"/>
    </row>
    <row r="9" spans="2:17" ht="18" customHeight="1" x14ac:dyDescent="0.25">
      <c r="B9" s="784"/>
      <c r="C9" s="446" t="str">
        <f>CONCATENATE(Standard!$O$3," ",Standard!$O$243," t/ha")</f>
        <v>Resa bassa inferiore a 5 t/ha</v>
      </c>
      <c r="D9" s="785" t="b">
        <f>IF(Standard!O243="nd","nd",IF(Codici!$M$2&lt;Standard!$O$243,TRUE,FALSE))</f>
        <v>0</v>
      </c>
      <c r="E9" s="786">
        <f>IF(D9=TRUE,Standard!X243,0)</f>
        <v>0</v>
      </c>
      <c r="F9" s="787"/>
      <c r="G9" s="788" t="s">
        <v>616</v>
      </c>
      <c r="H9" s="788"/>
      <c r="I9" s="362"/>
      <c r="J9" s="789"/>
      <c r="K9" s="446" t="str">
        <f>CONCATENATE(Standard!$AH$3," ",Standard!$AH$243," t/ha")</f>
        <v>Resa alta superiore a 7 t/ha</v>
      </c>
      <c r="L9" s="785" t="b">
        <f>IF(Standard!AH243="nd","nd",IF(Codici!$M$2&gt;Standard!$AH$243,TRUE,FALSE))</f>
        <v>0</v>
      </c>
      <c r="M9" s="448">
        <f>IF(L9=TRUE,Standard!AV$243,0)</f>
        <v>0</v>
      </c>
      <c r="O9" s="776" t="s">
        <v>1039</v>
      </c>
      <c r="P9" s="775">
        <f>C_tempo!E22</f>
        <v>1</v>
      </c>
    </row>
    <row r="10" spans="2:17" ht="13.8" thickBot="1" x14ac:dyDescent="0.3">
      <c r="B10" s="365"/>
      <c r="C10" s="228"/>
      <c r="D10" s="228"/>
      <c r="E10" s="228"/>
      <c r="F10" s="228"/>
      <c r="G10" s="790" t="str">
        <f>CONCATENATE("con tenore P nel suolo ",Gri_P!G10)</f>
        <v>con tenore P nel suolo scarso</v>
      </c>
      <c r="H10" s="791"/>
      <c r="I10" s="228"/>
      <c r="J10" s="228"/>
      <c r="K10" s="228"/>
      <c r="L10" s="228"/>
      <c r="M10" s="373"/>
    </row>
    <row r="11" spans="2:17" ht="24" customHeight="1" thickBot="1" x14ac:dyDescent="0.3">
      <c r="B11" s="792"/>
      <c r="C11" s="793" t="str">
        <f>IF(Standard!Y243&gt;0,Standard!Y3," ")</f>
        <v xml:space="preserve"> </v>
      </c>
      <c r="D11" s="794" t="b">
        <v>0</v>
      </c>
      <c r="E11" s="453">
        <f>IF(D11=TRUE,Standard!Y243,0)</f>
        <v>0</v>
      </c>
      <c r="F11" s="358"/>
      <c r="G11" s="795" t="s">
        <v>1529</v>
      </c>
      <c r="H11" s="739">
        <f>IF(OR(P5=1,P5=15,P5=16),"Vedi Bilancio",IF(P9&lt;1,"Vedi dose allevamento",IF(Standard!F243="nd","nd",IF(Gri_P!G10="normale",Standard!G243,IF(Gri_P!G10="molto alto",Standard!I243,IF(Gri_P!G10="molto scarso",Standard!J243,Standard!H243))))))</f>
        <v>80</v>
      </c>
      <c r="I11" s="228"/>
      <c r="J11" s="738"/>
      <c r="K11" s="301" t="str">
        <f>IF(Standard!AY243&gt;0,Standard!AY3," ")</f>
        <v xml:space="preserve"> </v>
      </c>
      <c r="L11" s="794" t="b">
        <v>0</v>
      </c>
      <c r="M11" s="796">
        <f>IF(L11=TRUE,Standard!AZ243,0)</f>
        <v>0</v>
      </c>
    </row>
    <row r="12" spans="2:17" ht="5.0999999999999996" customHeight="1" thickBot="1" x14ac:dyDescent="0.3">
      <c r="B12" s="365"/>
      <c r="C12" s="791"/>
      <c r="D12" s="797"/>
      <c r="E12" s="358"/>
      <c r="F12" s="358"/>
      <c r="G12" s="486"/>
      <c r="I12" s="228"/>
      <c r="J12" s="228"/>
      <c r="K12" s="228"/>
      <c r="L12" s="228"/>
      <c r="M12" s="373"/>
      <c r="Q12" s="739"/>
    </row>
    <row r="13" spans="2:17" ht="12.75" customHeight="1" x14ac:dyDescent="0.3">
      <c r="B13" s="792"/>
      <c r="C13" s="793" t="str">
        <f>IF(Standard!AA243&gt;0,Standard!AA3," ")</f>
        <v xml:space="preserve"> </v>
      </c>
      <c r="D13" s="794" t="b">
        <v>0</v>
      </c>
      <c r="E13" s="453">
        <f>IF(D13=TRUE,Standard!AA243,0)</f>
        <v>0</v>
      </c>
      <c r="F13" s="358"/>
      <c r="G13" s="486"/>
      <c r="H13" s="733"/>
      <c r="I13" s="228"/>
      <c r="J13" s="738"/>
      <c r="K13" s="301" t="str">
        <f>IF(Standard!AZ243&gt;0,Standard!AZ3," ")</f>
        <v xml:space="preserve"> </v>
      </c>
      <c r="L13" s="794" t="b">
        <f>IF(Calcare!D26="Molto elevato",TRUE,FALSE)</f>
        <v>0</v>
      </c>
      <c r="M13" s="796">
        <f>IF(L13=TRUE,Standard!AY243,0)</f>
        <v>0</v>
      </c>
    </row>
    <row r="14" spans="2:17" ht="5.0999999999999996" customHeight="1" x14ac:dyDescent="0.25">
      <c r="B14" s="365"/>
      <c r="C14" s="228"/>
      <c r="D14" s="228"/>
      <c r="E14" s="228"/>
      <c r="F14" s="228"/>
      <c r="G14" s="486"/>
      <c r="H14" s="228"/>
      <c r="I14" s="228"/>
      <c r="J14" s="228"/>
      <c r="K14" s="228"/>
      <c r="L14" s="797"/>
      <c r="M14" s="366"/>
    </row>
    <row r="15" spans="2:17" ht="12.75" customHeight="1" x14ac:dyDescent="0.25">
      <c r="B15" s="792"/>
      <c r="C15" s="301" t="str">
        <f>IF(Standard!AB243&gt;0,Standard!AB3," ")</f>
        <v xml:space="preserve"> </v>
      </c>
      <c r="D15" s="794" t="b">
        <v>0</v>
      </c>
      <c r="E15" s="453">
        <f>IF(D15=TRUE,Standard!AB243,0)</f>
        <v>0</v>
      </c>
      <c r="F15" s="228"/>
      <c r="G15" s="228"/>
      <c r="H15" s="228"/>
      <c r="I15" s="228"/>
      <c r="J15" s="738"/>
      <c r="K15" s="301" t="str">
        <f>IF(Standard!AX243&gt;0,Standard!AX3," ")</f>
        <v xml:space="preserve"> </v>
      </c>
      <c r="L15" s="794" t="b">
        <v>0</v>
      </c>
      <c r="M15" s="796">
        <f>IF(L15=TRUE,Standard!AX243,0)</f>
        <v>0</v>
      </c>
    </row>
    <row r="16" spans="2:17" ht="5.0999999999999996" customHeight="1" x14ac:dyDescent="0.25">
      <c r="B16" s="365"/>
      <c r="C16" s="228"/>
      <c r="D16" s="228"/>
      <c r="E16" s="228"/>
      <c r="F16" s="228"/>
      <c r="G16" s="228"/>
      <c r="H16" s="228"/>
      <c r="I16" s="228"/>
      <c r="J16" s="228"/>
      <c r="K16" s="228"/>
      <c r="L16" s="797"/>
      <c r="M16" s="366"/>
    </row>
    <row r="17" spans="2:16" x14ac:dyDescent="0.25">
      <c r="B17" s="365"/>
      <c r="C17" s="228"/>
      <c r="D17" s="228"/>
      <c r="E17" s="228"/>
      <c r="F17" s="228"/>
      <c r="G17" s="228"/>
      <c r="H17" s="228"/>
      <c r="I17" s="228"/>
      <c r="J17" s="738"/>
      <c r="K17" s="301" t="str">
        <f>IF(Standard!BA243&gt;0,Standard!BA3," ")</f>
        <v xml:space="preserve"> </v>
      </c>
      <c r="L17" s="794" t="b">
        <v>0</v>
      </c>
      <c r="M17" s="796">
        <f>IF(L17=TRUE,Standard!AZ243,0)</f>
        <v>0</v>
      </c>
    </row>
    <row r="18" spans="2:16" ht="5.0999999999999996" customHeight="1" x14ac:dyDescent="0.25">
      <c r="B18" s="365"/>
      <c r="C18" s="228"/>
      <c r="D18" s="228"/>
      <c r="E18" s="228"/>
      <c r="F18" s="228"/>
      <c r="G18" s="228"/>
      <c r="H18" s="228"/>
      <c r="I18" s="228"/>
      <c r="J18" s="228"/>
      <c r="K18" s="228"/>
      <c r="L18" s="797"/>
      <c r="M18" s="669"/>
    </row>
    <row r="19" spans="2:16" x14ac:dyDescent="0.25">
      <c r="B19" s="365"/>
      <c r="C19" s="228"/>
      <c r="D19" s="228"/>
      <c r="E19" s="228"/>
      <c r="F19" s="228"/>
      <c r="G19" s="228"/>
      <c r="H19" s="228"/>
      <c r="I19" s="228"/>
      <c r="J19" s="738"/>
      <c r="K19" s="301" t="str">
        <f>IF(Standard!AW243&gt;0,Standard!AW3," ")</f>
        <v xml:space="preserve"> </v>
      </c>
      <c r="L19" s="794" t="b">
        <f ca="1">IF(OR(B!E19="bassa",B!E19="molto bassa"),TRUE,FALSE)</f>
        <v>0</v>
      </c>
      <c r="M19" s="796">
        <f ca="1">IF(L19=TRUE,Standard!AW243,0)</f>
        <v>0</v>
      </c>
    </row>
    <row r="20" spans="2:16" ht="5.0999999999999996" customHeight="1" x14ac:dyDescent="0.25">
      <c r="B20" s="365"/>
      <c r="C20" s="228"/>
      <c r="D20" s="228"/>
      <c r="E20" s="228"/>
      <c r="F20" s="228"/>
      <c r="G20" s="228"/>
      <c r="H20" s="228"/>
      <c r="I20" s="228"/>
      <c r="J20" s="228"/>
      <c r="K20" s="228"/>
      <c r="L20" s="228"/>
      <c r="M20" s="373"/>
    </row>
    <row r="21" spans="2:16" ht="15.75" customHeight="1" thickBot="1" x14ac:dyDescent="0.3">
      <c r="B21" s="365"/>
      <c r="C21" s="738" t="s">
        <v>613</v>
      </c>
      <c r="D21" s="301"/>
      <c r="E21" s="453">
        <f>SUM(E9:E17)</f>
        <v>0</v>
      </c>
      <c r="F21" s="358"/>
      <c r="G21" s="228"/>
      <c r="H21" s="228"/>
      <c r="I21" s="228"/>
      <c r="J21" s="228"/>
      <c r="K21" s="738" t="s">
        <v>614</v>
      </c>
      <c r="L21" s="301"/>
      <c r="M21" s="455">
        <f ca="1">SUM(M9:M19)</f>
        <v>0</v>
      </c>
      <c r="O21" s="798" t="s">
        <v>1215</v>
      </c>
      <c r="P21" s="799"/>
    </row>
    <row r="22" spans="2:16" ht="16.2" thickBot="1" x14ac:dyDescent="0.35">
      <c r="B22" s="365"/>
      <c r="C22" s="228"/>
      <c r="D22" s="228"/>
      <c r="E22" s="228"/>
      <c r="F22" s="228"/>
      <c r="G22" s="800" t="s">
        <v>612</v>
      </c>
      <c r="H22" s="735">
        <f ca="1">IF(H11="Vedi Bilancio",P22,IF(P3="sì"," ",IF((H11+M21-E21)&gt;0,(H11+M21-E21),0)))</f>
        <v>80</v>
      </c>
      <c r="I22" s="358"/>
      <c r="J22" s="228"/>
      <c r="K22" s="228"/>
      <c r="L22" s="228"/>
      <c r="M22" s="373"/>
      <c r="O22" s="801" t="s">
        <v>1192</v>
      </c>
      <c r="P22" s="802">
        <f>Bilancio!I33</f>
        <v>112.896047736</v>
      </c>
    </row>
    <row r="23" spans="2:16" ht="15" x14ac:dyDescent="0.25">
      <c r="B23" s="365"/>
      <c r="C23" s="228"/>
      <c r="D23" s="228"/>
      <c r="E23" s="228"/>
      <c r="F23" s="228"/>
      <c r="G23" s="486"/>
      <c r="H23" s="486"/>
      <c r="I23" s="358"/>
      <c r="J23" s="228"/>
      <c r="K23" s="228"/>
      <c r="L23" s="228"/>
      <c r="M23" s="373"/>
      <c r="O23" s="803" t="s">
        <v>1193</v>
      </c>
      <c r="P23" s="804">
        <f>Bilancio!I31</f>
        <v>112.896047736</v>
      </c>
    </row>
    <row r="24" spans="2:16" ht="15.6" thickBot="1" x14ac:dyDescent="0.3">
      <c r="B24" s="805"/>
      <c r="C24" s="360" t="str">
        <f>IF(P$3="sì","Concimazione in allevamento"," ")</f>
        <v xml:space="preserve"> </v>
      </c>
      <c r="D24" s="182"/>
      <c r="E24" s="806" t="str">
        <f>IF($P$5=2,"1 anno ",IF(P5=3,"2 anno"," "))</f>
        <v xml:space="preserve"> </v>
      </c>
      <c r="F24" s="360"/>
      <c r="G24" s="807" t="str">
        <f>IF(P3="no"," ",IF(P5=2,Standard!BL243,Standard!BM247))</f>
        <v xml:space="preserve"> </v>
      </c>
      <c r="H24" s="807"/>
      <c r="I24" s="182"/>
      <c r="J24" s="360"/>
      <c r="K24" s="360"/>
      <c r="L24" s="360"/>
      <c r="M24" s="808"/>
    </row>
    <row r="25" spans="2:16" ht="15.75" customHeight="1" thickBot="1" x14ac:dyDescent="0.3">
      <c r="B25" s="228"/>
      <c r="C25" s="228"/>
      <c r="D25" s="228"/>
      <c r="E25" s="228"/>
      <c r="F25" s="228"/>
      <c r="G25" s="228"/>
      <c r="H25" s="228"/>
      <c r="I25" s="228"/>
      <c r="J25" s="228"/>
      <c r="K25" s="228"/>
      <c r="L25" s="228"/>
      <c r="M25" s="228"/>
    </row>
    <row r="26" spans="2:16" ht="22.5" customHeight="1" x14ac:dyDescent="0.25">
      <c r="B26" s="784"/>
      <c r="C26" s="446" t="str">
        <f>CONCATENATE(Standard!$O$3," ",Standard!$O$243," t/ha")</f>
        <v>Resa bassa inferiore a 5 t/ha</v>
      </c>
      <c r="D26" s="785" t="b">
        <f>IF(Standard!O243="nd","nd",IF(Codici!$M$2&lt;Standard!$O$243,TRUE,FALSE))</f>
        <v>0</v>
      </c>
      <c r="E26" s="786">
        <f>IF(D26=TRUE,Standard!AC243,0)</f>
        <v>0</v>
      </c>
      <c r="F26" s="787"/>
      <c r="G26" s="1066" t="s">
        <v>620</v>
      </c>
      <c r="H26" s="1066"/>
      <c r="I26" s="362"/>
      <c r="J26" s="789"/>
      <c r="K26" s="446" t="str">
        <f>CONCATENATE(Standard!$AH$3," ",Standard!$AH$243," t/ha")</f>
        <v>Resa alta superiore a 7 t/ha</v>
      </c>
      <c r="L26" s="785" t="b">
        <f>IF(Standard!AH243="nd","nd",IF(Codici!$M$2&gt;Standard!$AH$243,TRUE,FALSE))</f>
        <v>0</v>
      </c>
      <c r="M26" s="448">
        <f>IF(L26=TRUE,Standard!BC$243,0)</f>
        <v>0</v>
      </c>
      <c r="O26" s="809" t="s">
        <v>1209</v>
      </c>
      <c r="P26" s="810">
        <f>C_tempo!G22</f>
        <v>1</v>
      </c>
    </row>
    <row r="27" spans="2:16" x14ac:dyDescent="0.25">
      <c r="B27" s="365"/>
      <c r="C27" s="228"/>
      <c r="D27" s="228"/>
      <c r="E27" s="228"/>
      <c r="F27" s="228"/>
      <c r="G27" s="1064" t="str">
        <f ca="1">CONCATENATE("con dotazione di  K nel suolo ",Gri_K!K38)</f>
        <v>con dotazione di  K nel suolo media</v>
      </c>
      <c r="H27" s="1065"/>
      <c r="I27" s="228"/>
      <c r="J27" s="228"/>
      <c r="K27" s="228"/>
      <c r="L27" s="228"/>
      <c r="M27" s="373"/>
    </row>
    <row r="28" spans="2:16" ht="18" customHeight="1" x14ac:dyDescent="0.25">
      <c r="B28" s="792"/>
      <c r="C28" s="793" t="str">
        <f>IF(Standard!AD243&gt;0,Standard!AD3," ")</f>
        <v xml:space="preserve"> </v>
      </c>
      <c r="D28" s="794" t="b">
        <v>0</v>
      </c>
      <c r="E28" s="453">
        <f>IF(D28=TRUE,Standard!AD243,0)</f>
        <v>0</v>
      </c>
      <c r="F28" s="358"/>
      <c r="G28" s="716" t="str">
        <f>IF(Standard!$BR$243="sì","dose standard base kg/ha","")</f>
        <v/>
      </c>
      <c r="H28" s="811" t="str">
        <f>IF(Standard!$BR$243="no","",IF(Gri_K!K38="media",Standard!BW243,IF(Gri_K!K38="elevata",Standard!BY243,Standard!BX243)))</f>
        <v/>
      </c>
      <c r="I28" s="228"/>
      <c r="J28" s="301"/>
      <c r="K28" s="793" t="str">
        <f>IF(Standard!BD243&gt;0,Standard!BD3," ")</f>
        <v xml:space="preserve"> </v>
      </c>
      <c r="L28" s="794" t="b">
        <v>1</v>
      </c>
      <c r="M28" s="796">
        <f>IF(L28=TRUE,Standard!BD243,0)</f>
        <v>0</v>
      </c>
    </row>
    <row r="29" spans="2:16" ht="6" customHeight="1" x14ac:dyDescent="0.25">
      <c r="B29" s="365"/>
      <c r="C29" s="791"/>
      <c r="D29" s="797"/>
      <c r="E29" s="358"/>
      <c r="F29" s="358"/>
      <c r="G29" s="812"/>
      <c r="H29" s="657"/>
      <c r="I29" s="228"/>
      <c r="J29" s="228"/>
      <c r="K29" s="791"/>
      <c r="L29" s="797"/>
      <c r="M29" s="366"/>
    </row>
    <row r="30" spans="2:16" x14ac:dyDescent="0.25">
      <c r="B30" s="792"/>
      <c r="C30" s="793" t="str">
        <f>IF(Standard!AG243&gt;0,Standard!AG3," ")</f>
        <v xml:space="preserve"> </v>
      </c>
      <c r="D30" s="794" t="b">
        <v>0</v>
      </c>
      <c r="E30" s="453">
        <f>IF(D30=TRUE,Standard!AG243,0)</f>
        <v>0</v>
      </c>
      <c r="F30" s="358"/>
      <c r="G30" s="647" t="str">
        <f>IF(Standard!$BR$243="sì","numero tagli programmati","")</f>
        <v/>
      </c>
      <c r="H30" s="727" t="str">
        <f>IF(Standard!$BR$243="sì",Codici!BA2,"")</f>
        <v/>
      </c>
      <c r="I30" s="228"/>
      <c r="J30" s="301"/>
      <c r="K30" s="793" t="str">
        <f>IF(Standard!BF243&gt;0,Standard!BF3," ")</f>
        <v xml:space="preserve"> </v>
      </c>
      <c r="L30" s="794" t="b">
        <v>0</v>
      </c>
      <c r="M30" s="796">
        <f>IF(L30=TRUE,Standard!BF243,0)</f>
        <v>0</v>
      </c>
    </row>
    <row r="31" spans="2:16" ht="6.75" customHeight="1" x14ac:dyDescent="0.25">
      <c r="B31" s="365"/>
      <c r="C31" s="791"/>
      <c r="D31" s="797"/>
      <c r="E31" s="358"/>
      <c r="F31" s="358"/>
      <c r="G31" s="812"/>
      <c r="H31" s="657"/>
      <c r="I31" s="228"/>
      <c r="J31" s="228"/>
      <c r="K31" s="791"/>
      <c r="L31" s="797"/>
      <c r="M31" s="366"/>
    </row>
    <row r="32" spans="2:16" ht="15.75" customHeight="1" x14ac:dyDescent="0.25">
      <c r="B32" s="792"/>
      <c r="C32" s="793" t="str">
        <f>IF(Standard!AF243&gt;0,Standard!AF3," ")</f>
        <v xml:space="preserve"> </v>
      </c>
      <c r="D32" s="794" t="b">
        <v>0</v>
      </c>
      <c r="E32" s="453">
        <f>IF(D32=TRUE,Standard!AE243,0)</f>
        <v>0</v>
      </c>
      <c r="F32" s="358"/>
      <c r="G32" s="813" t="str">
        <f>IF(Standard!$BR$243="sì","dose per ogni taglio successivo","")</f>
        <v/>
      </c>
      <c r="H32" s="814" t="str">
        <f>IF(Standard!$BR$243="no","",IF(Gri_K!K38="media",Standard!CA243,IF(Gri_K!K38="elevata",Standard!CC243,Standard!CB243)))</f>
        <v/>
      </c>
      <c r="I32" s="228"/>
      <c r="J32" s="301"/>
      <c r="K32" s="793" t="str">
        <f>IF(Standard!BG243&gt;0,Standard!BG3," ")</f>
        <v xml:space="preserve"> </v>
      </c>
      <c r="L32" s="794" t="b">
        <v>1</v>
      </c>
      <c r="M32" s="796">
        <f>IF(L32=TRUE,Standard!BG243,0)</f>
        <v>0</v>
      </c>
      <c r="O32" s="714"/>
    </row>
    <row r="33" spans="2:18" ht="5.25" customHeight="1" thickBot="1" x14ac:dyDescent="0.3">
      <c r="B33" s="365"/>
      <c r="C33" s="228"/>
      <c r="D33" s="228"/>
      <c r="E33" s="228"/>
      <c r="F33" s="228"/>
      <c r="G33" s="228"/>
      <c r="H33" s="228"/>
      <c r="I33" s="228"/>
      <c r="J33" s="228"/>
      <c r="K33" s="228"/>
      <c r="L33" s="228"/>
      <c r="M33" s="373"/>
    </row>
    <row r="34" spans="2:18" ht="22.2" customHeight="1" thickBot="1" x14ac:dyDescent="0.3">
      <c r="B34" s="365"/>
      <c r="C34" s="738" t="s">
        <v>613</v>
      </c>
      <c r="D34" s="301"/>
      <c r="E34" s="450">
        <f>SUM(E26:E32)</f>
        <v>0</v>
      </c>
      <c r="F34" s="711"/>
      <c r="G34" s="815" t="str">
        <f>IF(Standard!$BR$243="sì","Dose Standard complessiva kg/ha","Dose Standard kg/ha")</f>
        <v>Dose Standard kg/ha</v>
      </c>
      <c r="H34" s="739">
        <f ca="1">IF(OR(P5=1,P5=15,P5=16),"Vedi Bilancio",IF(P26&lt;1,"vedi dose allevamento",IF(Standard!F243="nd","nd",IF(Gri_K!K38="media",Standard!K243,IF(Gri_K!K38="elevata",Standard!M243,IF(Gri_K!K38="molto bassa",Standard!N243,Standard!L243))))))</f>
        <v>120</v>
      </c>
      <c r="I34" s="228"/>
      <c r="J34" s="228"/>
      <c r="K34" s="738" t="s">
        <v>614</v>
      </c>
      <c r="L34" s="301"/>
      <c r="M34" s="455">
        <f>SUM(M26:M32)</f>
        <v>0</v>
      </c>
      <c r="O34" s="798" t="s">
        <v>1215</v>
      </c>
      <c r="P34" s="401"/>
    </row>
    <row r="35" spans="2:18" ht="13.8" thickBot="1" x14ac:dyDescent="0.3">
      <c r="B35" s="365"/>
      <c r="C35" s="228"/>
      <c r="D35" s="228"/>
      <c r="E35" s="228"/>
      <c r="F35" s="486"/>
      <c r="G35" s="486"/>
      <c r="H35" s="358"/>
      <c r="I35" s="358"/>
      <c r="J35" s="228"/>
      <c r="K35" s="228"/>
      <c r="L35" s="228"/>
      <c r="M35" s="373"/>
      <c r="O35" s="816" t="s">
        <v>1192</v>
      </c>
      <c r="P35" s="817">
        <f ca="1">Bilancio!J33</f>
        <v>139.39999999999998</v>
      </c>
    </row>
    <row r="36" spans="2:18" ht="16.2" thickBot="1" x14ac:dyDescent="0.35">
      <c r="B36" s="365"/>
      <c r="C36" s="228"/>
      <c r="D36" s="228"/>
      <c r="E36" s="228"/>
      <c r="F36" s="228"/>
      <c r="G36" s="800" t="s">
        <v>612</v>
      </c>
      <c r="H36" s="735">
        <f ca="1">IF(H34="Vedi Bilancio",P35,IF(P26=0.3,Standard!BO243,IF(P26=0.5,Standard!BP243,IF(P26&lt;1," ",IF((H34+M34-E34)&gt;0,(H34+M34-E34),0)))))</f>
        <v>120</v>
      </c>
      <c r="I36" s="733"/>
      <c r="J36" s="228"/>
      <c r="K36" s="228"/>
      <c r="L36" s="228"/>
      <c r="M36" s="373"/>
      <c r="O36" s="818" t="s">
        <v>1193</v>
      </c>
      <c r="P36" s="819">
        <f ca="1">Bilancio!J31</f>
        <v>139.39999999999998</v>
      </c>
    </row>
    <row r="37" spans="2:18" ht="15.75" customHeight="1" thickBot="1" x14ac:dyDescent="0.3">
      <c r="B37" s="805"/>
      <c r="C37" s="360" t="str">
        <f>IF(P$3="sì","Concimazione in allevamento"," ")</f>
        <v xml:space="preserve"> </v>
      </c>
      <c r="D37" s="806" t="str">
        <f>IF($P$5=2,"1 anno ",IF(P5=3,"2 anno"," "))</f>
        <v xml:space="preserve"> </v>
      </c>
      <c r="E37" s="360"/>
      <c r="F37" s="360"/>
      <c r="G37" s="807" t="str">
        <f>IF(P3="no"," ",IF(P5=2,Standard!BO243,Standard!BP247))</f>
        <v xml:space="preserve"> </v>
      </c>
      <c r="H37" s="807"/>
      <c r="I37" s="182"/>
      <c r="J37" s="360"/>
      <c r="K37" s="360"/>
      <c r="L37" s="182"/>
      <c r="M37" s="607"/>
      <c r="R37" s="739"/>
    </row>
    <row r="38" spans="2:18" ht="13.2" customHeight="1" x14ac:dyDescent="0.25">
      <c r="B38" s="1063" t="str">
        <f>IF(Gri_K!K36="Sì","La dotazione di K è stata corretta in relazione al rapporto Mg/K e alla CSC"," ")</f>
        <v xml:space="preserve"> </v>
      </c>
      <c r="C38" s="1063"/>
      <c r="D38" s="1063"/>
      <c r="E38" s="1063"/>
      <c r="F38" s="1063"/>
      <c r="G38" s="1063"/>
      <c r="H38" s="1063"/>
      <c r="I38" s="1063"/>
      <c r="J38" s="1063"/>
    </row>
    <row r="39" spans="2:18" x14ac:dyDescent="0.25">
      <c r="B39" s="820"/>
      <c r="C39" s="820"/>
    </row>
  </sheetData>
  <sheetProtection algorithmName="SHA-512" hashValue="CNi90b7kpc3laSBIzDXrOCFJzpzq0NN2iesb33z/VQmoEUQoIoh8LtUny4lnQwL2fYl55DH1zihHyOU+2rHLrA==" saltValue="EQF01Zt1fERpy7l0Dzrh/w==" spinCount="100000" sheet="1" objects="1" scenarios="1"/>
  <mergeCells count="3">
    <mergeCell ref="B38:J38"/>
    <mergeCell ref="G27:H27"/>
    <mergeCell ref="G26:H26"/>
  </mergeCells>
  <phoneticPr fontId="2" type="noConversion"/>
  <conditionalFormatting sqref="G37:H37">
    <cfRule type="expression" dxfId="30" priority="7" stopIfTrue="1">
      <formula>$P$13&lt;1</formula>
    </cfRule>
  </conditionalFormatting>
  <conditionalFormatting sqref="C24 G24:H24 C37">
    <cfRule type="expression" dxfId="29" priority="8" stopIfTrue="1">
      <formula>$P$9&lt;1</formula>
    </cfRule>
  </conditionalFormatting>
  <conditionalFormatting sqref="H13 H11 H22">
    <cfRule type="expression" dxfId="28" priority="9" stopIfTrue="1">
      <formula>$P$9=1</formula>
    </cfRule>
  </conditionalFormatting>
  <conditionalFormatting sqref="F24:F25">
    <cfRule type="expression" dxfId="27" priority="10" stopIfTrue="1">
      <formula>$G$24=" "</formula>
    </cfRule>
  </conditionalFormatting>
  <conditionalFormatting sqref="L31 L17:L18">
    <cfRule type="expression" dxfId="26" priority="11" stopIfTrue="1">
      <formula>$K$17=" "</formula>
    </cfRule>
  </conditionalFormatting>
  <conditionalFormatting sqref="L29 L15">
    <cfRule type="expression" dxfId="25" priority="12" stopIfTrue="1">
      <formula>$K$15=" "</formula>
    </cfRule>
  </conditionalFormatting>
  <conditionalFormatting sqref="D29 D15">
    <cfRule type="expression" dxfId="24" priority="13" stopIfTrue="1">
      <formula>$C$15=" "</formula>
    </cfRule>
  </conditionalFormatting>
  <conditionalFormatting sqref="D31">
    <cfRule type="expression" dxfId="23" priority="14" stopIfTrue="1">
      <formula>$C$17=" "</formula>
    </cfRule>
  </conditionalFormatting>
  <conditionalFormatting sqref="D11:D12">
    <cfRule type="expression" dxfId="22" priority="15" stopIfTrue="1">
      <formula>$C$11=" "</formula>
    </cfRule>
  </conditionalFormatting>
  <conditionalFormatting sqref="L11">
    <cfRule type="expression" dxfId="21" priority="16" stopIfTrue="1">
      <formula>$K$11=" "</formula>
    </cfRule>
  </conditionalFormatting>
  <conditionalFormatting sqref="L16 L14">
    <cfRule type="expression" dxfId="20" priority="17" stopIfTrue="1">
      <formula>$K$13=" "</formula>
    </cfRule>
  </conditionalFormatting>
  <conditionalFormatting sqref="D13">
    <cfRule type="expression" dxfId="19" priority="18" stopIfTrue="1">
      <formula>$C$13=" "</formula>
    </cfRule>
  </conditionalFormatting>
  <conditionalFormatting sqref="D28 D30 D32">
    <cfRule type="expression" dxfId="18" priority="19" stopIfTrue="1">
      <formula>$C28=" "</formula>
    </cfRule>
  </conditionalFormatting>
  <conditionalFormatting sqref="L28">
    <cfRule type="expression" dxfId="17" priority="20" stopIfTrue="1">
      <formula>$K$28=" "</formula>
    </cfRule>
  </conditionalFormatting>
  <conditionalFormatting sqref="L30">
    <cfRule type="expression" dxfId="16" priority="21" stopIfTrue="1">
      <formula>$K$30=" "</formula>
    </cfRule>
  </conditionalFormatting>
  <conditionalFormatting sqref="L19">
    <cfRule type="expression" dxfId="15" priority="22" stopIfTrue="1">
      <formula>$K$19=" "</formula>
    </cfRule>
  </conditionalFormatting>
  <conditionalFormatting sqref="L13">
    <cfRule type="expression" dxfId="14" priority="23" stopIfTrue="1">
      <formula>$K$13=" "</formula>
    </cfRule>
  </conditionalFormatting>
  <conditionalFormatting sqref="B39:C39 B38">
    <cfRule type="expression" dxfId="13" priority="5">
      <formula>$Q$27=Sì</formula>
    </cfRule>
  </conditionalFormatting>
  <conditionalFormatting sqref="L32">
    <cfRule type="expression" dxfId="12" priority="4" stopIfTrue="1">
      <formula>$K$32=" "</formula>
    </cfRule>
  </conditionalFormatting>
  <conditionalFormatting sqref="H34">
    <cfRule type="expression" dxfId="11" priority="3" stopIfTrue="1">
      <formula>$P$9=1</formula>
    </cfRule>
  </conditionalFormatting>
  <conditionalFormatting sqref="R37">
    <cfRule type="expression" dxfId="10" priority="2" stopIfTrue="1">
      <formula>$P$9=1</formula>
    </cfRule>
  </conditionalFormatting>
  <conditionalFormatting sqref="Q12">
    <cfRule type="expression" dxfId="9" priority="1" stopIfTrue="1">
      <formula>$P$9=1</formula>
    </cfRule>
  </conditionalFormatting>
  <pageMargins left="0.74803149606299213" right="0.74803149606299213" top="0.98425196850393704" bottom="0.98425196850393704" header="0.51181102362204722" footer="0.51181102362204722"/>
  <pageSetup paperSize="9" scale="79" orientation="landscape" r:id="rId1"/>
  <headerFooter alignWithMargins="0">
    <oddFooter>&amp;C&amp;F&amp;R&amp;D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1</xdr:col>
                    <xdr:colOff>365760</xdr:colOff>
                    <xdr:row>10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10</xdr:row>
                    <xdr:rowOff>22860</xdr:rowOff>
                  </from>
                  <to>
                    <xdr:col>9</xdr:col>
                    <xdr:colOff>335280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locked="0" defaultSize="0" autoFill="0" autoLine="0" autoPict="0">
                <anchor moveWithCells="1">
                  <from>
                    <xdr:col>9</xdr:col>
                    <xdr:colOff>30480</xdr:colOff>
                    <xdr:row>16</xdr:row>
                    <xdr:rowOff>0</xdr:rowOff>
                  </from>
                  <to>
                    <xdr:col>9</xdr:col>
                    <xdr:colOff>342900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Check Box 6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22860</xdr:rowOff>
                  </from>
                  <to>
                    <xdr:col>1</xdr:col>
                    <xdr:colOff>365760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Check Box 7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13</xdr:row>
                    <xdr:rowOff>30480</xdr:rowOff>
                  </from>
                  <to>
                    <xdr:col>9</xdr:col>
                    <xdr:colOff>335280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Check Box 8">
              <controlPr locked="0" defaultSize="0" autoFill="0" autoLine="0" autoPict="0">
                <anchor moveWithCells="1">
                  <from>
                    <xdr:col>1</xdr:col>
                    <xdr:colOff>22860</xdr:colOff>
                    <xdr:row>14</xdr:row>
                    <xdr:rowOff>22860</xdr:rowOff>
                  </from>
                  <to>
                    <xdr:col>1</xdr:col>
                    <xdr:colOff>335280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27</xdr:row>
                    <xdr:rowOff>30480</xdr:rowOff>
                  </from>
                  <to>
                    <xdr:col>9</xdr:col>
                    <xdr:colOff>335280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locked="0" defaultSize="0" autoFill="0" autoLine="0" autoPict="0">
                <anchor moveWithCells="1">
                  <from>
                    <xdr:col>1</xdr:col>
                    <xdr:colOff>22860</xdr:colOff>
                    <xdr:row>27</xdr:row>
                    <xdr:rowOff>22860</xdr:rowOff>
                  </from>
                  <to>
                    <xdr:col>1</xdr:col>
                    <xdr:colOff>335280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locked="0" defaultSize="0" autoFill="0" autoLine="0" autoPict="0">
                <anchor moveWithCells="1">
                  <from>
                    <xdr:col>9</xdr:col>
                    <xdr:colOff>22860</xdr:colOff>
                    <xdr:row>29</xdr:row>
                    <xdr:rowOff>22860</xdr:rowOff>
                  </from>
                  <to>
                    <xdr:col>9</xdr:col>
                    <xdr:colOff>335280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locked="0" defaultSize="0" autoFill="0" autoLine="0" autoPict="0">
                <anchor moveWithCells="1">
                  <from>
                    <xdr:col>1</xdr:col>
                    <xdr:colOff>60960</xdr:colOff>
                    <xdr:row>29</xdr:row>
                    <xdr:rowOff>30480</xdr:rowOff>
                  </from>
                  <to>
                    <xdr:col>1</xdr:col>
                    <xdr:colOff>365760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locked="0" defaultSize="0" autoFill="0" autoLine="0" autoPict="0">
                <anchor moveWithCells="1">
                  <from>
                    <xdr:col>1</xdr:col>
                    <xdr:colOff>60960</xdr:colOff>
                    <xdr:row>31</xdr:row>
                    <xdr:rowOff>38100</xdr:rowOff>
                  </from>
                  <to>
                    <xdr:col>1</xdr:col>
                    <xdr:colOff>373380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9</xdr:col>
                    <xdr:colOff>60960</xdr:colOff>
                    <xdr:row>31</xdr:row>
                    <xdr:rowOff>30480</xdr:rowOff>
                  </from>
                  <to>
                    <xdr:col>9</xdr:col>
                    <xdr:colOff>297180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1"/>
  <dimension ref="A1:CD247"/>
  <sheetViews>
    <sheetView topLeftCell="O1" zoomScale="90" zoomScaleNormal="90" workbookViewId="0">
      <pane ySplit="3" topLeftCell="A13" activePane="bottomLeft" state="frozen"/>
      <selection activeCell="AZ1" sqref="AZ1"/>
      <selection pane="bottomLeft" activeCell="O1" sqref="A1:XFD1048576"/>
    </sheetView>
  </sheetViews>
  <sheetFormatPr defaultRowHeight="13.2" x14ac:dyDescent="0.25"/>
  <cols>
    <col min="1" max="1" width="6.6640625" style="32" customWidth="1"/>
    <col min="2" max="2" width="5.6640625" style="32" customWidth="1"/>
    <col min="3" max="3" width="41.5546875" style="32" customWidth="1"/>
    <col min="4" max="4" width="16.33203125" style="32" customWidth="1"/>
    <col min="5" max="5" width="10" style="32" bestFit="1" customWidth="1"/>
    <col min="6" max="6" width="7.44140625" style="1224" customWidth="1"/>
    <col min="7" max="7" width="6.6640625" style="1225" bestFit="1" customWidth="1"/>
    <col min="8" max="10" width="4.5546875" style="1225" bestFit="1" customWidth="1"/>
    <col min="11" max="11" width="4.5546875" style="1226" customWidth="1"/>
    <col min="12" max="12" width="5.6640625" style="1226" bestFit="1" customWidth="1"/>
    <col min="13" max="13" width="4.5546875" style="1226" bestFit="1" customWidth="1"/>
    <col min="14" max="14" width="5.6640625" style="1226" bestFit="1" customWidth="1"/>
    <col min="15" max="15" width="5.33203125" style="32" customWidth="1"/>
    <col min="16" max="18" width="3.33203125" style="1224" bestFit="1" customWidth="1"/>
    <col min="19" max="19" width="3.33203125" style="1224" customWidth="1"/>
    <col min="20" max="20" width="3.33203125" style="1224" bestFit="1" customWidth="1"/>
    <col min="21" max="21" width="3.5546875" style="1224" customWidth="1"/>
    <col min="22" max="22" width="3.6640625" style="1224" bestFit="1" customWidth="1"/>
    <col min="23" max="23" width="3.33203125" style="1224" bestFit="1" customWidth="1"/>
    <col min="24" max="24" width="3.33203125" style="1225" bestFit="1" customWidth="1"/>
    <col min="25" max="27" width="3.33203125" style="1225" customWidth="1"/>
    <col min="28" max="28" width="3.33203125" style="1225" bestFit="1" customWidth="1"/>
    <col min="29" max="29" width="3.33203125" style="1226" bestFit="1" customWidth="1"/>
    <col min="30" max="31" width="3.33203125" style="1226" customWidth="1"/>
    <col min="32" max="32" width="3.33203125" style="1226" bestFit="1" customWidth="1"/>
    <col min="33" max="33" width="4" style="1226" bestFit="1" customWidth="1"/>
    <col min="34" max="34" width="4.6640625" style="32" customWidth="1"/>
    <col min="35" max="39" width="3.33203125" style="1224" bestFit="1" customWidth="1"/>
    <col min="40" max="40" width="4" style="1224" bestFit="1" customWidth="1"/>
    <col min="41" max="41" width="4.5546875" style="1224" customWidth="1"/>
    <col min="42" max="42" width="3.33203125" style="1224" bestFit="1" customWidth="1"/>
    <col min="43" max="43" width="3.33203125" style="1224" customWidth="1"/>
    <col min="44" max="44" width="4" style="1224" bestFit="1" customWidth="1"/>
    <col min="45" max="45" width="4" style="1224" customWidth="1"/>
    <col min="46" max="46" width="3.44140625" style="1224" customWidth="1"/>
    <col min="47" max="47" width="4.33203125" style="1224" customWidth="1"/>
    <col min="48" max="51" width="3.33203125" style="1225" bestFit="1" customWidth="1"/>
    <col min="52" max="52" width="3.33203125" style="1225" customWidth="1"/>
    <col min="53" max="54" width="3.33203125" style="1225" bestFit="1" customWidth="1"/>
    <col min="55" max="56" width="3.33203125" style="1226" bestFit="1" customWidth="1"/>
    <col min="57" max="57" width="3.33203125" style="1226" customWidth="1"/>
    <col min="58" max="58" width="4" style="1226" bestFit="1" customWidth="1"/>
    <col min="59" max="59" width="10.5546875" style="1226" bestFit="1" customWidth="1"/>
    <col min="60" max="60" width="5.33203125" style="1229" customWidth="1"/>
    <col min="61" max="61" width="5" style="1224" bestFit="1" customWidth="1"/>
    <col min="62" max="62" width="10.5546875" style="1224" bestFit="1" customWidth="1"/>
    <col min="63" max="63" width="3.33203125" style="1224" customWidth="1"/>
    <col min="64" max="64" width="3.44140625" style="1230" bestFit="1" customWidth="1"/>
    <col min="65" max="65" width="10.5546875" style="1230" bestFit="1" customWidth="1"/>
    <col min="66" max="66" width="3.33203125" style="1230" customWidth="1"/>
    <col min="67" max="67" width="3.6640625" style="1229" customWidth="1"/>
    <col min="68" max="68" width="10.5546875" style="1229" bestFit="1" customWidth="1"/>
    <col min="69" max="69" width="10.5546875" style="1231" bestFit="1" customWidth="1"/>
    <col min="70" max="70" width="3.6640625" style="32" bestFit="1" customWidth="1"/>
    <col min="71" max="71" width="9" style="1232" customWidth="1"/>
    <col min="72" max="72" width="11" style="32" customWidth="1"/>
    <col min="73" max="73" width="3.33203125" style="32" bestFit="1" customWidth="1"/>
    <col min="74" max="74" width="10.33203125" style="32" customWidth="1"/>
    <col min="75" max="78" width="4.6640625" style="1229" customWidth="1"/>
    <col min="79" max="79" width="3.33203125" style="1232" customWidth="1"/>
    <col min="80" max="82" width="3.6640625" style="1232" customWidth="1"/>
    <col min="83" max="16384" width="8.88671875" style="32"/>
  </cols>
  <sheetData>
    <row r="1" spans="1:82" s="30" customFormat="1" ht="12" customHeight="1" x14ac:dyDescent="0.25">
      <c r="E1" s="1208" t="s">
        <v>593</v>
      </c>
      <c r="F1" s="1209" t="s">
        <v>243</v>
      </c>
      <c r="G1" s="1210" t="s">
        <v>324</v>
      </c>
      <c r="H1" s="1210" t="s">
        <v>324</v>
      </c>
      <c r="I1" s="1210" t="s">
        <v>324</v>
      </c>
      <c r="J1" s="1211" t="s">
        <v>324</v>
      </c>
      <c r="K1" s="1212" t="s">
        <v>351</v>
      </c>
      <c r="L1" s="1212" t="s">
        <v>351</v>
      </c>
      <c r="M1" s="1212" t="s">
        <v>351</v>
      </c>
      <c r="N1" s="1213" t="s">
        <v>351</v>
      </c>
      <c r="O1" s="1214" t="s">
        <v>593</v>
      </c>
      <c r="P1" s="1215" t="s">
        <v>243</v>
      </c>
      <c r="Q1" s="1215" t="s">
        <v>243</v>
      </c>
      <c r="R1" s="1215" t="s">
        <v>243</v>
      </c>
      <c r="S1" s="1215" t="s">
        <v>243</v>
      </c>
      <c r="T1" s="1215"/>
      <c r="U1" s="1215" t="s">
        <v>243</v>
      </c>
      <c r="V1" s="1215" t="s">
        <v>243</v>
      </c>
      <c r="W1" s="1216" t="s">
        <v>243</v>
      </c>
      <c r="X1" s="1210" t="s">
        <v>324</v>
      </c>
      <c r="Y1" s="1210" t="s">
        <v>324</v>
      </c>
      <c r="Z1" s="1210" t="s">
        <v>324</v>
      </c>
      <c r="AA1" s="1210" t="s">
        <v>324</v>
      </c>
      <c r="AB1" s="1211" t="s">
        <v>324</v>
      </c>
      <c r="AC1" s="1212" t="s">
        <v>351</v>
      </c>
      <c r="AD1" s="1212" t="s">
        <v>351</v>
      </c>
      <c r="AE1" s="1212" t="s">
        <v>351</v>
      </c>
      <c r="AF1" s="1212" t="s">
        <v>351</v>
      </c>
      <c r="AG1" s="1213" t="s">
        <v>351</v>
      </c>
      <c r="AH1" s="1214" t="s">
        <v>593</v>
      </c>
      <c r="AI1" s="1215" t="s">
        <v>243</v>
      </c>
      <c r="AJ1" s="1215" t="s">
        <v>243</v>
      </c>
      <c r="AK1" s="1215" t="s">
        <v>243</v>
      </c>
      <c r="AL1" s="1215" t="s">
        <v>243</v>
      </c>
      <c r="AM1" s="1215" t="s">
        <v>243</v>
      </c>
      <c r="AN1" s="1215" t="s">
        <v>243</v>
      </c>
      <c r="AO1" s="1215" t="s">
        <v>243</v>
      </c>
      <c r="AP1" s="1215" t="s">
        <v>243</v>
      </c>
      <c r="AQ1" s="1215" t="s">
        <v>243</v>
      </c>
      <c r="AR1" s="1215" t="s">
        <v>243</v>
      </c>
      <c r="AS1" s="1215" t="s">
        <v>243</v>
      </c>
      <c r="AT1" s="1215" t="s">
        <v>243</v>
      </c>
      <c r="AU1" s="1209" t="s">
        <v>243</v>
      </c>
      <c r="AV1" s="1210" t="s">
        <v>324</v>
      </c>
      <c r="AW1" s="1210" t="s">
        <v>324</v>
      </c>
      <c r="AX1" s="1210" t="s">
        <v>324</v>
      </c>
      <c r="AY1" s="1210" t="s">
        <v>324</v>
      </c>
      <c r="AZ1" s="1210" t="s">
        <v>324</v>
      </c>
      <c r="BA1" s="1210" t="s">
        <v>324</v>
      </c>
      <c r="BB1" s="1211" t="s">
        <v>324</v>
      </c>
      <c r="BC1" s="1212" t="s">
        <v>351</v>
      </c>
      <c r="BD1" s="1212" t="s">
        <v>351</v>
      </c>
      <c r="BE1" s="1212" t="s">
        <v>351</v>
      </c>
      <c r="BF1" s="1212" t="s">
        <v>351</v>
      </c>
      <c r="BG1" s="1217" t="s">
        <v>351</v>
      </c>
      <c r="BH1" s="1218"/>
      <c r="BI1" s="1219"/>
      <c r="BJ1" s="1219"/>
      <c r="BK1" s="1219"/>
      <c r="BL1" s="1220"/>
      <c r="BM1" s="1220"/>
      <c r="BN1" s="1220"/>
      <c r="BO1" s="1221"/>
      <c r="BP1" s="1221"/>
      <c r="BQ1" s="1218"/>
      <c r="BR1" s="1214"/>
      <c r="BS1" s="1222" t="s">
        <v>1516</v>
      </c>
      <c r="BV1" s="1223"/>
      <c r="BW1" s="1221" t="s">
        <v>1515</v>
      </c>
      <c r="BX1" s="1218"/>
      <c r="BY1" s="1221"/>
      <c r="BZ1" s="1221"/>
      <c r="CA1" s="1222"/>
      <c r="CB1" s="1222"/>
      <c r="CC1" s="1222"/>
      <c r="CD1" s="1222"/>
    </row>
    <row r="2" spans="1:82" x14ac:dyDescent="0.25">
      <c r="E2" s="32" t="s">
        <v>20</v>
      </c>
      <c r="F2" s="1224" t="s">
        <v>593</v>
      </c>
      <c r="G2" s="1225" t="s">
        <v>594</v>
      </c>
      <c r="H2" s="1225" t="s">
        <v>595</v>
      </c>
      <c r="I2" s="1225" t="s">
        <v>596</v>
      </c>
      <c r="J2" s="1225" t="s">
        <v>594</v>
      </c>
      <c r="K2" s="1226" t="s">
        <v>597</v>
      </c>
      <c r="L2" s="1226" t="s">
        <v>596</v>
      </c>
      <c r="N2" s="1227"/>
      <c r="O2" s="932" t="s">
        <v>285</v>
      </c>
      <c r="P2" s="1224" t="s">
        <v>598</v>
      </c>
      <c r="Q2" s="1224" t="s">
        <v>596</v>
      </c>
      <c r="R2" s="1224" t="s">
        <v>599</v>
      </c>
      <c r="S2" s="1224" t="s">
        <v>600</v>
      </c>
      <c r="T2" s="1224" t="s">
        <v>598</v>
      </c>
      <c r="U2" s="1224" t="s">
        <v>601</v>
      </c>
      <c r="V2" s="1224" t="s">
        <v>595</v>
      </c>
      <c r="W2" s="1224" t="s">
        <v>598</v>
      </c>
      <c r="AG2" s="1227"/>
      <c r="AH2" s="32" t="s">
        <v>287</v>
      </c>
      <c r="AI2" s="1224" t="s">
        <v>595</v>
      </c>
      <c r="AJ2" s="1224" t="s">
        <v>602</v>
      </c>
      <c r="AK2" s="1224" t="s">
        <v>597</v>
      </c>
      <c r="AL2" s="1224" t="s">
        <v>603</v>
      </c>
      <c r="AM2" s="1224" t="s">
        <v>604</v>
      </c>
      <c r="AN2" s="1224" t="s">
        <v>603</v>
      </c>
      <c r="AO2" s="1224" t="s">
        <v>595</v>
      </c>
      <c r="AP2" s="1224" t="s">
        <v>593</v>
      </c>
      <c r="AQ2" s="1224" t="s">
        <v>598</v>
      </c>
      <c r="BG2" s="1228"/>
      <c r="BR2" s="61"/>
      <c r="BV2" s="60"/>
    </row>
    <row r="3" spans="1:82" ht="220.2" x14ac:dyDescent="0.25">
      <c r="A3" s="1233" t="s">
        <v>23</v>
      </c>
      <c r="B3" s="217" t="s">
        <v>24</v>
      </c>
      <c r="C3" s="7" t="s">
        <v>25</v>
      </c>
      <c r="D3" s="714" t="s">
        <v>1208</v>
      </c>
      <c r="E3" s="736" t="s">
        <v>577</v>
      </c>
      <c r="F3" s="747" t="s">
        <v>578</v>
      </c>
      <c r="G3" s="748" t="s">
        <v>579</v>
      </c>
      <c r="H3" s="748" t="s">
        <v>581</v>
      </c>
      <c r="I3" s="748" t="s">
        <v>580</v>
      </c>
      <c r="J3" s="749" t="s">
        <v>621</v>
      </c>
      <c r="K3" s="750" t="s">
        <v>1521</v>
      </c>
      <c r="L3" s="750" t="s">
        <v>1522</v>
      </c>
      <c r="M3" s="750" t="s">
        <v>1523</v>
      </c>
      <c r="N3" s="751" t="s">
        <v>1524</v>
      </c>
      <c r="O3" s="737" t="s">
        <v>606</v>
      </c>
      <c r="P3" s="746" t="s">
        <v>582</v>
      </c>
      <c r="Q3" s="746" t="s">
        <v>607</v>
      </c>
      <c r="R3" s="746" t="s">
        <v>642</v>
      </c>
      <c r="S3" s="746" t="s">
        <v>608</v>
      </c>
      <c r="T3" s="746" t="s">
        <v>1020</v>
      </c>
      <c r="U3" s="746" t="s">
        <v>625</v>
      </c>
      <c r="V3" s="746" t="s">
        <v>626</v>
      </c>
      <c r="W3" s="747" t="s">
        <v>640</v>
      </c>
      <c r="X3" s="748" t="s">
        <v>583</v>
      </c>
      <c r="Y3" s="748" t="s">
        <v>607</v>
      </c>
      <c r="Z3" s="748" t="s">
        <v>608</v>
      </c>
      <c r="AA3" s="748" t="s">
        <v>640</v>
      </c>
      <c r="AB3" s="749" t="s">
        <v>644</v>
      </c>
      <c r="AC3" s="750" t="s">
        <v>584</v>
      </c>
      <c r="AD3" s="750" t="s">
        <v>607</v>
      </c>
      <c r="AE3" s="750" t="s">
        <v>608</v>
      </c>
      <c r="AF3" s="750" t="s">
        <v>640</v>
      </c>
      <c r="AG3" s="751" t="s">
        <v>639</v>
      </c>
      <c r="AH3" s="216" t="s">
        <v>609</v>
      </c>
      <c r="AI3" s="746" t="s">
        <v>585</v>
      </c>
      <c r="AJ3" s="746" t="s">
        <v>610</v>
      </c>
      <c r="AK3" s="746" t="s">
        <v>643</v>
      </c>
      <c r="AL3" s="746" t="s">
        <v>586</v>
      </c>
      <c r="AM3" s="746" t="s">
        <v>611</v>
      </c>
      <c r="AN3" s="746" t="s">
        <v>632</v>
      </c>
      <c r="AO3" s="746" t="s">
        <v>994</v>
      </c>
      <c r="AP3" s="746" t="s">
        <v>1303</v>
      </c>
      <c r="AQ3" s="746" t="s">
        <v>1014</v>
      </c>
      <c r="AR3" s="746" t="s">
        <v>630</v>
      </c>
      <c r="AS3" s="746" t="s">
        <v>631</v>
      </c>
      <c r="AT3" s="746" t="s">
        <v>634</v>
      </c>
      <c r="AU3" s="747" t="s">
        <v>587</v>
      </c>
      <c r="AV3" s="748" t="s">
        <v>588</v>
      </c>
      <c r="AW3" s="748" t="s">
        <v>610</v>
      </c>
      <c r="AX3" s="748" t="s">
        <v>641</v>
      </c>
      <c r="AY3" s="748" t="s">
        <v>633</v>
      </c>
      <c r="AZ3" s="748" t="s">
        <v>619</v>
      </c>
      <c r="BA3" s="748" t="s">
        <v>634</v>
      </c>
      <c r="BB3" s="749" t="s">
        <v>589</v>
      </c>
      <c r="BC3" s="750" t="s">
        <v>591</v>
      </c>
      <c r="BD3" s="750" t="s">
        <v>629</v>
      </c>
      <c r="BE3" s="750" t="s">
        <v>590</v>
      </c>
      <c r="BF3" s="750" t="s">
        <v>634</v>
      </c>
      <c r="BG3" s="1234" t="s">
        <v>1463</v>
      </c>
      <c r="BH3" s="752" t="s">
        <v>592</v>
      </c>
      <c r="BI3" s="746" t="s">
        <v>1024</v>
      </c>
      <c r="BJ3" s="746" t="s">
        <v>1025</v>
      </c>
      <c r="BK3" s="746" t="s">
        <v>1257</v>
      </c>
      <c r="BL3" s="753" t="s">
        <v>1026</v>
      </c>
      <c r="BM3" s="753" t="s">
        <v>1027</v>
      </c>
      <c r="BN3" s="753" t="s">
        <v>1258</v>
      </c>
      <c r="BO3" s="752" t="s">
        <v>1028</v>
      </c>
      <c r="BP3" s="752" t="s">
        <v>1210</v>
      </c>
      <c r="BQ3" s="754" t="s">
        <v>1259</v>
      </c>
      <c r="BR3" s="731" t="s">
        <v>1511</v>
      </c>
      <c r="BS3" s="755" t="s">
        <v>1512</v>
      </c>
      <c r="BT3" s="715" t="s">
        <v>1513</v>
      </c>
      <c r="BU3" s="715" t="s">
        <v>1506</v>
      </c>
      <c r="BV3" s="732" t="s">
        <v>1514</v>
      </c>
      <c r="BW3" s="752" t="s">
        <v>1517</v>
      </c>
      <c r="BX3" s="752" t="s">
        <v>1518</v>
      </c>
      <c r="BY3" s="752" t="s">
        <v>1519</v>
      </c>
      <c r="BZ3" s="752" t="s">
        <v>1520</v>
      </c>
      <c r="CA3" s="755" t="s">
        <v>1528</v>
      </c>
      <c r="CB3" s="755" t="s">
        <v>1527</v>
      </c>
      <c r="CC3" s="755" t="s">
        <v>1526</v>
      </c>
      <c r="CD3" s="755" t="s">
        <v>1525</v>
      </c>
    </row>
    <row r="4" spans="1:82" s="88" customFormat="1" x14ac:dyDescent="0.25">
      <c r="A4" s="33">
        <v>1</v>
      </c>
      <c r="B4" s="930" t="str">
        <f>Coltura!C2</f>
        <v>A2</v>
      </c>
      <c r="C4" s="930" t="str">
        <f>Coltura!D2</f>
        <v>Actinidia polpa verde frutti, legno e foglie</v>
      </c>
      <c r="D4" s="41" t="s">
        <v>645</v>
      </c>
      <c r="E4" s="88">
        <v>25</v>
      </c>
      <c r="F4" s="1235">
        <v>120</v>
      </c>
      <c r="G4" s="1236">
        <v>50</v>
      </c>
      <c r="H4" s="1236">
        <v>100</v>
      </c>
      <c r="I4" s="1236">
        <v>20</v>
      </c>
      <c r="J4" s="1236">
        <v>100</v>
      </c>
      <c r="K4" s="1237">
        <v>130</v>
      </c>
      <c r="L4" s="1237">
        <v>200</v>
      </c>
      <c r="M4" s="1237">
        <v>75</v>
      </c>
      <c r="N4" s="1237">
        <v>200</v>
      </c>
      <c r="O4" s="88">
        <v>20</v>
      </c>
      <c r="P4" s="1235">
        <v>30</v>
      </c>
      <c r="Q4" s="1235">
        <v>20</v>
      </c>
      <c r="R4" s="1235">
        <v>20</v>
      </c>
      <c r="S4" s="1235">
        <v>20</v>
      </c>
      <c r="T4" s="1235">
        <v>0</v>
      </c>
      <c r="U4" s="1235">
        <v>0</v>
      </c>
      <c r="V4" s="1235">
        <v>0</v>
      </c>
      <c r="W4" s="1235">
        <v>0</v>
      </c>
      <c r="X4" s="1236">
        <v>10</v>
      </c>
      <c r="Y4" s="1236">
        <v>0</v>
      </c>
      <c r="Z4" s="1236">
        <v>0</v>
      </c>
      <c r="AA4" s="1236">
        <v>0</v>
      </c>
      <c r="AB4" s="1236">
        <v>0</v>
      </c>
      <c r="AC4" s="1237">
        <v>30</v>
      </c>
      <c r="AD4" s="1237">
        <v>0</v>
      </c>
      <c r="AE4" s="1237">
        <v>0</v>
      </c>
      <c r="AF4" s="1237">
        <v>0</v>
      </c>
      <c r="AG4" s="1237">
        <v>0</v>
      </c>
      <c r="AH4" s="88">
        <v>30</v>
      </c>
      <c r="AI4" s="1235">
        <v>30</v>
      </c>
      <c r="AJ4" s="1235">
        <v>20</v>
      </c>
      <c r="AK4" s="1235">
        <v>20</v>
      </c>
      <c r="AL4" s="1235">
        <v>0</v>
      </c>
      <c r="AM4" s="1235">
        <v>15</v>
      </c>
      <c r="AN4" s="1235">
        <v>0</v>
      </c>
      <c r="AO4" s="1235">
        <v>0</v>
      </c>
      <c r="AP4" s="1235">
        <v>0</v>
      </c>
      <c r="AQ4" s="1235">
        <v>0</v>
      </c>
      <c r="AR4" s="1235">
        <v>0</v>
      </c>
      <c r="AS4" s="1235">
        <v>0</v>
      </c>
      <c r="AT4" s="1235">
        <v>0</v>
      </c>
      <c r="AU4" s="1235">
        <v>40</v>
      </c>
      <c r="AV4" s="1236">
        <v>10</v>
      </c>
      <c r="AW4" s="1236">
        <v>20</v>
      </c>
      <c r="AX4" s="1236">
        <v>0</v>
      </c>
      <c r="AY4" s="1236">
        <v>0</v>
      </c>
      <c r="AZ4" s="1236">
        <v>30</v>
      </c>
      <c r="BA4" s="1236">
        <v>0</v>
      </c>
      <c r="BB4" s="1236">
        <v>60</v>
      </c>
      <c r="BC4" s="1237">
        <v>30</v>
      </c>
      <c r="BD4" s="1237">
        <v>0</v>
      </c>
      <c r="BE4" s="1237">
        <v>0</v>
      </c>
      <c r="BF4" s="1237">
        <v>0</v>
      </c>
      <c r="BG4" s="1238">
        <v>0</v>
      </c>
      <c r="BH4" s="1239">
        <v>30</v>
      </c>
      <c r="BI4" s="1235">
        <v>55</v>
      </c>
      <c r="BJ4" s="1235">
        <v>85</v>
      </c>
      <c r="BK4" s="1235">
        <v>0</v>
      </c>
      <c r="BL4" s="1240">
        <v>15</v>
      </c>
      <c r="BM4" s="1240">
        <v>25</v>
      </c>
      <c r="BN4" s="1240">
        <v>0</v>
      </c>
      <c r="BO4" s="1241">
        <v>20</v>
      </c>
      <c r="BP4" s="1239">
        <v>40</v>
      </c>
      <c r="BQ4" s="1242">
        <v>0</v>
      </c>
      <c r="BR4" s="1243" t="s">
        <v>570</v>
      </c>
      <c r="BS4" s="1244"/>
      <c r="BV4" s="1245"/>
      <c r="BW4" s="1239"/>
      <c r="BX4" s="1239"/>
      <c r="BY4" s="1239"/>
      <c r="BZ4" s="1239"/>
      <c r="CA4" s="1244"/>
      <c r="CB4" s="1244"/>
      <c r="CC4" s="1244"/>
      <c r="CD4" s="1244"/>
    </row>
    <row r="5" spans="1:82" s="88" customFormat="1" x14ac:dyDescent="0.25">
      <c r="A5" s="33">
        <v>2</v>
      </c>
      <c r="B5" s="930" t="str">
        <f>Coltura!C3</f>
        <v>Ab2</v>
      </c>
      <c r="C5" s="930" t="str">
        <f>Coltura!D3</f>
        <v>Actinidia polpa gialla frutti, legno e foglie</v>
      </c>
      <c r="D5" s="41" t="s">
        <v>645</v>
      </c>
      <c r="E5" s="88">
        <v>30</v>
      </c>
      <c r="F5" s="1235">
        <v>150</v>
      </c>
      <c r="G5" s="1236">
        <v>60</v>
      </c>
      <c r="H5" s="1236">
        <v>110</v>
      </c>
      <c r="I5" s="1236">
        <v>30</v>
      </c>
      <c r="J5" s="1236">
        <v>110</v>
      </c>
      <c r="K5" s="1237">
        <v>145</v>
      </c>
      <c r="L5" s="1237">
        <v>215</v>
      </c>
      <c r="M5" s="1237">
        <v>90</v>
      </c>
      <c r="N5" s="1237">
        <v>215</v>
      </c>
      <c r="O5" s="88">
        <v>25</v>
      </c>
      <c r="P5" s="1235">
        <v>30</v>
      </c>
      <c r="Q5" s="1235">
        <v>20</v>
      </c>
      <c r="R5" s="1235">
        <v>20</v>
      </c>
      <c r="S5" s="1235">
        <v>20</v>
      </c>
      <c r="T5" s="1235">
        <v>0</v>
      </c>
      <c r="U5" s="1235">
        <v>0</v>
      </c>
      <c r="V5" s="1235">
        <v>0</v>
      </c>
      <c r="W5" s="1235">
        <v>0</v>
      </c>
      <c r="X5" s="1236">
        <v>10</v>
      </c>
      <c r="Y5" s="1236">
        <v>0</v>
      </c>
      <c r="Z5" s="1236">
        <v>0</v>
      </c>
      <c r="AA5" s="1236">
        <v>0</v>
      </c>
      <c r="AB5" s="1236">
        <v>0</v>
      </c>
      <c r="AC5" s="1237">
        <v>30</v>
      </c>
      <c r="AD5" s="1237">
        <v>0</v>
      </c>
      <c r="AE5" s="1237">
        <v>0</v>
      </c>
      <c r="AF5" s="1237">
        <v>0</v>
      </c>
      <c r="AG5" s="1237">
        <v>0</v>
      </c>
      <c r="AH5" s="88">
        <v>35</v>
      </c>
      <c r="AI5" s="1235">
        <v>30</v>
      </c>
      <c r="AJ5" s="1235">
        <v>20</v>
      </c>
      <c r="AK5" s="1235">
        <v>20</v>
      </c>
      <c r="AL5" s="1235">
        <v>0</v>
      </c>
      <c r="AM5" s="1235">
        <v>15</v>
      </c>
      <c r="AN5" s="1235">
        <v>0</v>
      </c>
      <c r="AO5" s="1235">
        <v>0</v>
      </c>
      <c r="AP5" s="1235">
        <v>0</v>
      </c>
      <c r="AQ5" s="1235">
        <v>0</v>
      </c>
      <c r="AR5" s="1235">
        <v>0</v>
      </c>
      <c r="AS5" s="1235">
        <v>0</v>
      </c>
      <c r="AT5" s="1235">
        <v>0</v>
      </c>
      <c r="AU5" s="1235">
        <v>40</v>
      </c>
      <c r="AV5" s="1236">
        <v>10</v>
      </c>
      <c r="AW5" s="1236">
        <v>20</v>
      </c>
      <c r="AX5" s="1236">
        <v>0</v>
      </c>
      <c r="AY5" s="1236">
        <v>0</v>
      </c>
      <c r="AZ5" s="1236">
        <v>30</v>
      </c>
      <c r="BA5" s="1236">
        <v>0</v>
      </c>
      <c r="BB5" s="1236">
        <v>60</v>
      </c>
      <c r="BC5" s="1237">
        <v>30</v>
      </c>
      <c r="BD5" s="1237">
        <v>0</v>
      </c>
      <c r="BE5" s="1237">
        <v>0</v>
      </c>
      <c r="BF5" s="1237">
        <v>0</v>
      </c>
      <c r="BG5" s="1238">
        <v>0</v>
      </c>
      <c r="BH5" s="1239">
        <v>30</v>
      </c>
      <c r="BI5" s="1235">
        <v>55</v>
      </c>
      <c r="BJ5" s="1235">
        <v>85</v>
      </c>
      <c r="BK5" s="1235">
        <v>0</v>
      </c>
      <c r="BL5" s="1240">
        <v>15</v>
      </c>
      <c r="BM5" s="1240">
        <v>25</v>
      </c>
      <c r="BN5" s="1240">
        <v>0</v>
      </c>
      <c r="BO5" s="1241">
        <v>20</v>
      </c>
      <c r="BP5" s="1239">
        <v>40</v>
      </c>
      <c r="BQ5" s="1242">
        <v>0</v>
      </c>
      <c r="BR5" s="1243" t="s">
        <v>570</v>
      </c>
      <c r="BS5" s="1244"/>
      <c r="BV5" s="1245"/>
      <c r="BW5" s="1239"/>
      <c r="BX5" s="1239"/>
      <c r="BY5" s="1239"/>
      <c r="BZ5" s="1239"/>
      <c r="CA5" s="1244"/>
      <c r="CB5" s="1244"/>
      <c r="CC5" s="1244"/>
      <c r="CD5" s="1244"/>
    </row>
    <row r="6" spans="1:82" s="88" customFormat="1" x14ac:dyDescent="0.25">
      <c r="A6" s="1246">
        <f>(A5+1)</f>
        <v>3</v>
      </c>
      <c r="B6" s="930" t="str">
        <f>Coltura!C4</f>
        <v>A4</v>
      </c>
      <c r="C6" s="930" t="str">
        <f>Coltura!D4</f>
        <v>Albicocco media produzione frutti, legno e foglie</v>
      </c>
      <c r="D6" s="41" t="s">
        <v>645</v>
      </c>
      <c r="E6" s="88">
        <v>13</v>
      </c>
      <c r="F6" s="1235">
        <v>75</v>
      </c>
      <c r="G6" s="1236">
        <v>30</v>
      </c>
      <c r="H6" s="1236">
        <v>40</v>
      </c>
      <c r="I6" s="1247">
        <v>15</v>
      </c>
      <c r="J6" s="1236">
        <v>80</v>
      </c>
      <c r="K6" s="1237">
        <v>90</v>
      </c>
      <c r="L6" s="1237">
        <v>120</v>
      </c>
      <c r="M6" s="1237">
        <v>35</v>
      </c>
      <c r="N6" s="1237">
        <v>120</v>
      </c>
      <c r="O6" s="88">
        <v>10</v>
      </c>
      <c r="P6" s="1235">
        <v>25</v>
      </c>
      <c r="Q6" s="1235">
        <v>20</v>
      </c>
      <c r="R6" s="1235">
        <v>20</v>
      </c>
      <c r="S6" s="1235">
        <v>20</v>
      </c>
      <c r="T6" s="1235">
        <v>0</v>
      </c>
      <c r="U6" s="1235">
        <v>0</v>
      </c>
      <c r="V6" s="1235">
        <v>0</v>
      </c>
      <c r="W6" s="1235">
        <v>0</v>
      </c>
      <c r="X6" s="1236">
        <v>10</v>
      </c>
      <c r="Y6" s="1236">
        <v>0</v>
      </c>
      <c r="Z6" s="1236">
        <v>0</v>
      </c>
      <c r="AA6" s="1236">
        <v>0</v>
      </c>
      <c r="AB6" s="1236">
        <v>0</v>
      </c>
      <c r="AC6" s="1237">
        <v>30</v>
      </c>
      <c r="AD6" s="1237">
        <v>30</v>
      </c>
      <c r="AE6" s="1237">
        <v>0</v>
      </c>
      <c r="AF6" s="1237">
        <v>0</v>
      </c>
      <c r="AG6" s="1237">
        <v>0</v>
      </c>
      <c r="AH6" s="88">
        <v>16</v>
      </c>
      <c r="AI6" s="1235">
        <v>25</v>
      </c>
      <c r="AJ6" s="1235">
        <v>20</v>
      </c>
      <c r="AK6" s="1235">
        <v>20</v>
      </c>
      <c r="AL6" s="1235">
        <v>0</v>
      </c>
      <c r="AM6" s="1235">
        <v>15</v>
      </c>
      <c r="AN6" s="1235">
        <v>0</v>
      </c>
      <c r="AO6" s="1235">
        <v>0</v>
      </c>
      <c r="AP6" s="1235">
        <v>0</v>
      </c>
      <c r="AQ6" s="1235">
        <v>0</v>
      </c>
      <c r="AR6" s="1235">
        <v>0</v>
      </c>
      <c r="AS6" s="1235">
        <v>0</v>
      </c>
      <c r="AT6" s="1235">
        <v>0</v>
      </c>
      <c r="AU6" s="1235">
        <v>50</v>
      </c>
      <c r="AV6" s="1236">
        <v>10</v>
      </c>
      <c r="AW6" s="1236">
        <v>10</v>
      </c>
      <c r="AX6" s="1236">
        <v>0</v>
      </c>
      <c r="AY6" s="1236">
        <v>0</v>
      </c>
      <c r="AZ6" s="1236">
        <v>20</v>
      </c>
      <c r="BA6" s="1236">
        <v>0</v>
      </c>
      <c r="BB6" s="1236">
        <v>40</v>
      </c>
      <c r="BC6" s="1237">
        <v>30</v>
      </c>
      <c r="BD6" s="1237">
        <v>0</v>
      </c>
      <c r="BE6" s="1237">
        <v>0</v>
      </c>
      <c r="BF6" s="1237">
        <v>0</v>
      </c>
      <c r="BG6" s="1238">
        <v>0</v>
      </c>
      <c r="BH6" s="1239">
        <v>30</v>
      </c>
      <c r="BI6" s="1235">
        <v>40</v>
      </c>
      <c r="BJ6" s="1235">
        <v>60</v>
      </c>
      <c r="BK6" s="1235">
        <v>0</v>
      </c>
      <c r="BL6" s="1240">
        <v>15</v>
      </c>
      <c r="BM6" s="1240">
        <v>25</v>
      </c>
      <c r="BN6" s="1240">
        <v>0</v>
      </c>
      <c r="BO6" s="1241">
        <v>20</v>
      </c>
      <c r="BP6" s="1239">
        <v>40</v>
      </c>
      <c r="BQ6" s="1242">
        <v>0</v>
      </c>
      <c r="BR6" s="1243" t="s">
        <v>570</v>
      </c>
      <c r="BS6" s="1244"/>
      <c r="BV6" s="1245"/>
      <c r="BW6" s="1239"/>
      <c r="BX6" s="1239"/>
      <c r="BY6" s="1239"/>
      <c r="BZ6" s="1239"/>
      <c r="CA6" s="1244"/>
      <c r="CB6" s="1244"/>
      <c r="CC6" s="1244"/>
      <c r="CD6" s="1244"/>
    </row>
    <row r="7" spans="1:82" s="88" customFormat="1" x14ac:dyDescent="0.25">
      <c r="A7" s="1246">
        <f t="shared" ref="A7:A73" si="0">(A6+1)</f>
        <v>4</v>
      </c>
      <c r="B7" s="930" t="str">
        <f>Coltura!C5</f>
        <v>A5</v>
      </c>
      <c r="C7" s="1191" t="str">
        <f>Coltura!D5</f>
        <v>Albicocco  alta produzione frutti, legno e foglie</v>
      </c>
      <c r="D7" s="41" t="s">
        <v>645</v>
      </c>
      <c r="E7" s="88">
        <v>18</v>
      </c>
      <c r="F7" s="1235">
        <v>100</v>
      </c>
      <c r="G7" s="1236">
        <v>40</v>
      </c>
      <c r="H7" s="1236">
        <v>50</v>
      </c>
      <c r="I7" s="1247">
        <v>25</v>
      </c>
      <c r="J7" s="1236">
        <v>80</v>
      </c>
      <c r="K7" s="1237">
        <v>100</v>
      </c>
      <c r="L7" s="1237">
        <v>130</v>
      </c>
      <c r="M7" s="1237">
        <v>50</v>
      </c>
      <c r="N7" s="1237">
        <v>130</v>
      </c>
      <c r="O7" s="88">
        <v>16</v>
      </c>
      <c r="P7" s="1235">
        <v>25</v>
      </c>
      <c r="Q7" s="1235">
        <v>20</v>
      </c>
      <c r="R7" s="1235">
        <v>20</v>
      </c>
      <c r="S7" s="1235">
        <v>20</v>
      </c>
      <c r="T7" s="1235">
        <v>0</v>
      </c>
      <c r="U7" s="1235">
        <v>0</v>
      </c>
      <c r="V7" s="1235">
        <v>0</v>
      </c>
      <c r="W7" s="1235">
        <v>0</v>
      </c>
      <c r="X7" s="1236">
        <v>10</v>
      </c>
      <c r="Y7" s="1236">
        <v>0</v>
      </c>
      <c r="Z7" s="1236">
        <v>0</v>
      </c>
      <c r="AA7" s="1236">
        <v>0</v>
      </c>
      <c r="AB7" s="1236">
        <v>0</v>
      </c>
      <c r="AC7" s="1237">
        <v>30</v>
      </c>
      <c r="AD7" s="1237">
        <v>30</v>
      </c>
      <c r="AE7" s="1237">
        <v>0</v>
      </c>
      <c r="AF7" s="1237">
        <v>0</v>
      </c>
      <c r="AG7" s="1237">
        <v>0</v>
      </c>
      <c r="AH7" s="88">
        <v>20</v>
      </c>
      <c r="AI7" s="1235">
        <v>25</v>
      </c>
      <c r="AJ7" s="1235">
        <v>20</v>
      </c>
      <c r="AK7" s="1235">
        <v>20</v>
      </c>
      <c r="AL7" s="1235">
        <v>0</v>
      </c>
      <c r="AM7" s="1235">
        <v>15</v>
      </c>
      <c r="AN7" s="1235">
        <v>0</v>
      </c>
      <c r="AO7" s="1235">
        <v>0</v>
      </c>
      <c r="AP7" s="1235">
        <v>0</v>
      </c>
      <c r="AQ7" s="1235">
        <v>0</v>
      </c>
      <c r="AR7" s="1235">
        <v>0</v>
      </c>
      <c r="AS7" s="1235">
        <v>0</v>
      </c>
      <c r="AT7" s="1235">
        <v>0</v>
      </c>
      <c r="AU7" s="1235">
        <v>50</v>
      </c>
      <c r="AV7" s="1236">
        <v>10</v>
      </c>
      <c r="AW7" s="1236">
        <v>10</v>
      </c>
      <c r="AX7" s="1236">
        <v>0</v>
      </c>
      <c r="AY7" s="1236">
        <v>0</v>
      </c>
      <c r="AZ7" s="1236">
        <v>20</v>
      </c>
      <c r="BA7" s="1236">
        <v>0</v>
      </c>
      <c r="BB7" s="1236">
        <v>40</v>
      </c>
      <c r="BC7" s="1237">
        <v>30</v>
      </c>
      <c r="BD7" s="1237">
        <v>0</v>
      </c>
      <c r="BE7" s="1237">
        <v>0</v>
      </c>
      <c r="BF7" s="1237">
        <v>0</v>
      </c>
      <c r="BG7" s="1238">
        <v>0</v>
      </c>
      <c r="BH7" s="1239">
        <v>30</v>
      </c>
      <c r="BI7" s="1235">
        <v>40</v>
      </c>
      <c r="BJ7" s="1235">
        <v>60</v>
      </c>
      <c r="BK7" s="1235">
        <v>0</v>
      </c>
      <c r="BL7" s="1240">
        <v>15</v>
      </c>
      <c r="BM7" s="1240">
        <v>25</v>
      </c>
      <c r="BN7" s="1240">
        <v>0</v>
      </c>
      <c r="BO7" s="1241">
        <v>20</v>
      </c>
      <c r="BP7" s="1239">
        <v>40</v>
      </c>
      <c r="BQ7" s="1242">
        <v>0</v>
      </c>
      <c r="BR7" s="1243" t="s">
        <v>570</v>
      </c>
      <c r="BS7" s="1244"/>
      <c r="BV7" s="1245"/>
      <c r="BW7" s="1239"/>
      <c r="BX7" s="1239"/>
      <c r="BY7" s="1239"/>
      <c r="BZ7" s="1239"/>
      <c r="CA7" s="1244"/>
      <c r="CB7" s="1244"/>
      <c r="CC7" s="1244"/>
      <c r="CD7" s="1244"/>
    </row>
    <row r="8" spans="1:82" x14ac:dyDescent="0.25">
      <c r="A8" s="1246">
        <f t="shared" si="0"/>
        <v>5</v>
      </c>
      <c r="B8" s="930" t="str">
        <f>Coltura!C6</f>
        <v>A6</v>
      </c>
      <c r="C8" s="930" t="str">
        <f>Coltura!D6</f>
        <v>Altri fruttiferi frutti, legno e foglie</v>
      </c>
      <c r="D8" s="41" t="s">
        <v>645</v>
      </c>
      <c r="E8" s="32" t="s">
        <v>645</v>
      </c>
      <c r="F8" s="1224" t="s">
        <v>645</v>
      </c>
      <c r="AH8" s="32" t="s">
        <v>645</v>
      </c>
      <c r="BA8" s="1248"/>
      <c r="BB8" s="1225">
        <v>0</v>
      </c>
      <c r="BF8" s="1249"/>
      <c r="BG8" s="1228"/>
      <c r="BH8" s="1229">
        <v>0</v>
      </c>
      <c r="BO8" s="1250"/>
      <c r="BR8" s="1251" t="s">
        <v>570</v>
      </c>
      <c r="BV8" s="60"/>
    </row>
    <row r="9" spans="1:82" x14ac:dyDescent="0.25">
      <c r="A9" s="1246">
        <f t="shared" si="0"/>
        <v>6</v>
      </c>
      <c r="B9" s="930" t="str">
        <f>Coltura!C7</f>
        <v>A8</v>
      </c>
      <c r="C9" s="930" t="str">
        <f>Coltura!D7</f>
        <v>Arancio frutti, legno e foglie</v>
      </c>
      <c r="D9" s="41" t="s">
        <v>645</v>
      </c>
      <c r="E9" s="32">
        <v>30</v>
      </c>
      <c r="F9" s="1224">
        <v>120</v>
      </c>
      <c r="G9" s="1225">
        <v>60</v>
      </c>
      <c r="H9" s="1225">
        <v>100</v>
      </c>
      <c r="I9" s="1225">
        <v>20</v>
      </c>
      <c r="J9" s="1225">
        <v>100</v>
      </c>
      <c r="K9" s="1226">
        <v>100</v>
      </c>
      <c r="L9" s="1226">
        <v>120</v>
      </c>
      <c r="M9" s="1226">
        <v>50</v>
      </c>
      <c r="N9" s="1226">
        <v>120</v>
      </c>
      <c r="O9" s="32">
        <v>24</v>
      </c>
      <c r="P9" s="1224">
        <v>15</v>
      </c>
      <c r="Q9" s="1224">
        <v>20</v>
      </c>
      <c r="R9" s="1224">
        <v>20</v>
      </c>
      <c r="S9" s="1224">
        <v>0</v>
      </c>
      <c r="T9" s="1224">
        <v>0</v>
      </c>
      <c r="U9" s="1224">
        <v>0</v>
      </c>
      <c r="V9" s="1224">
        <v>0</v>
      </c>
      <c r="W9" s="1224">
        <v>0</v>
      </c>
      <c r="X9" s="1225">
        <v>10</v>
      </c>
      <c r="Y9" s="1225">
        <v>10</v>
      </c>
      <c r="Z9" s="1225">
        <v>0</v>
      </c>
      <c r="AA9" s="1225">
        <v>0</v>
      </c>
      <c r="AB9" s="1225">
        <v>0</v>
      </c>
      <c r="AC9" s="1226">
        <v>25</v>
      </c>
      <c r="AD9" s="1226">
        <v>30</v>
      </c>
      <c r="AE9" s="1226">
        <v>0</v>
      </c>
      <c r="AF9" s="1226">
        <v>0</v>
      </c>
      <c r="AG9" s="1226">
        <v>0</v>
      </c>
      <c r="AH9" s="32">
        <v>36</v>
      </c>
      <c r="AI9" s="1224">
        <v>15</v>
      </c>
      <c r="AJ9" s="1224">
        <v>20</v>
      </c>
      <c r="AK9" s="1224">
        <v>20</v>
      </c>
      <c r="AL9" s="1224">
        <v>0</v>
      </c>
      <c r="AM9" s="1224">
        <v>15</v>
      </c>
      <c r="AN9" s="1224">
        <v>0</v>
      </c>
      <c r="AO9" s="1224">
        <v>0</v>
      </c>
      <c r="AP9" s="1224">
        <v>0</v>
      </c>
      <c r="AQ9" s="1224">
        <v>0</v>
      </c>
      <c r="AR9" s="1224">
        <v>0</v>
      </c>
      <c r="AS9" s="1224">
        <v>0</v>
      </c>
      <c r="AT9" s="1224">
        <v>0</v>
      </c>
      <c r="AU9" s="1224">
        <v>50</v>
      </c>
      <c r="AV9" s="1225">
        <v>10</v>
      </c>
      <c r="AW9" s="1225">
        <v>10</v>
      </c>
      <c r="AX9" s="1225">
        <v>0</v>
      </c>
      <c r="AY9" s="1225">
        <v>0</v>
      </c>
      <c r="AZ9" s="1225">
        <v>20</v>
      </c>
      <c r="BA9" s="1248">
        <v>0</v>
      </c>
      <c r="BB9" s="1225">
        <v>40</v>
      </c>
      <c r="BC9" s="1226">
        <v>25</v>
      </c>
      <c r="BD9" s="1226">
        <v>0</v>
      </c>
      <c r="BE9" s="1226">
        <v>0</v>
      </c>
      <c r="BF9" s="1249">
        <v>0</v>
      </c>
      <c r="BG9" s="1238">
        <v>0</v>
      </c>
      <c r="BH9" s="1229">
        <v>25</v>
      </c>
      <c r="BO9" s="1250"/>
      <c r="BR9" s="1251" t="s">
        <v>570</v>
      </c>
      <c r="BV9" s="60"/>
    </row>
    <row r="10" spans="1:82" x14ac:dyDescent="0.25">
      <c r="A10" s="1246">
        <f t="shared" si="0"/>
        <v>7</v>
      </c>
      <c r="B10" s="930" t="str">
        <f>Coltura!C8</f>
        <v>A10</v>
      </c>
      <c r="C10" s="930" t="str">
        <f>Coltura!D8</f>
        <v>Castagno solo frutti</v>
      </c>
      <c r="D10" s="41" t="s">
        <v>645</v>
      </c>
      <c r="E10" s="32" t="s">
        <v>645</v>
      </c>
      <c r="F10" s="1224" t="s">
        <v>645</v>
      </c>
      <c r="AH10" s="32" t="s">
        <v>645</v>
      </c>
      <c r="BA10" s="1248"/>
      <c r="BB10" s="1225">
        <v>0</v>
      </c>
      <c r="BF10" s="1249"/>
      <c r="BG10" s="1228"/>
      <c r="BH10" s="1229">
        <v>0</v>
      </c>
      <c r="BO10" s="1250"/>
      <c r="BR10" s="1251" t="s">
        <v>570</v>
      </c>
      <c r="BV10" s="60"/>
    </row>
    <row r="11" spans="1:82" s="88" customFormat="1" x14ac:dyDescent="0.25">
      <c r="A11" s="1246">
        <f t="shared" si="0"/>
        <v>8</v>
      </c>
      <c r="B11" s="930" t="str">
        <f>Coltura!C9</f>
        <v>A12</v>
      </c>
      <c r="C11" s="930" t="str">
        <f>Coltura!D9</f>
        <v>Ciliegio frutti, legno e foglie</v>
      </c>
      <c r="D11" s="41" t="s">
        <v>645</v>
      </c>
      <c r="E11" s="88">
        <v>9</v>
      </c>
      <c r="F11" s="1235">
        <v>70</v>
      </c>
      <c r="G11" s="1236">
        <v>30</v>
      </c>
      <c r="H11" s="1236">
        <v>40</v>
      </c>
      <c r="I11" s="1236">
        <v>15</v>
      </c>
      <c r="J11" s="1236">
        <v>60</v>
      </c>
      <c r="K11" s="1237">
        <v>50</v>
      </c>
      <c r="L11" s="1237">
        <v>80</v>
      </c>
      <c r="M11" s="1237">
        <v>20</v>
      </c>
      <c r="N11" s="1237">
        <v>80</v>
      </c>
      <c r="O11" s="88">
        <v>7</v>
      </c>
      <c r="P11" s="1235">
        <v>15</v>
      </c>
      <c r="Q11" s="1235">
        <v>20</v>
      </c>
      <c r="R11" s="1235">
        <v>20</v>
      </c>
      <c r="S11" s="1235">
        <v>20</v>
      </c>
      <c r="T11" s="1235">
        <v>0</v>
      </c>
      <c r="U11" s="1235">
        <v>0</v>
      </c>
      <c r="V11" s="1235">
        <v>0</v>
      </c>
      <c r="W11" s="1235">
        <v>0</v>
      </c>
      <c r="X11" s="1236">
        <v>10</v>
      </c>
      <c r="Y11" s="1236">
        <v>10</v>
      </c>
      <c r="Z11" s="1236">
        <v>0</v>
      </c>
      <c r="AA11" s="1236">
        <v>0</v>
      </c>
      <c r="AB11" s="1236">
        <v>0</v>
      </c>
      <c r="AC11" s="1237">
        <v>20</v>
      </c>
      <c r="AD11" s="1237">
        <v>30</v>
      </c>
      <c r="AE11" s="1237">
        <v>0</v>
      </c>
      <c r="AF11" s="1237">
        <v>0</v>
      </c>
      <c r="AG11" s="1237">
        <v>0</v>
      </c>
      <c r="AH11" s="88">
        <v>11</v>
      </c>
      <c r="AI11" s="1235">
        <v>15</v>
      </c>
      <c r="AJ11" s="1235">
        <v>20</v>
      </c>
      <c r="AK11" s="1235">
        <v>20</v>
      </c>
      <c r="AL11" s="1235">
        <v>0</v>
      </c>
      <c r="AM11" s="1235">
        <v>15</v>
      </c>
      <c r="AN11" s="1235">
        <v>0</v>
      </c>
      <c r="AO11" s="1235">
        <v>0</v>
      </c>
      <c r="AP11" s="1235">
        <v>0</v>
      </c>
      <c r="AQ11" s="1235">
        <v>0</v>
      </c>
      <c r="AR11" s="1235">
        <v>0</v>
      </c>
      <c r="AS11" s="1235">
        <v>0</v>
      </c>
      <c r="AT11" s="1235">
        <v>0</v>
      </c>
      <c r="AU11" s="1235">
        <v>50</v>
      </c>
      <c r="AV11" s="1236">
        <v>10</v>
      </c>
      <c r="AW11" s="1236">
        <v>10</v>
      </c>
      <c r="AX11" s="1236">
        <v>0</v>
      </c>
      <c r="AY11" s="1236">
        <v>0</v>
      </c>
      <c r="AZ11" s="1236">
        <v>20</v>
      </c>
      <c r="BA11" s="1236">
        <v>0</v>
      </c>
      <c r="BB11" s="1236">
        <v>40</v>
      </c>
      <c r="BC11" s="1237">
        <v>20</v>
      </c>
      <c r="BD11" s="1237">
        <v>0</v>
      </c>
      <c r="BE11" s="1237">
        <v>0</v>
      </c>
      <c r="BF11" s="1237">
        <v>0</v>
      </c>
      <c r="BG11" s="1238">
        <v>0</v>
      </c>
      <c r="BH11" s="1239">
        <v>20</v>
      </c>
      <c r="BI11" s="1235">
        <v>30</v>
      </c>
      <c r="BJ11" s="1235">
        <v>50</v>
      </c>
      <c r="BK11" s="1235">
        <v>0</v>
      </c>
      <c r="BL11" s="1240">
        <v>15</v>
      </c>
      <c r="BM11" s="1240">
        <v>25</v>
      </c>
      <c r="BN11" s="1240">
        <v>0</v>
      </c>
      <c r="BO11" s="1241">
        <v>20</v>
      </c>
      <c r="BP11" s="1239">
        <v>40</v>
      </c>
      <c r="BQ11" s="1242">
        <v>0</v>
      </c>
      <c r="BR11" s="1243" t="s">
        <v>570</v>
      </c>
      <c r="BS11" s="1244"/>
      <c r="BV11" s="1245"/>
      <c r="BW11" s="1239"/>
      <c r="BX11" s="1239"/>
      <c r="BY11" s="1239"/>
      <c r="BZ11" s="1239"/>
      <c r="CA11" s="1244"/>
      <c r="CB11" s="1244"/>
      <c r="CC11" s="1244"/>
      <c r="CD11" s="1244"/>
    </row>
    <row r="12" spans="1:82" x14ac:dyDescent="0.25">
      <c r="A12" s="1246">
        <f t="shared" si="0"/>
        <v>9</v>
      </c>
      <c r="B12" s="930" t="str">
        <f>Coltura!C10</f>
        <v>A14</v>
      </c>
      <c r="C12" s="930" t="str">
        <f>Coltura!D10</f>
        <v>Clementine frutti, legno e foglie</v>
      </c>
      <c r="D12" s="41" t="s">
        <v>645</v>
      </c>
      <c r="E12" s="32">
        <v>25</v>
      </c>
      <c r="F12" s="1224">
        <v>140</v>
      </c>
      <c r="G12" s="1225">
        <v>60</v>
      </c>
      <c r="H12" s="1225">
        <v>100</v>
      </c>
      <c r="I12" s="1225">
        <v>20</v>
      </c>
      <c r="J12" s="1225">
        <v>100</v>
      </c>
      <c r="K12" s="1226">
        <v>100</v>
      </c>
      <c r="L12" s="1226">
        <v>120</v>
      </c>
      <c r="M12" s="1226">
        <v>50</v>
      </c>
      <c r="N12" s="1226">
        <v>120</v>
      </c>
      <c r="O12" s="32">
        <v>20</v>
      </c>
      <c r="P12" s="1224">
        <v>20</v>
      </c>
      <c r="Q12" s="1224">
        <v>20</v>
      </c>
      <c r="R12" s="1224">
        <v>20</v>
      </c>
      <c r="S12" s="1224">
        <v>0</v>
      </c>
      <c r="T12" s="1224">
        <v>0</v>
      </c>
      <c r="U12" s="1224">
        <v>0</v>
      </c>
      <c r="V12" s="1224">
        <v>0</v>
      </c>
      <c r="W12" s="1224">
        <v>0</v>
      </c>
      <c r="X12" s="1225">
        <v>10</v>
      </c>
      <c r="Y12" s="1225">
        <v>10</v>
      </c>
      <c r="Z12" s="1225">
        <v>0</v>
      </c>
      <c r="AA12" s="1225">
        <v>0</v>
      </c>
      <c r="AB12" s="1225">
        <v>0</v>
      </c>
      <c r="AC12" s="1226">
        <v>50</v>
      </c>
      <c r="AD12" s="1226">
        <v>30</v>
      </c>
      <c r="AE12" s="1226">
        <v>0</v>
      </c>
      <c r="AF12" s="1226">
        <v>0</v>
      </c>
      <c r="AG12" s="1226">
        <v>0</v>
      </c>
      <c r="AH12" s="32">
        <v>30</v>
      </c>
      <c r="AI12" s="1224">
        <v>20</v>
      </c>
      <c r="AJ12" s="1224">
        <v>20</v>
      </c>
      <c r="AK12" s="1224">
        <v>20</v>
      </c>
      <c r="AL12" s="1224">
        <v>0</v>
      </c>
      <c r="AM12" s="1224">
        <v>15</v>
      </c>
      <c r="AN12" s="1224">
        <v>0</v>
      </c>
      <c r="AO12" s="1224">
        <v>0</v>
      </c>
      <c r="AP12" s="1224">
        <v>0</v>
      </c>
      <c r="AQ12" s="1224">
        <v>0</v>
      </c>
      <c r="AR12" s="1224">
        <v>0</v>
      </c>
      <c r="AS12" s="1224">
        <v>0</v>
      </c>
      <c r="AT12" s="1224">
        <v>0</v>
      </c>
      <c r="AU12" s="1224">
        <v>50</v>
      </c>
      <c r="AV12" s="1225">
        <v>10</v>
      </c>
      <c r="AW12" s="1225">
        <v>10</v>
      </c>
      <c r="AX12" s="1225">
        <v>0</v>
      </c>
      <c r="AY12" s="1225">
        <v>0</v>
      </c>
      <c r="AZ12" s="1225">
        <v>10</v>
      </c>
      <c r="BA12" s="1248">
        <v>0</v>
      </c>
      <c r="BB12" s="1225">
        <v>30</v>
      </c>
      <c r="BC12" s="1226">
        <v>50</v>
      </c>
      <c r="BD12" s="1226">
        <v>0</v>
      </c>
      <c r="BE12" s="1226">
        <v>0</v>
      </c>
      <c r="BF12" s="1249">
        <v>0</v>
      </c>
      <c r="BG12" s="1238">
        <v>0</v>
      </c>
      <c r="BH12" s="1229">
        <v>50</v>
      </c>
      <c r="BR12" s="1251" t="s">
        <v>570</v>
      </c>
      <c r="BV12" s="60"/>
    </row>
    <row r="13" spans="1:82" s="1169" customFormat="1" x14ac:dyDescent="0.25">
      <c r="A13" s="1168">
        <f t="shared" si="0"/>
        <v>10</v>
      </c>
      <c r="B13" s="1169" t="str">
        <f>Coltura!C11</f>
        <v>A15</v>
      </c>
      <c r="C13" s="1169" t="str">
        <f>Coltura!D11</f>
        <v>Cotogno (frutti, legno e foglie)</v>
      </c>
      <c r="D13" s="1168" t="s">
        <v>645</v>
      </c>
      <c r="E13" s="1169">
        <v>60</v>
      </c>
      <c r="F13" s="1252">
        <v>130</v>
      </c>
      <c r="G13" s="1253">
        <v>30</v>
      </c>
      <c r="H13" s="1253">
        <v>60</v>
      </c>
      <c r="I13" s="1253">
        <v>10</v>
      </c>
      <c r="J13" s="1253">
        <v>60</v>
      </c>
      <c r="K13" s="1254">
        <v>100</v>
      </c>
      <c r="L13" s="1254">
        <v>150</v>
      </c>
      <c r="M13" s="1254">
        <v>50</v>
      </c>
      <c r="N13" s="1254">
        <v>150</v>
      </c>
      <c r="O13" s="1169">
        <v>60</v>
      </c>
      <c r="P13" s="1252">
        <v>25</v>
      </c>
      <c r="Q13" s="1252">
        <v>20</v>
      </c>
      <c r="R13" s="1252">
        <v>20</v>
      </c>
      <c r="S13" s="1252">
        <v>20</v>
      </c>
      <c r="T13" s="1252">
        <v>0</v>
      </c>
      <c r="U13" s="1252">
        <v>0</v>
      </c>
      <c r="V13" s="1252">
        <v>0</v>
      </c>
      <c r="W13" s="1252">
        <v>0</v>
      </c>
      <c r="X13" s="1253">
        <v>10</v>
      </c>
      <c r="Y13" s="1253">
        <v>0</v>
      </c>
      <c r="Z13" s="1253">
        <v>0</v>
      </c>
      <c r="AA13" s="1253">
        <v>0</v>
      </c>
      <c r="AB13" s="1253">
        <v>0</v>
      </c>
      <c r="AC13" s="1254">
        <v>25</v>
      </c>
      <c r="AD13" s="1254">
        <v>30</v>
      </c>
      <c r="AE13" s="1254">
        <v>0</v>
      </c>
      <c r="AF13" s="1254">
        <v>0</v>
      </c>
      <c r="AG13" s="1254">
        <v>0</v>
      </c>
      <c r="AH13" s="1169">
        <v>60</v>
      </c>
      <c r="AI13" s="1252">
        <v>25</v>
      </c>
      <c r="AJ13" s="1252">
        <v>20</v>
      </c>
      <c r="AK13" s="1252">
        <v>20</v>
      </c>
      <c r="AL13" s="1252">
        <v>0</v>
      </c>
      <c r="AM13" s="1252">
        <v>15</v>
      </c>
      <c r="AN13" s="1252">
        <v>0</v>
      </c>
      <c r="AO13" s="1252">
        <v>0</v>
      </c>
      <c r="AP13" s="1252">
        <v>0</v>
      </c>
      <c r="AQ13" s="1252">
        <v>0</v>
      </c>
      <c r="AR13" s="1252">
        <v>0</v>
      </c>
      <c r="AS13" s="1252">
        <v>0</v>
      </c>
      <c r="AT13" s="1252">
        <v>0</v>
      </c>
      <c r="AU13" s="1252">
        <v>50</v>
      </c>
      <c r="AV13" s="1253">
        <v>10</v>
      </c>
      <c r="AW13" s="1253">
        <v>10</v>
      </c>
      <c r="AX13" s="1253">
        <v>0</v>
      </c>
      <c r="AY13" s="1253">
        <v>0</v>
      </c>
      <c r="AZ13" s="1253">
        <v>20</v>
      </c>
      <c r="BA13" s="1253">
        <v>0</v>
      </c>
      <c r="BB13" s="1253">
        <v>40</v>
      </c>
      <c r="BC13" s="1254">
        <v>25</v>
      </c>
      <c r="BD13" s="1254">
        <v>0</v>
      </c>
      <c r="BE13" s="1254">
        <v>0</v>
      </c>
      <c r="BF13" s="1254">
        <v>0</v>
      </c>
      <c r="BG13" s="1255">
        <v>0</v>
      </c>
      <c r="BH13" s="1256">
        <v>25</v>
      </c>
      <c r="BI13" s="1252">
        <v>40</v>
      </c>
      <c r="BJ13" s="1252">
        <v>60</v>
      </c>
      <c r="BK13" s="1252">
        <v>20</v>
      </c>
      <c r="BL13" s="1257">
        <v>15</v>
      </c>
      <c r="BM13" s="1257">
        <v>25</v>
      </c>
      <c r="BN13" s="1257">
        <v>0</v>
      </c>
      <c r="BO13" s="1256">
        <v>20</v>
      </c>
      <c r="BP13" s="1256">
        <v>40</v>
      </c>
      <c r="BQ13" s="1258">
        <v>20</v>
      </c>
      <c r="BR13" s="1259" t="s">
        <v>570</v>
      </c>
      <c r="BS13" s="1260"/>
      <c r="BV13" s="1261"/>
      <c r="BW13" s="1256"/>
      <c r="BX13" s="1256"/>
      <c r="BY13" s="1256"/>
      <c r="BZ13" s="1256"/>
      <c r="CA13" s="1260"/>
      <c r="CB13" s="1260"/>
      <c r="CC13" s="1260"/>
      <c r="CD13" s="1260"/>
    </row>
    <row r="14" spans="1:82" x14ac:dyDescent="0.25">
      <c r="A14" s="1246">
        <f t="shared" si="0"/>
        <v>11</v>
      </c>
      <c r="B14" s="930" t="str">
        <f>Coltura!C12</f>
        <v>A16</v>
      </c>
      <c r="C14" s="930" t="str">
        <f>Coltura!D12</f>
        <v>Fico frutti, legno e foglie</v>
      </c>
      <c r="D14" s="41" t="s">
        <v>645</v>
      </c>
      <c r="E14" s="32" t="s">
        <v>645</v>
      </c>
      <c r="F14" s="1224" t="s">
        <v>645</v>
      </c>
      <c r="AH14" s="32" t="s">
        <v>645</v>
      </c>
      <c r="BA14" s="1248"/>
      <c r="BB14" s="1225">
        <v>0</v>
      </c>
      <c r="BF14" s="1249"/>
      <c r="BG14" s="1228"/>
      <c r="BH14" s="1229">
        <v>0</v>
      </c>
      <c r="BR14" s="1251" t="s">
        <v>570</v>
      </c>
      <c r="BV14" s="60"/>
    </row>
    <row r="15" spans="1:82" s="88" customFormat="1" x14ac:dyDescent="0.25">
      <c r="A15" s="1246">
        <f t="shared" si="0"/>
        <v>12</v>
      </c>
      <c r="B15" s="930" t="str">
        <f>Coltura!C13</f>
        <v>A17</v>
      </c>
      <c r="C15" s="930" t="str">
        <f>Coltura!D13</f>
        <v>Kaki frutti, legno e foglie</v>
      </c>
      <c r="D15" s="41" t="s">
        <v>645</v>
      </c>
      <c r="E15" s="88">
        <v>25</v>
      </c>
      <c r="F15" s="1235">
        <v>60</v>
      </c>
      <c r="G15" s="1236">
        <v>30</v>
      </c>
      <c r="H15" s="1236">
        <v>60</v>
      </c>
      <c r="I15" s="1236">
        <v>10</v>
      </c>
      <c r="J15" s="1236">
        <v>60</v>
      </c>
      <c r="K15" s="1237">
        <v>75</v>
      </c>
      <c r="L15" s="1237">
        <v>100</v>
      </c>
      <c r="M15" s="1237">
        <v>30</v>
      </c>
      <c r="N15" s="1237">
        <v>100</v>
      </c>
      <c r="O15" s="88">
        <v>20</v>
      </c>
      <c r="P15" s="1235">
        <v>30</v>
      </c>
      <c r="Q15" s="1235">
        <v>20</v>
      </c>
      <c r="R15" s="1235">
        <v>20</v>
      </c>
      <c r="S15" s="1235">
        <v>0</v>
      </c>
      <c r="T15" s="1235">
        <v>0</v>
      </c>
      <c r="U15" s="1235">
        <v>0</v>
      </c>
      <c r="V15" s="1235">
        <v>0</v>
      </c>
      <c r="W15" s="1235">
        <v>0</v>
      </c>
      <c r="X15" s="1236">
        <v>10</v>
      </c>
      <c r="Y15" s="1236">
        <v>10</v>
      </c>
      <c r="Z15" s="1236">
        <v>0</v>
      </c>
      <c r="AA15" s="1236">
        <v>0</v>
      </c>
      <c r="AB15" s="1236">
        <v>0</v>
      </c>
      <c r="AC15" s="1237">
        <v>30</v>
      </c>
      <c r="AD15" s="1237">
        <v>30</v>
      </c>
      <c r="AE15" s="1237">
        <v>0</v>
      </c>
      <c r="AF15" s="1237">
        <v>0</v>
      </c>
      <c r="AG15" s="1237">
        <v>0</v>
      </c>
      <c r="AH15" s="88">
        <v>30</v>
      </c>
      <c r="AI15" s="1235">
        <v>30</v>
      </c>
      <c r="AJ15" s="1235">
        <v>20</v>
      </c>
      <c r="AK15" s="1235">
        <v>20</v>
      </c>
      <c r="AL15" s="1235">
        <v>0</v>
      </c>
      <c r="AM15" s="1235">
        <v>15</v>
      </c>
      <c r="AN15" s="1235">
        <v>0</v>
      </c>
      <c r="AO15" s="1235">
        <v>0</v>
      </c>
      <c r="AP15" s="1235">
        <v>0</v>
      </c>
      <c r="AQ15" s="1235">
        <v>0</v>
      </c>
      <c r="AR15" s="1235">
        <v>0</v>
      </c>
      <c r="AS15" s="1235">
        <v>0</v>
      </c>
      <c r="AT15" s="1235">
        <v>0</v>
      </c>
      <c r="AU15" s="1235">
        <v>40</v>
      </c>
      <c r="AV15" s="1236">
        <v>10</v>
      </c>
      <c r="AW15" s="1236">
        <v>10</v>
      </c>
      <c r="AX15" s="1236">
        <v>0</v>
      </c>
      <c r="AY15" s="1236">
        <v>0</v>
      </c>
      <c r="AZ15" s="1236">
        <v>0</v>
      </c>
      <c r="BA15" s="1236">
        <v>0</v>
      </c>
      <c r="BB15" s="1236">
        <v>20</v>
      </c>
      <c r="BC15" s="1237">
        <v>30</v>
      </c>
      <c r="BD15" s="1237">
        <v>0</v>
      </c>
      <c r="BE15" s="1237">
        <v>0</v>
      </c>
      <c r="BF15" s="1237">
        <v>0</v>
      </c>
      <c r="BG15" s="1238">
        <v>0</v>
      </c>
      <c r="BH15" s="1239">
        <v>30</v>
      </c>
      <c r="BI15" s="1235">
        <v>25</v>
      </c>
      <c r="BJ15" s="1235">
        <v>40</v>
      </c>
      <c r="BK15" s="1235">
        <v>0</v>
      </c>
      <c r="BL15" s="1240">
        <v>15</v>
      </c>
      <c r="BM15" s="1240">
        <v>20</v>
      </c>
      <c r="BN15" s="1240">
        <v>0</v>
      </c>
      <c r="BO15" s="1239">
        <v>20</v>
      </c>
      <c r="BP15" s="1239">
        <v>40</v>
      </c>
      <c r="BQ15" s="1242">
        <v>0</v>
      </c>
      <c r="BR15" s="1243" t="s">
        <v>570</v>
      </c>
      <c r="BS15" s="1244"/>
      <c r="BV15" s="1245"/>
      <c r="BW15" s="1239"/>
      <c r="BX15" s="1239"/>
      <c r="BY15" s="1239"/>
      <c r="BZ15" s="1239"/>
      <c r="CA15" s="1244"/>
      <c r="CB15" s="1244"/>
      <c r="CC15" s="1244"/>
      <c r="CD15" s="1244"/>
    </row>
    <row r="16" spans="1:82" x14ac:dyDescent="0.25">
      <c r="A16" s="1246">
        <f t="shared" si="0"/>
        <v>13</v>
      </c>
      <c r="B16" s="930" t="str">
        <f>Coltura!C14</f>
        <v>A18</v>
      </c>
      <c r="C16" s="930" t="str">
        <f>Coltura!D14</f>
        <v>Limone frutti, legno e foglie</v>
      </c>
      <c r="D16" s="41" t="s">
        <v>645</v>
      </c>
      <c r="E16" s="32">
        <v>30</v>
      </c>
      <c r="F16" s="1224">
        <v>120</v>
      </c>
      <c r="G16" s="1225">
        <v>60</v>
      </c>
      <c r="H16" s="1225">
        <v>100</v>
      </c>
      <c r="I16" s="1225">
        <v>20</v>
      </c>
      <c r="J16" s="1225">
        <v>100</v>
      </c>
      <c r="K16" s="1226">
        <v>100</v>
      </c>
      <c r="L16" s="1226">
        <v>120</v>
      </c>
      <c r="M16" s="1226">
        <v>50</v>
      </c>
      <c r="N16" s="1226">
        <v>120</v>
      </c>
      <c r="O16" s="32">
        <v>24</v>
      </c>
      <c r="P16" s="1224">
        <v>15</v>
      </c>
      <c r="Q16" s="1224">
        <v>20</v>
      </c>
      <c r="R16" s="1224">
        <v>20</v>
      </c>
      <c r="S16" s="1224">
        <v>0</v>
      </c>
      <c r="T16" s="1224">
        <v>0</v>
      </c>
      <c r="U16" s="1224">
        <v>0</v>
      </c>
      <c r="V16" s="1224">
        <v>0</v>
      </c>
      <c r="W16" s="1224">
        <v>0</v>
      </c>
      <c r="X16" s="1225">
        <v>10</v>
      </c>
      <c r="Y16" s="1225">
        <v>10</v>
      </c>
      <c r="Z16" s="1225">
        <v>0</v>
      </c>
      <c r="AA16" s="1225">
        <v>0</v>
      </c>
      <c r="AB16" s="1225">
        <v>0</v>
      </c>
      <c r="AC16" s="1226">
        <v>25</v>
      </c>
      <c r="AD16" s="1226">
        <v>30</v>
      </c>
      <c r="AE16" s="1226">
        <v>0</v>
      </c>
      <c r="AF16" s="1226">
        <v>0</v>
      </c>
      <c r="AG16" s="1226">
        <v>0</v>
      </c>
      <c r="AH16" s="32">
        <v>36</v>
      </c>
      <c r="AI16" s="1224">
        <v>15</v>
      </c>
      <c r="AJ16" s="1224">
        <v>20</v>
      </c>
      <c r="AK16" s="1224">
        <v>20</v>
      </c>
      <c r="AL16" s="1224">
        <v>0</v>
      </c>
      <c r="AM16" s="1224">
        <v>15</v>
      </c>
      <c r="AN16" s="1224">
        <v>0</v>
      </c>
      <c r="AO16" s="1224">
        <v>0</v>
      </c>
      <c r="AP16" s="1224">
        <v>0</v>
      </c>
      <c r="AQ16" s="1224">
        <v>0</v>
      </c>
      <c r="AR16" s="1224">
        <v>0</v>
      </c>
      <c r="AS16" s="1224">
        <v>0</v>
      </c>
      <c r="AT16" s="1224">
        <v>0</v>
      </c>
      <c r="AU16" s="1224">
        <v>50</v>
      </c>
      <c r="AV16" s="1225">
        <v>10</v>
      </c>
      <c r="AW16" s="1225">
        <v>10</v>
      </c>
      <c r="AX16" s="1225">
        <v>0</v>
      </c>
      <c r="AY16" s="1225">
        <v>0</v>
      </c>
      <c r="AZ16" s="1225">
        <v>20</v>
      </c>
      <c r="BA16" s="1248">
        <v>0</v>
      </c>
      <c r="BB16" s="1225">
        <v>40</v>
      </c>
      <c r="BC16" s="1226">
        <v>25</v>
      </c>
      <c r="BD16" s="1226">
        <v>0</v>
      </c>
      <c r="BE16" s="1226">
        <v>0</v>
      </c>
      <c r="BF16" s="1249">
        <v>0</v>
      </c>
      <c r="BG16" s="1238">
        <v>0</v>
      </c>
      <c r="BH16" s="1229">
        <v>25</v>
      </c>
      <c r="BR16" s="1251" t="s">
        <v>570</v>
      </c>
      <c r="BV16" s="60"/>
    </row>
    <row r="17" spans="1:82" x14ac:dyDescent="0.25">
      <c r="A17" s="1246">
        <f t="shared" si="0"/>
        <v>14</v>
      </c>
      <c r="B17" s="930" t="str">
        <f>Coltura!C15</f>
        <v>A19</v>
      </c>
      <c r="C17" s="930" t="str">
        <f>Coltura!D15</f>
        <v>Luppolo (verde)</v>
      </c>
      <c r="D17" s="823" t="s">
        <v>645</v>
      </c>
      <c r="E17" s="32">
        <v>14</v>
      </c>
      <c r="F17" s="1224">
        <v>120</v>
      </c>
      <c r="G17" s="1225">
        <v>60</v>
      </c>
      <c r="H17" s="1225">
        <v>80</v>
      </c>
      <c r="I17" s="1225">
        <v>40</v>
      </c>
      <c r="J17" s="1225">
        <v>100</v>
      </c>
      <c r="K17" s="1226">
        <v>100</v>
      </c>
      <c r="L17" s="1226">
        <v>140</v>
      </c>
      <c r="M17" s="1226">
        <v>70</v>
      </c>
      <c r="N17" s="1226">
        <v>140</v>
      </c>
      <c r="O17" s="1226">
        <v>12</v>
      </c>
      <c r="P17" s="1224">
        <v>20</v>
      </c>
      <c r="Q17" s="1224">
        <v>0</v>
      </c>
      <c r="R17" s="1224">
        <v>20</v>
      </c>
      <c r="S17" s="1224">
        <v>20</v>
      </c>
      <c r="T17" s="1224">
        <v>0</v>
      </c>
      <c r="U17" s="1224">
        <v>0</v>
      </c>
      <c r="V17" s="1224">
        <v>0</v>
      </c>
      <c r="W17" s="1224">
        <v>0</v>
      </c>
      <c r="X17" s="1225">
        <v>10</v>
      </c>
      <c r="Y17" s="1225">
        <v>10</v>
      </c>
      <c r="Z17" s="1225">
        <v>0</v>
      </c>
      <c r="AA17" s="1225">
        <v>0</v>
      </c>
      <c r="AB17" s="1225">
        <v>0</v>
      </c>
      <c r="AC17" s="1226">
        <v>30</v>
      </c>
      <c r="AD17" s="1226">
        <v>30</v>
      </c>
      <c r="AE17" s="1226">
        <v>0</v>
      </c>
      <c r="AF17" s="1226">
        <v>0</v>
      </c>
      <c r="AG17" s="1226">
        <v>0</v>
      </c>
      <c r="AH17" s="1226">
        <v>16</v>
      </c>
      <c r="AI17" s="1224">
        <v>20</v>
      </c>
      <c r="AJ17" s="1224">
        <v>20</v>
      </c>
      <c r="AK17" s="1224">
        <v>20</v>
      </c>
      <c r="AL17" s="1224">
        <v>20</v>
      </c>
      <c r="AM17" s="1224">
        <v>15</v>
      </c>
      <c r="AN17" s="1224">
        <v>0</v>
      </c>
      <c r="AO17" s="1224">
        <v>0</v>
      </c>
      <c r="AP17" s="1224">
        <v>0</v>
      </c>
      <c r="AQ17" s="1224">
        <v>20</v>
      </c>
      <c r="AR17" s="1224">
        <v>0</v>
      </c>
      <c r="AS17" s="1224">
        <v>0</v>
      </c>
      <c r="AT17" s="1224">
        <v>0</v>
      </c>
      <c r="AU17" s="1224">
        <v>40</v>
      </c>
      <c r="AV17" s="1225">
        <v>20</v>
      </c>
      <c r="AW17" s="1225">
        <v>10</v>
      </c>
      <c r="AX17" s="1225">
        <v>0</v>
      </c>
      <c r="AY17" s="1225">
        <v>0</v>
      </c>
      <c r="AZ17" s="1225">
        <v>0</v>
      </c>
      <c r="BA17" s="1248">
        <v>0</v>
      </c>
      <c r="BB17" s="1225">
        <v>30</v>
      </c>
      <c r="BC17" s="1226">
        <v>30</v>
      </c>
      <c r="BD17" s="1226">
        <v>0</v>
      </c>
      <c r="BE17" s="1226">
        <v>0</v>
      </c>
      <c r="BF17" s="1249">
        <v>0</v>
      </c>
      <c r="BG17" s="1238">
        <v>0</v>
      </c>
      <c r="BH17" s="1229">
        <v>30</v>
      </c>
      <c r="BI17" s="1224">
        <v>80</v>
      </c>
      <c r="BJ17" s="1224">
        <v>80</v>
      </c>
      <c r="BK17" s="1224">
        <v>0</v>
      </c>
      <c r="BL17" s="1230">
        <v>30</v>
      </c>
      <c r="BM17" s="1230">
        <v>30</v>
      </c>
      <c r="BN17" s="1230">
        <v>0</v>
      </c>
      <c r="BO17" s="1229">
        <v>60</v>
      </c>
      <c r="BP17" s="1229">
        <v>60</v>
      </c>
      <c r="BQ17" s="1231">
        <v>0</v>
      </c>
      <c r="BR17" s="1251" t="s">
        <v>570</v>
      </c>
      <c r="BV17" s="60"/>
    </row>
    <row r="18" spans="1:82" x14ac:dyDescent="0.25">
      <c r="A18" s="1246">
        <f t="shared" si="0"/>
        <v>15</v>
      </c>
      <c r="B18" s="930" t="str">
        <f>Coltura!C16</f>
        <v>A20</v>
      </c>
      <c r="C18" s="930" t="str">
        <f>Coltura!D16</f>
        <v>Mandarino frutti, legno e foglie</v>
      </c>
      <c r="D18" s="41" t="s">
        <v>645</v>
      </c>
      <c r="E18" s="32">
        <v>25</v>
      </c>
      <c r="F18" s="1224">
        <v>140</v>
      </c>
      <c r="G18" s="1225">
        <v>60</v>
      </c>
      <c r="H18" s="1225">
        <v>100</v>
      </c>
      <c r="I18" s="1225">
        <v>20</v>
      </c>
      <c r="J18" s="1225">
        <v>100</v>
      </c>
      <c r="K18" s="1226">
        <v>100</v>
      </c>
      <c r="L18" s="1226">
        <v>120</v>
      </c>
      <c r="M18" s="1226">
        <v>50</v>
      </c>
      <c r="N18" s="1226">
        <v>120</v>
      </c>
      <c r="O18" s="32">
        <v>20</v>
      </c>
      <c r="P18" s="1224">
        <v>20</v>
      </c>
      <c r="Q18" s="1224">
        <v>20</v>
      </c>
      <c r="R18" s="1224">
        <v>20</v>
      </c>
      <c r="S18" s="1224">
        <v>0</v>
      </c>
      <c r="T18" s="1224">
        <v>0</v>
      </c>
      <c r="U18" s="1224">
        <v>0</v>
      </c>
      <c r="V18" s="1224">
        <v>0</v>
      </c>
      <c r="W18" s="1224">
        <v>0</v>
      </c>
      <c r="X18" s="1225">
        <v>10</v>
      </c>
      <c r="Y18" s="1225">
        <v>10</v>
      </c>
      <c r="Z18" s="1225">
        <v>0</v>
      </c>
      <c r="AA18" s="1225">
        <v>0</v>
      </c>
      <c r="AB18" s="1225">
        <v>0</v>
      </c>
      <c r="AC18" s="1226">
        <v>50</v>
      </c>
      <c r="AD18" s="1226">
        <v>30</v>
      </c>
      <c r="AE18" s="1226">
        <v>0</v>
      </c>
      <c r="AF18" s="1226">
        <v>0</v>
      </c>
      <c r="AG18" s="1226">
        <v>0</v>
      </c>
      <c r="AH18" s="32">
        <v>30</v>
      </c>
      <c r="AI18" s="1224">
        <v>20</v>
      </c>
      <c r="AJ18" s="1224">
        <v>20</v>
      </c>
      <c r="AK18" s="1224">
        <v>20</v>
      </c>
      <c r="AL18" s="1224">
        <v>0</v>
      </c>
      <c r="AM18" s="1224">
        <v>15</v>
      </c>
      <c r="AN18" s="1224">
        <v>0</v>
      </c>
      <c r="AO18" s="1224">
        <v>0</v>
      </c>
      <c r="AP18" s="1224">
        <v>0</v>
      </c>
      <c r="AQ18" s="1224">
        <v>0</v>
      </c>
      <c r="AR18" s="1224">
        <v>0</v>
      </c>
      <c r="AS18" s="1224">
        <v>0</v>
      </c>
      <c r="AT18" s="1224">
        <v>0</v>
      </c>
      <c r="AU18" s="1224">
        <v>50</v>
      </c>
      <c r="AV18" s="1225">
        <v>10</v>
      </c>
      <c r="AW18" s="1225">
        <v>10</v>
      </c>
      <c r="AX18" s="1225">
        <v>0</v>
      </c>
      <c r="AY18" s="1225">
        <v>0</v>
      </c>
      <c r="AZ18" s="1225">
        <v>10</v>
      </c>
      <c r="BA18" s="1248">
        <v>0</v>
      </c>
      <c r="BB18" s="1225">
        <v>30</v>
      </c>
      <c r="BC18" s="1226">
        <v>50</v>
      </c>
      <c r="BD18" s="1226">
        <v>0</v>
      </c>
      <c r="BE18" s="1226">
        <v>0</v>
      </c>
      <c r="BF18" s="1249">
        <v>0</v>
      </c>
      <c r="BG18" s="1238">
        <v>0</v>
      </c>
      <c r="BH18" s="1229">
        <v>50</v>
      </c>
      <c r="BR18" s="1251" t="s">
        <v>570</v>
      </c>
      <c r="BV18" s="60"/>
    </row>
    <row r="19" spans="1:82" x14ac:dyDescent="0.25">
      <c r="A19" s="1246">
        <f t="shared" si="0"/>
        <v>16</v>
      </c>
      <c r="B19" s="930" t="str">
        <f>Coltura!C17</f>
        <v>A21</v>
      </c>
      <c r="C19" s="930" t="str">
        <f>Coltura!D17</f>
        <v>Mandorlo frutti, legno e foglie</v>
      </c>
      <c r="D19" s="41" t="s">
        <v>645</v>
      </c>
      <c r="E19" s="32" t="s">
        <v>645</v>
      </c>
      <c r="F19" s="1224" t="s">
        <v>645</v>
      </c>
      <c r="AH19" s="32" t="s">
        <v>645</v>
      </c>
      <c r="BA19" s="1248"/>
      <c r="BB19" s="1225">
        <v>0</v>
      </c>
      <c r="BF19" s="1249"/>
      <c r="BG19" s="1228"/>
      <c r="BH19" s="1229">
        <v>0</v>
      </c>
      <c r="BR19" s="1251" t="s">
        <v>570</v>
      </c>
      <c r="BV19" s="60"/>
    </row>
    <row r="20" spans="1:82" s="88" customFormat="1" x14ac:dyDescent="0.25">
      <c r="A20" s="1246">
        <f t="shared" si="0"/>
        <v>17</v>
      </c>
      <c r="B20" s="930" t="str">
        <f>Coltura!C18</f>
        <v>A22</v>
      </c>
      <c r="C20" s="930" t="str">
        <f>Coltura!D18</f>
        <v>Melo frutti, legno e foglie</v>
      </c>
      <c r="D20" s="41" t="s">
        <v>645</v>
      </c>
      <c r="E20" s="88">
        <v>40</v>
      </c>
      <c r="F20" s="1235">
        <v>80</v>
      </c>
      <c r="G20" s="1236">
        <v>40</v>
      </c>
      <c r="H20" s="1236">
        <v>55</v>
      </c>
      <c r="I20" s="1236">
        <v>35</v>
      </c>
      <c r="J20" s="1236">
        <v>55</v>
      </c>
      <c r="K20" s="1237">
        <v>90</v>
      </c>
      <c r="L20" s="1237">
        <v>150</v>
      </c>
      <c r="M20" s="1237">
        <v>50</v>
      </c>
      <c r="N20" s="1237">
        <v>150</v>
      </c>
      <c r="O20" s="88">
        <v>32</v>
      </c>
      <c r="P20" s="1235">
        <v>30</v>
      </c>
      <c r="Q20" s="1235">
        <v>20</v>
      </c>
      <c r="R20" s="1235">
        <v>20</v>
      </c>
      <c r="S20" s="1235">
        <v>20</v>
      </c>
      <c r="T20" s="1235">
        <v>0</v>
      </c>
      <c r="U20" s="1235">
        <v>0</v>
      </c>
      <c r="V20" s="1235">
        <v>0</v>
      </c>
      <c r="W20" s="1235">
        <v>0</v>
      </c>
      <c r="X20" s="1236">
        <v>10</v>
      </c>
      <c r="Y20" s="1236">
        <v>0</v>
      </c>
      <c r="Z20" s="1236">
        <v>0</v>
      </c>
      <c r="AA20" s="1236">
        <v>0</v>
      </c>
      <c r="AB20" s="1236">
        <v>0</v>
      </c>
      <c r="AC20" s="1237">
        <v>35</v>
      </c>
      <c r="AD20" s="1237">
        <v>30</v>
      </c>
      <c r="AE20" s="1237">
        <v>0</v>
      </c>
      <c r="AF20" s="1237">
        <v>0</v>
      </c>
      <c r="AG20" s="1237">
        <v>0</v>
      </c>
      <c r="AH20" s="88">
        <v>48</v>
      </c>
      <c r="AI20" s="1235">
        <v>30</v>
      </c>
      <c r="AJ20" s="1235">
        <v>20</v>
      </c>
      <c r="AK20" s="1235">
        <v>20</v>
      </c>
      <c r="AL20" s="1235">
        <v>0</v>
      </c>
      <c r="AM20" s="1235">
        <v>15</v>
      </c>
      <c r="AN20" s="1235">
        <v>0</v>
      </c>
      <c r="AO20" s="1235">
        <v>0</v>
      </c>
      <c r="AP20" s="1235">
        <v>0</v>
      </c>
      <c r="AQ20" s="1235">
        <v>0</v>
      </c>
      <c r="AR20" s="1235">
        <v>0</v>
      </c>
      <c r="AS20" s="1235">
        <v>0</v>
      </c>
      <c r="AT20" s="1235">
        <v>0</v>
      </c>
      <c r="AU20" s="1235">
        <v>60</v>
      </c>
      <c r="AV20" s="1236">
        <v>10</v>
      </c>
      <c r="AW20" s="1236">
        <v>10</v>
      </c>
      <c r="AX20" s="1236">
        <v>0</v>
      </c>
      <c r="AY20" s="1236">
        <v>0</v>
      </c>
      <c r="AZ20" s="1236">
        <v>20</v>
      </c>
      <c r="BA20" s="1236">
        <v>0</v>
      </c>
      <c r="BB20" s="1236">
        <v>40</v>
      </c>
      <c r="BC20" s="1237">
        <v>35</v>
      </c>
      <c r="BD20" s="1237">
        <v>0</v>
      </c>
      <c r="BE20" s="1237">
        <v>0</v>
      </c>
      <c r="BF20" s="1237">
        <v>0</v>
      </c>
      <c r="BG20" s="1238">
        <v>0</v>
      </c>
      <c r="BH20" s="1239">
        <v>35</v>
      </c>
      <c r="BI20" s="1235">
        <v>40</v>
      </c>
      <c r="BJ20" s="1235">
        <v>60</v>
      </c>
      <c r="BK20" s="1235">
        <v>20</v>
      </c>
      <c r="BL20" s="1240">
        <v>15</v>
      </c>
      <c r="BM20" s="1240">
        <v>25</v>
      </c>
      <c r="BN20" s="1240">
        <v>15</v>
      </c>
      <c r="BO20" s="1239">
        <v>20</v>
      </c>
      <c r="BP20" s="1239">
        <v>40</v>
      </c>
      <c r="BQ20" s="1242">
        <v>50</v>
      </c>
      <c r="BR20" s="1243" t="s">
        <v>570</v>
      </c>
      <c r="BS20" s="1244"/>
      <c r="BV20" s="1245"/>
      <c r="BW20" s="1239"/>
      <c r="BX20" s="1239"/>
      <c r="BY20" s="1239"/>
      <c r="BZ20" s="1239"/>
      <c r="CA20" s="1244"/>
      <c r="CB20" s="1244"/>
      <c r="CC20" s="1244"/>
      <c r="CD20" s="1244"/>
    </row>
    <row r="21" spans="1:82" s="88" customFormat="1" x14ac:dyDescent="0.25">
      <c r="A21" s="1246">
        <f t="shared" si="0"/>
        <v>18</v>
      </c>
      <c r="B21" s="930" t="str">
        <f>Coltura!C19</f>
        <v>A23</v>
      </c>
      <c r="C21" s="930" t="str">
        <f>Coltura!D19</f>
        <v>Mirtillo</v>
      </c>
      <c r="D21" s="823" t="s">
        <v>645</v>
      </c>
      <c r="E21" s="88">
        <v>17.5</v>
      </c>
      <c r="F21" s="1235">
        <v>125</v>
      </c>
      <c r="G21" s="1236">
        <v>45</v>
      </c>
      <c r="H21" s="1236">
        <v>45</v>
      </c>
      <c r="I21" s="1236">
        <v>45</v>
      </c>
      <c r="J21" s="1236">
        <v>45</v>
      </c>
      <c r="K21" s="1237">
        <v>120</v>
      </c>
      <c r="L21" s="1237">
        <v>120</v>
      </c>
      <c r="M21" s="1237">
        <v>120</v>
      </c>
      <c r="N21" s="1237">
        <v>120</v>
      </c>
      <c r="O21" s="88">
        <v>13</v>
      </c>
      <c r="P21" s="1235">
        <v>40</v>
      </c>
      <c r="Q21" s="1235">
        <v>20</v>
      </c>
      <c r="R21" s="1235">
        <v>20</v>
      </c>
      <c r="S21" s="1235">
        <v>20</v>
      </c>
      <c r="T21" s="1235">
        <v>20</v>
      </c>
      <c r="U21" s="1235">
        <v>0</v>
      </c>
      <c r="V21" s="1235">
        <v>0</v>
      </c>
      <c r="W21" s="1235">
        <v>0</v>
      </c>
      <c r="X21" s="1236">
        <v>10</v>
      </c>
      <c r="Y21" s="1236">
        <v>0</v>
      </c>
      <c r="Z21" s="1236">
        <v>10</v>
      </c>
      <c r="AA21" s="1236">
        <v>0</v>
      </c>
      <c r="AB21" s="1236">
        <v>0</v>
      </c>
      <c r="AC21" s="1237">
        <v>50</v>
      </c>
      <c r="AD21" s="1237">
        <v>0</v>
      </c>
      <c r="AE21" s="1237">
        <v>40</v>
      </c>
      <c r="AF21" s="1237">
        <v>0</v>
      </c>
      <c r="AG21" s="1237">
        <v>0</v>
      </c>
      <c r="AH21" s="88">
        <v>22</v>
      </c>
      <c r="AI21" s="1235">
        <v>20</v>
      </c>
      <c r="AJ21" s="1235">
        <v>20</v>
      </c>
      <c r="AK21" s="1235">
        <v>10</v>
      </c>
      <c r="AL21" s="1235">
        <v>0</v>
      </c>
      <c r="AM21" s="1235">
        <v>10</v>
      </c>
      <c r="AN21" s="1235">
        <v>0</v>
      </c>
      <c r="AO21" s="1235">
        <v>0</v>
      </c>
      <c r="AP21" s="1235">
        <v>0</v>
      </c>
      <c r="AQ21" s="1235">
        <v>0</v>
      </c>
      <c r="AR21" s="1235">
        <v>0</v>
      </c>
      <c r="AS21" s="1235">
        <v>0</v>
      </c>
      <c r="AT21" s="1235">
        <v>0</v>
      </c>
      <c r="AU21" s="1235">
        <v>30</v>
      </c>
      <c r="AV21" s="1236">
        <v>10</v>
      </c>
      <c r="AW21" s="1236">
        <v>10</v>
      </c>
      <c r="AX21" s="1236">
        <v>0</v>
      </c>
      <c r="AY21" s="1236">
        <v>0</v>
      </c>
      <c r="AZ21" s="1236">
        <v>20</v>
      </c>
      <c r="BA21" s="1236">
        <v>0</v>
      </c>
      <c r="BB21" s="1236">
        <v>40</v>
      </c>
      <c r="BC21" s="1237">
        <v>30</v>
      </c>
      <c r="BD21" s="1237">
        <v>0</v>
      </c>
      <c r="BE21" s="1237">
        <v>0</v>
      </c>
      <c r="BF21" s="1237">
        <v>0</v>
      </c>
      <c r="BG21" s="1238">
        <v>0</v>
      </c>
      <c r="BH21" s="1239">
        <v>30</v>
      </c>
      <c r="BI21" s="1235">
        <v>50</v>
      </c>
      <c r="BJ21" s="1235">
        <v>65</v>
      </c>
      <c r="BK21" s="1235">
        <v>0</v>
      </c>
      <c r="BL21" s="1240">
        <v>20</v>
      </c>
      <c r="BM21" s="1240">
        <v>25</v>
      </c>
      <c r="BN21" s="1240">
        <v>0</v>
      </c>
      <c r="BO21" s="1239">
        <v>50</v>
      </c>
      <c r="BP21" s="1239">
        <v>65</v>
      </c>
      <c r="BQ21" s="1242">
        <v>0</v>
      </c>
      <c r="BR21" s="1243" t="s">
        <v>570</v>
      </c>
      <c r="BS21" s="1244"/>
      <c r="BV21" s="1245"/>
      <c r="BW21" s="1239"/>
      <c r="BX21" s="1239"/>
      <c r="BY21" s="1239"/>
      <c r="BZ21" s="1239"/>
      <c r="CA21" s="1244"/>
      <c r="CB21" s="1244"/>
      <c r="CC21" s="1244"/>
      <c r="CD21" s="1244"/>
    </row>
    <row r="22" spans="1:82" x14ac:dyDescent="0.25">
      <c r="A22" s="1246">
        <f t="shared" si="0"/>
        <v>19</v>
      </c>
      <c r="B22" s="930" t="str">
        <f>Coltura!C20</f>
        <v>A24</v>
      </c>
      <c r="C22" s="930" t="str">
        <f>Coltura!D20</f>
        <v>Nashi frutti, legno e foglie</v>
      </c>
      <c r="D22" s="41" t="s">
        <v>645</v>
      </c>
      <c r="E22" s="32" t="s">
        <v>645</v>
      </c>
      <c r="F22" s="1224" t="s">
        <v>645</v>
      </c>
      <c r="AH22" s="32" t="s">
        <v>645</v>
      </c>
      <c r="BA22" s="1248"/>
      <c r="BB22" s="1225">
        <v>0</v>
      </c>
      <c r="BF22" s="1249"/>
      <c r="BG22" s="1228"/>
      <c r="BH22" s="1229">
        <v>0</v>
      </c>
      <c r="BR22" s="1251" t="s">
        <v>570</v>
      </c>
      <c r="BV22" s="60"/>
    </row>
    <row r="23" spans="1:82" x14ac:dyDescent="0.25">
      <c r="A23" s="1246">
        <f t="shared" si="0"/>
        <v>20</v>
      </c>
      <c r="B23" s="930" t="str">
        <f>Coltura!C21</f>
        <v>A25</v>
      </c>
      <c r="C23" s="930" t="str">
        <f>Coltura!D21</f>
        <v>Nespolo frutti, legno e foglie</v>
      </c>
      <c r="D23" s="41" t="s">
        <v>645</v>
      </c>
      <c r="E23" s="32" t="s">
        <v>645</v>
      </c>
      <c r="F23" s="1224" t="s">
        <v>645</v>
      </c>
      <c r="AH23" s="32" t="s">
        <v>645</v>
      </c>
      <c r="BA23" s="1248"/>
      <c r="BB23" s="1225">
        <v>0</v>
      </c>
      <c r="BF23" s="1249"/>
      <c r="BG23" s="1228"/>
      <c r="BH23" s="1229">
        <v>0</v>
      </c>
      <c r="BR23" s="1251" t="s">
        <v>570</v>
      </c>
      <c r="BV23" s="60"/>
    </row>
    <row r="24" spans="1:82" s="88" customFormat="1" x14ac:dyDescent="0.25">
      <c r="A24" s="1246">
        <f t="shared" si="0"/>
        <v>21</v>
      </c>
      <c r="B24" s="930" t="str">
        <f>Coltura!C22</f>
        <v>A26</v>
      </c>
      <c r="C24" s="930" t="str">
        <f>Coltura!D22</f>
        <v>Nettarine frutti, legno e foglie</v>
      </c>
      <c r="D24" s="41" t="s">
        <v>645</v>
      </c>
      <c r="E24" s="88">
        <v>25</v>
      </c>
      <c r="F24" s="1235">
        <v>100</v>
      </c>
      <c r="G24" s="1236">
        <v>40</v>
      </c>
      <c r="H24" s="1236">
        <v>60</v>
      </c>
      <c r="I24" s="1236">
        <v>20</v>
      </c>
      <c r="J24" s="1236">
        <v>100</v>
      </c>
      <c r="K24" s="1237">
        <v>100</v>
      </c>
      <c r="L24" s="1237">
        <v>150</v>
      </c>
      <c r="M24" s="1237">
        <v>50</v>
      </c>
      <c r="N24" s="1237">
        <v>150</v>
      </c>
      <c r="O24" s="88">
        <v>20</v>
      </c>
      <c r="P24" s="1235">
        <v>35</v>
      </c>
      <c r="Q24" s="1235">
        <v>20</v>
      </c>
      <c r="R24" s="1235">
        <v>20</v>
      </c>
      <c r="S24" s="1235">
        <v>0</v>
      </c>
      <c r="T24" s="1235">
        <v>0</v>
      </c>
      <c r="U24" s="1235">
        <v>0</v>
      </c>
      <c r="V24" s="1235">
        <v>0</v>
      </c>
      <c r="W24" s="1235">
        <v>0</v>
      </c>
      <c r="X24" s="1236">
        <v>15</v>
      </c>
      <c r="Y24" s="1236">
        <v>10</v>
      </c>
      <c r="Z24" s="1236">
        <v>0</v>
      </c>
      <c r="AA24" s="1236">
        <v>0</v>
      </c>
      <c r="AB24" s="1236">
        <v>0</v>
      </c>
      <c r="AC24" s="1237">
        <v>40</v>
      </c>
      <c r="AD24" s="1237">
        <v>30</v>
      </c>
      <c r="AE24" s="1237">
        <v>0</v>
      </c>
      <c r="AF24" s="1237">
        <v>0</v>
      </c>
      <c r="AG24" s="1237">
        <v>0</v>
      </c>
      <c r="AH24" s="88">
        <v>30</v>
      </c>
      <c r="AI24" s="1235">
        <v>35</v>
      </c>
      <c r="AJ24" s="1235">
        <v>20</v>
      </c>
      <c r="AK24" s="1235">
        <v>20</v>
      </c>
      <c r="AL24" s="1235">
        <v>0</v>
      </c>
      <c r="AM24" s="1235">
        <v>15</v>
      </c>
      <c r="AN24" s="1235">
        <v>0</v>
      </c>
      <c r="AO24" s="1235">
        <v>0</v>
      </c>
      <c r="AP24" s="1235">
        <v>0</v>
      </c>
      <c r="AQ24" s="1235">
        <v>20</v>
      </c>
      <c r="AR24" s="1235">
        <v>0</v>
      </c>
      <c r="AS24" s="1235">
        <v>0</v>
      </c>
      <c r="AT24" s="1235">
        <v>0</v>
      </c>
      <c r="AU24" s="1235">
        <v>50</v>
      </c>
      <c r="AV24" s="1236">
        <v>15</v>
      </c>
      <c r="AW24" s="1236">
        <v>10</v>
      </c>
      <c r="AX24" s="1236">
        <v>0</v>
      </c>
      <c r="AY24" s="1236">
        <v>0</v>
      </c>
      <c r="AZ24" s="1236">
        <v>20</v>
      </c>
      <c r="BA24" s="1236">
        <v>0</v>
      </c>
      <c r="BB24" s="1236">
        <v>45</v>
      </c>
      <c r="BC24" s="1237">
        <v>40</v>
      </c>
      <c r="BD24" s="1237">
        <v>20</v>
      </c>
      <c r="BE24" s="1237">
        <v>0</v>
      </c>
      <c r="BF24" s="1237">
        <v>0</v>
      </c>
      <c r="BG24" s="1238">
        <v>0</v>
      </c>
      <c r="BH24" s="1239">
        <v>60</v>
      </c>
      <c r="BI24" s="1235">
        <v>40</v>
      </c>
      <c r="BJ24" s="1235">
        <v>60</v>
      </c>
      <c r="BK24" s="1235">
        <v>0</v>
      </c>
      <c r="BL24" s="1240">
        <v>15</v>
      </c>
      <c r="BM24" s="1240">
        <v>25</v>
      </c>
      <c r="BN24" s="1240">
        <v>0</v>
      </c>
      <c r="BO24" s="1239">
        <v>20</v>
      </c>
      <c r="BP24" s="1239">
        <v>40</v>
      </c>
      <c r="BQ24" s="1242">
        <v>0</v>
      </c>
      <c r="BR24" s="1243" t="s">
        <v>570</v>
      </c>
      <c r="BS24" s="1244"/>
      <c r="BV24" s="1245"/>
      <c r="BW24" s="1239"/>
      <c r="BX24" s="1239"/>
      <c r="BY24" s="1239"/>
      <c r="BZ24" s="1239"/>
      <c r="CA24" s="1244"/>
      <c r="CB24" s="1244"/>
      <c r="CC24" s="1244"/>
      <c r="CD24" s="1244"/>
    </row>
    <row r="25" spans="1:82" x14ac:dyDescent="0.25">
      <c r="A25" s="1246">
        <f t="shared" si="0"/>
        <v>22</v>
      </c>
      <c r="B25" s="930" t="str">
        <f>Coltura!C23</f>
        <v>A27</v>
      </c>
      <c r="C25" s="930" t="str">
        <f>Coltura!D23</f>
        <v>Nocciolo frutti, legno e foglie</v>
      </c>
      <c r="D25" s="41" t="s">
        <v>645</v>
      </c>
      <c r="E25" s="32" t="s">
        <v>645</v>
      </c>
      <c r="F25" s="1224" t="s">
        <v>645</v>
      </c>
      <c r="AH25" s="32" t="s">
        <v>645</v>
      </c>
      <c r="BA25" s="1248"/>
      <c r="BB25" s="1225">
        <v>0</v>
      </c>
      <c r="BF25" s="1249"/>
      <c r="BG25" s="1228"/>
      <c r="BH25" s="1229">
        <v>0</v>
      </c>
      <c r="BR25" s="1251" t="s">
        <v>570</v>
      </c>
      <c r="BV25" s="60"/>
    </row>
    <row r="26" spans="1:82" s="88" customFormat="1" x14ac:dyDescent="0.25">
      <c r="A26" s="1246">
        <f t="shared" si="0"/>
        <v>23</v>
      </c>
      <c r="B26" s="930" t="str">
        <f>Coltura!C24</f>
        <v>A28</v>
      </c>
      <c r="C26" s="930" t="str">
        <f>Coltura!D24</f>
        <v>Noce da frutto frutti, legno e foglie</v>
      </c>
      <c r="D26" s="41" t="s">
        <v>645</v>
      </c>
      <c r="E26" s="88">
        <v>4</v>
      </c>
      <c r="F26" s="1235">
        <v>90</v>
      </c>
      <c r="G26" s="1236">
        <v>40</v>
      </c>
      <c r="H26" s="1236">
        <v>60</v>
      </c>
      <c r="I26" s="1236">
        <v>20</v>
      </c>
      <c r="J26" s="1236">
        <v>80</v>
      </c>
      <c r="K26" s="1237">
        <v>60</v>
      </c>
      <c r="L26" s="1237">
        <v>100</v>
      </c>
      <c r="M26" s="1237">
        <v>20</v>
      </c>
      <c r="N26" s="1237">
        <v>100</v>
      </c>
      <c r="O26" s="88">
        <v>3.2</v>
      </c>
      <c r="P26" s="1235">
        <v>15</v>
      </c>
      <c r="Q26" s="1235">
        <v>20</v>
      </c>
      <c r="R26" s="1235">
        <v>20</v>
      </c>
      <c r="S26" s="1235">
        <v>20</v>
      </c>
      <c r="T26" s="1235">
        <v>0</v>
      </c>
      <c r="U26" s="1235">
        <v>0</v>
      </c>
      <c r="V26" s="1235">
        <v>0</v>
      </c>
      <c r="W26" s="1235">
        <v>0</v>
      </c>
      <c r="X26" s="1236">
        <v>10</v>
      </c>
      <c r="Y26" s="1236">
        <v>0</v>
      </c>
      <c r="Z26" s="1236">
        <v>0</v>
      </c>
      <c r="AA26" s="1236">
        <v>0</v>
      </c>
      <c r="AB26" s="1236">
        <v>0</v>
      </c>
      <c r="AC26" s="1237">
        <v>20</v>
      </c>
      <c r="AD26" s="1237">
        <v>0</v>
      </c>
      <c r="AE26" s="1237">
        <v>0</v>
      </c>
      <c r="AF26" s="1237">
        <v>0</v>
      </c>
      <c r="AG26" s="1237">
        <v>0</v>
      </c>
      <c r="AH26" s="88">
        <v>4.8</v>
      </c>
      <c r="AI26" s="1235">
        <v>15</v>
      </c>
      <c r="AJ26" s="1235">
        <v>20</v>
      </c>
      <c r="AK26" s="1235">
        <v>20</v>
      </c>
      <c r="AL26" s="1235">
        <v>0</v>
      </c>
      <c r="AM26" s="1235">
        <v>15</v>
      </c>
      <c r="AN26" s="1235">
        <v>0</v>
      </c>
      <c r="AO26" s="1235">
        <v>0</v>
      </c>
      <c r="AP26" s="1235">
        <v>0</v>
      </c>
      <c r="AQ26" s="1235">
        <v>0</v>
      </c>
      <c r="AR26" s="1235">
        <v>0</v>
      </c>
      <c r="AS26" s="1235">
        <v>0</v>
      </c>
      <c r="AT26" s="1235">
        <v>0</v>
      </c>
      <c r="AU26" s="1235">
        <v>50</v>
      </c>
      <c r="AV26" s="1236">
        <v>10</v>
      </c>
      <c r="AW26" s="1236">
        <v>10</v>
      </c>
      <c r="AX26" s="1236">
        <v>0</v>
      </c>
      <c r="AY26" s="1236">
        <v>0</v>
      </c>
      <c r="AZ26" s="1236">
        <v>20</v>
      </c>
      <c r="BA26" s="1236">
        <v>0</v>
      </c>
      <c r="BB26" s="1236">
        <v>40</v>
      </c>
      <c r="BC26" s="1237">
        <v>20</v>
      </c>
      <c r="BD26" s="1237">
        <v>0</v>
      </c>
      <c r="BE26" s="1237">
        <v>0</v>
      </c>
      <c r="BF26" s="1237">
        <v>0</v>
      </c>
      <c r="BG26" s="1238">
        <v>0</v>
      </c>
      <c r="BH26" s="1239">
        <v>20</v>
      </c>
      <c r="BI26" s="1235">
        <v>30</v>
      </c>
      <c r="BJ26" s="1235">
        <v>50</v>
      </c>
      <c r="BK26" s="1235">
        <v>0</v>
      </c>
      <c r="BL26" s="1240">
        <v>20</v>
      </c>
      <c r="BM26" s="1240">
        <v>30</v>
      </c>
      <c r="BN26" s="1240">
        <v>0</v>
      </c>
      <c r="BO26" s="1239">
        <v>20</v>
      </c>
      <c r="BP26" s="1239">
        <v>40</v>
      </c>
      <c r="BQ26" s="1242">
        <v>0</v>
      </c>
      <c r="BR26" s="1243" t="s">
        <v>570</v>
      </c>
      <c r="BS26" s="1244"/>
      <c r="BV26" s="1245"/>
      <c r="BW26" s="1239"/>
      <c r="BX26" s="1239"/>
      <c r="BY26" s="1239"/>
      <c r="BZ26" s="1239"/>
      <c r="CA26" s="1244"/>
      <c r="CB26" s="1244"/>
      <c r="CC26" s="1244"/>
      <c r="CD26" s="1244"/>
    </row>
    <row r="27" spans="1:82" s="88" customFormat="1" x14ac:dyDescent="0.25">
      <c r="A27" s="1246">
        <f t="shared" si="0"/>
        <v>24</v>
      </c>
      <c r="B27" s="930" t="str">
        <f>Coltura!C25</f>
        <v>A29</v>
      </c>
      <c r="C27" s="930" t="str">
        <f>Coltura!D25</f>
        <v>Olivo olive, legno e foglie</v>
      </c>
      <c r="D27" s="41" t="s">
        <v>645</v>
      </c>
      <c r="E27" s="88">
        <v>4</v>
      </c>
      <c r="F27" s="1235">
        <v>70</v>
      </c>
      <c r="G27" s="1236">
        <v>40</v>
      </c>
      <c r="H27" s="1236">
        <v>100</v>
      </c>
      <c r="I27" s="1236">
        <v>20</v>
      </c>
      <c r="J27" s="1236">
        <v>130</v>
      </c>
      <c r="K27" s="1237">
        <v>60</v>
      </c>
      <c r="L27" s="1237">
        <v>120</v>
      </c>
      <c r="M27" s="1237">
        <v>40</v>
      </c>
      <c r="N27" s="1237">
        <v>120</v>
      </c>
      <c r="O27" s="88">
        <v>3</v>
      </c>
      <c r="P27" s="1235">
        <v>20</v>
      </c>
      <c r="Q27" s="1235">
        <v>0</v>
      </c>
      <c r="R27" s="1235">
        <v>20</v>
      </c>
      <c r="S27" s="1235">
        <v>20</v>
      </c>
      <c r="T27" s="1235">
        <v>0</v>
      </c>
      <c r="U27" s="1235">
        <v>0</v>
      </c>
      <c r="V27" s="1235">
        <v>0</v>
      </c>
      <c r="W27" s="1235">
        <v>0</v>
      </c>
      <c r="X27" s="1236">
        <v>10</v>
      </c>
      <c r="Y27" s="1236">
        <v>0</v>
      </c>
      <c r="Z27" s="1236">
        <v>0</v>
      </c>
      <c r="AA27" s="1236">
        <v>0</v>
      </c>
      <c r="AB27" s="1236">
        <v>0</v>
      </c>
      <c r="AC27" s="1237">
        <v>20</v>
      </c>
      <c r="AD27" s="1237">
        <v>30</v>
      </c>
      <c r="AE27" s="1237">
        <v>0</v>
      </c>
      <c r="AF27" s="1237">
        <v>0</v>
      </c>
      <c r="AG27" s="1237">
        <v>0</v>
      </c>
      <c r="AH27" s="88">
        <v>5</v>
      </c>
      <c r="AI27" s="1235">
        <v>20</v>
      </c>
      <c r="AJ27" s="1235">
        <v>20</v>
      </c>
      <c r="AK27" s="1235">
        <v>20</v>
      </c>
      <c r="AL27" s="1235">
        <v>0</v>
      </c>
      <c r="AM27" s="1235">
        <v>15</v>
      </c>
      <c r="AN27" s="1235">
        <v>0</v>
      </c>
      <c r="AO27" s="1235">
        <v>0</v>
      </c>
      <c r="AP27" s="1235">
        <v>0</v>
      </c>
      <c r="AQ27" s="1235">
        <v>0</v>
      </c>
      <c r="AR27" s="1235">
        <v>0</v>
      </c>
      <c r="AS27" s="1235">
        <v>0</v>
      </c>
      <c r="AT27" s="1235">
        <v>0</v>
      </c>
      <c r="AU27" s="1235">
        <v>30</v>
      </c>
      <c r="AV27" s="1236">
        <v>10</v>
      </c>
      <c r="AW27" s="1236">
        <v>10</v>
      </c>
      <c r="AX27" s="1236">
        <v>0</v>
      </c>
      <c r="AY27" s="1236">
        <v>0</v>
      </c>
      <c r="AZ27" s="1236">
        <v>20</v>
      </c>
      <c r="BA27" s="1236">
        <v>0</v>
      </c>
      <c r="BB27" s="1236">
        <v>40</v>
      </c>
      <c r="BC27" s="1237">
        <v>20</v>
      </c>
      <c r="BD27" s="1237">
        <v>0</v>
      </c>
      <c r="BE27" s="1237">
        <v>0</v>
      </c>
      <c r="BF27" s="1237">
        <v>0</v>
      </c>
      <c r="BG27" s="1238">
        <v>0</v>
      </c>
      <c r="BH27" s="1239">
        <v>20</v>
      </c>
      <c r="BI27" s="1235">
        <v>30</v>
      </c>
      <c r="BJ27" s="1235">
        <v>50</v>
      </c>
      <c r="BK27" s="1235">
        <v>0</v>
      </c>
      <c r="BL27" s="1240">
        <v>15</v>
      </c>
      <c r="BM27" s="1240">
        <v>25</v>
      </c>
      <c r="BN27" s="1240">
        <v>0</v>
      </c>
      <c r="BO27" s="1239">
        <v>20</v>
      </c>
      <c r="BP27" s="1239">
        <v>40</v>
      </c>
      <c r="BQ27" s="1242">
        <v>0</v>
      </c>
      <c r="BR27" s="1243" t="s">
        <v>570</v>
      </c>
      <c r="BS27" s="1244"/>
      <c r="BV27" s="1245"/>
      <c r="BW27" s="1239"/>
      <c r="BX27" s="1239"/>
      <c r="BY27" s="1239"/>
      <c r="BZ27" s="1239"/>
      <c r="CA27" s="1244"/>
      <c r="CB27" s="1244"/>
      <c r="CC27" s="1244"/>
      <c r="CD27" s="1244"/>
    </row>
    <row r="28" spans="1:82" s="1169" customFormat="1" x14ac:dyDescent="0.25">
      <c r="A28" s="1168">
        <f t="shared" si="0"/>
        <v>25</v>
      </c>
      <c r="B28" s="1169" t="str">
        <f>Coltura!C26</f>
        <v>A30</v>
      </c>
      <c r="C28" s="1169" t="str">
        <f>Coltura!D26</f>
        <v>Pero media produzione frutti, legno e foglie</v>
      </c>
      <c r="D28" s="1168" t="s">
        <v>645</v>
      </c>
      <c r="E28" s="1179">
        <v>30</v>
      </c>
      <c r="F28" s="1252">
        <v>90</v>
      </c>
      <c r="G28" s="1253">
        <v>30</v>
      </c>
      <c r="H28" s="1253">
        <v>60</v>
      </c>
      <c r="I28" s="1253">
        <v>10</v>
      </c>
      <c r="J28" s="1253">
        <v>60</v>
      </c>
      <c r="K28" s="1254">
        <v>100</v>
      </c>
      <c r="L28" s="1254">
        <v>150</v>
      </c>
      <c r="M28" s="1254">
        <v>50</v>
      </c>
      <c r="N28" s="1254">
        <v>150</v>
      </c>
      <c r="O28" s="1169">
        <v>24</v>
      </c>
      <c r="P28" s="1252">
        <v>25</v>
      </c>
      <c r="Q28" s="1252">
        <v>20</v>
      </c>
      <c r="R28" s="1252">
        <v>20</v>
      </c>
      <c r="S28" s="1252">
        <v>20</v>
      </c>
      <c r="T28" s="1252">
        <v>0</v>
      </c>
      <c r="U28" s="1252">
        <v>0</v>
      </c>
      <c r="V28" s="1252">
        <v>0</v>
      </c>
      <c r="W28" s="1252">
        <v>0</v>
      </c>
      <c r="X28" s="1253">
        <v>10</v>
      </c>
      <c r="Y28" s="1253">
        <v>0</v>
      </c>
      <c r="Z28" s="1253">
        <v>0</v>
      </c>
      <c r="AA28" s="1253">
        <v>0</v>
      </c>
      <c r="AB28" s="1253">
        <v>0</v>
      </c>
      <c r="AC28" s="1254">
        <v>25</v>
      </c>
      <c r="AD28" s="1254">
        <v>30</v>
      </c>
      <c r="AE28" s="1254">
        <v>0</v>
      </c>
      <c r="AF28" s="1254">
        <v>0</v>
      </c>
      <c r="AG28" s="1254">
        <v>0</v>
      </c>
      <c r="AH28" s="1169">
        <v>36</v>
      </c>
      <c r="AI28" s="1252">
        <v>25</v>
      </c>
      <c r="AJ28" s="1252">
        <v>20</v>
      </c>
      <c r="AK28" s="1252">
        <v>20</v>
      </c>
      <c r="AL28" s="1252">
        <v>0</v>
      </c>
      <c r="AM28" s="1252">
        <v>15</v>
      </c>
      <c r="AN28" s="1252">
        <v>0</v>
      </c>
      <c r="AO28" s="1252">
        <v>0</v>
      </c>
      <c r="AP28" s="1252">
        <v>0</v>
      </c>
      <c r="AQ28" s="1252">
        <v>0</v>
      </c>
      <c r="AR28" s="1252">
        <v>30</v>
      </c>
      <c r="AS28" s="1252">
        <v>0</v>
      </c>
      <c r="AT28" s="1252">
        <v>0</v>
      </c>
      <c r="AU28" s="1252">
        <v>50</v>
      </c>
      <c r="AV28" s="1253">
        <v>10</v>
      </c>
      <c r="AW28" s="1253">
        <v>10</v>
      </c>
      <c r="AX28" s="1253">
        <v>0</v>
      </c>
      <c r="AY28" s="1253">
        <v>0</v>
      </c>
      <c r="AZ28" s="1253">
        <v>20</v>
      </c>
      <c r="BA28" s="1253">
        <v>0</v>
      </c>
      <c r="BB28" s="1253">
        <v>40</v>
      </c>
      <c r="BC28" s="1254">
        <v>25</v>
      </c>
      <c r="BD28" s="1254">
        <v>0</v>
      </c>
      <c r="BE28" s="1254">
        <v>0</v>
      </c>
      <c r="BF28" s="1254">
        <v>0</v>
      </c>
      <c r="BG28" s="1255">
        <v>0</v>
      </c>
      <c r="BH28" s="1256">
        <v>25</v>
      </c>
      <c r="BI28" s="1252">
        <v>40</v>
      </c>
      <c r="BJ28" s="1252">
        <v>60</v>
      </c>
      <c r="BK28" s="1252">
        <v>20</v>
      </c>
      <c r="BL28" s="1257">
        <v>15</v>
      </c>
      <c r="BM28" s="1257">
        <v>25</v>
      </c>
      <c r="BN28" s="1257">
        <v>0</v>
      </c>
      <c r="BO28" s="1256">
        <v>20</v>
      </c>
      <c r="BP28" s="1256">
        <v>40</v>
      </c>
      <c r="BQ28" s="1258">
        <v>20</v>
      </c>
      <c r="BR28" s="1259" t="s">
        <v>570</v>
      </c>
      <c r="BS28" s="1260"/>
      <c r="BV28" s="1261"/>
      <c r="BW28" s="1256"/>
      <c r="BX28" s="1256"/>
      <c r="BY28" s="1256"/>
      <c r="BZ28" s="1256"/>
      <c r="CA28" s="1260"/>
      <c r="CB28" s="1260"/>
      <c r="CC28" s="1260"/>
      <c r="CD28" s="1260"/>
    </row>
    <row r="29" spans="1:82" s="1169" customFormat="1" x14ac:dyDescent="0.25">
      <c r="A29" s="1168">
        <f t="shared" si="0"/>
        <v>26</v>
      </c>
      <c r="B29" s="1169" t="str">
        <f>Coltura!C27</f>
        <v>A31</v>
      </c>
      <c r="C29" s="1262" t="str">
        <f>Coltura!D27</f>
        <v>Pero alta produzione frutti, legno e foglie</v>
      </c>
      <c r="D29" s="1168" t="s">
        <v>645</v>
      </c>
      <c r="E29" s="1262">
        <v>40</v>
      </c>
      <c r="F29" s="1252">
        <v>120</v>
      </c>
      <c r="G29" s="1253">
        <v>30</v>
      </c>
      <c r="H29" s="1253">
        <v>60</v>
      </c>
      <c r="I29" s="1253">
        <v>10</v>
      </c>
      <c r="J29" s="1253">
        <v>60</v>
      </c>
      <c r="K29" s="1254">
        <v>120</v>
      </c>
      <c r="L29" s="1254">
        <v>170</v>
      </c>
      <c r="M29" s="1254">
        <v>70</v>
      </c>
      <c r="N29" s="1254">
        <v>170</v>
      </c>
      <c r="O29" s="1262">
        <v>35</v>
      </c>
      <c r="P29" s="1252">
        <v>25</v>
      </c>
      <c r="Q29" s="1252">
        <v>20</v>
      </c>
      <c r="R29" s="1252">
        <v>20</v>
      </c>
      <c r="S29" s="1252">
        <v>20</v>
      </c>
      <c r="T29" s="1252">
        <v>0</v>
      </c>
      <c r="U29" s="1252">
        <v>0</v>
      </c>
      <c r="V29" s="1252">
        <v>0</v>
      </c>
      <c r="W29" s="1252">
        <v>0</v>
      </c>
      <c r="X29" s="1253">
        <v>10</v>
      </c>
      <c r="Y29" s="1253">
        <v>0</v>
      </c>
      <c r="Z29" s="1253">
        <v>0</v>
      </c>
      <c r="AA29" s="1253">
        <v>0</v>
      </c>
      <c r="AB29" s="1253">
        <v>0</v>
      </c>
      <c r="AC29" s="1254">
        <v>25</v>
      </c>
      <c r="AD29" s="1254">
        <v>30</v>
      </c>
      <c r="AE29" s="1254">
        <v>0</v>
      </c>
      <c r="AF29" s="1254">
        <v>0</v>
      </c>
      <c r="AG29" s="1254">
        <v>0</v>
      </c>
      <c r="AH29" s="1262">
        <v>45</v>
      </c>
      <c r="AI29" s="1252">
        <v>25</v>
      </c>
      <c r="AJ29" s="1252">
        <v>20</v>
      </c>
      <c r="AK29" s="1252">
        <v>20</v>
      </c>
      <c r="AL29" s="1252">
        <v>0</v>
      </c>
      <c r="AM29" s="1252">
        <v>15</v>
      </c>
      <c r="AN29" s="1252">
        <v>0</v>
      </c>
      <c r="AO29" s="1252">
        <v>0</v>
      </c>
      <c r="AP29" s="1252">
        <v>0</v>
      </c>
      <c r="AQ29" s="1252">
        <v>0</v>
      </c>
      <c r="AR29" s="1252">
        <v>30</v>
      </c>
      <c r="AS29" s="1252">
        <v>0</v>
      </c>
      <c r="AT29" s="1252">
        <v>0</v>
      </c>
      <c r="AU29" s="1252">
        <v>50</v>
      </c>
      <c r="AV29" s="1253">
        <v>10</v>
      </c>
      <c r="AW29" s="1253">
        <v>10</v>
      </c>
      <c r="AX29" s="1253">
        <v>0</v>
      </c>
      <c r="AY29" s="1253">
        <v>0</v>
      </c>
      <c r="AZ29" s="1253">
        <v>20</v>
      </c>
      <c r="BA29" s="1253">
        <v>0</v>
      </c>
      <c r="BB29" s="1253">
        <v>40</v>
      </c>
      <c r="BC29" s="1254">
        <v>25</v>
      </c>
      <c r="BD29" s="1254">
        <v>0</v>
      </c>
      <c r="BE29" s="1254">
        <v>0</v>
      </c>
      <c r="BF29" s="1254">
        <v>0</v>
      </c>
      <c r="BG29" s="1255">
        <v>0</v>
      </c>
      <c r="BH29" s="1256">
        <v>25</v>
      </c>
      <c r="BI29" s="1252">
        <v>40</v>
      </c>
      <c r="BJ29" s="1252">
        <v>60</v>
      </c>
      <c r="BK29" s="1252">
        <v>20</v>
      </c>
      <c r="BL29" s="1257">
        <v>15</v>
      </c>
      <c r="BM29" s="1257">
        <v>25</v>
      </c>
      <c r="BN29" s="1257">
        <v>0</v>
      </c>
      <c r="BO29" s="1256">
        <v>20</v>
      </c>
      <c r="BP29" s="1256">
        <v>40</v>
      </c>
      <c r="BQ29" s="1258">
        <v>20</v>
      </c>
      <c r="BR29" s="1259" t="s">
        <v>570</v>
      </c>
      <c r="BS29" s="1260"/>
      <c r="BV29" s="1261"/>
      <c r="BW29" s="1256"/>
      <c r="BX29" s="1256"/>
      <c r="BY29" s="1256"/>
      <c r="BZ29" s="1256"/>
      <c r="CA29" s="1260"/>
      <c r="CB29" s="1260"/>
      <c r="CC29" s="1260"/>
      <c r="CD29" s="1260"/>
    </row>
    <row r="30" spans="1:82" s="88" customFormat="1" x14ac:dyDescent="0.25">
      <c r="A30" s="1246">
        <f t="shared" si="0"/>
        <v>27</v>
      </c>
      <c r="B30" s="930" t="str">
        <f>Coltura!C28</f>
        <v>A32</v>
      </c>
      <c r="C30" s="930" t="str">
        <f>Coltura!D28</f>
        <v>Pesco frutti, legno e foglie</v>
      </c>
      <c r="D30" s="41" t="s">
        <v>645</v>
      </c>
      <c r="E30" s="88">
        <v>25</v>
      </c>
      <c r="F30" s="1235">
        <v>100</v>
      </c>
      <c r="G30" s="1236">
        <v>40</v>
      </c>
      <c r="H30" s="1236">
        <v>60</v>
      </c>
      <c r="I30" s="1236">
        <v>20</v>
      </c>
      <c r="J30" s="1236">
        <v>100</v>
      </c>
      <c r="K30" s="1237">
        <v>100</v>
      </c>
      <c r="L30" s="1237">
        <v>150</v>
      </c>
      <c r="M30" s="1237">
        <v>50</v>
      </c>
      <c r="N30" s="1237">
        <v>150</v>
      </c>
      <c r="O30" s="88">
        <v>20</v>
      </c>
      <c r="P30" s="1235">
        <v>35</v>
      </c>
      <c r="Q30" s="1235">
        <v>20</v>
      </c>
      <c r="R30" s="1235">
        <v>20</v>
      </c>
      <c r="S30" s="1235">
        <v>20</v>
      </c>
      <c r="T30" s="1235">
        <v>0</v>
      </c>
      <c r="U30" s="1235">
        <v>0</v>
      </c>
      <c r="V30" s="1235">
        <v>0</v>
      </c>
      <c r="W30" s="1235">
        <v>0</v>
      </c>
      <c r="X30" s="1236">
        <v>15</v>
      </c>
      <c r="Y30" s="1236">
        <v>0</v>
      </c>
      <c r="Z30" s="1236">
        <v>0</v>
      </c>
      <c r="AA30" s="1236">
        <v>0</v>
      </c>
      <c r="AB30" s="1236">
        <v>0</v>
      </c>
      <c r="AC30" s="1237">
        <v>40</v>
      </c>
      <c r="AD30" s="1237">
        <v>30</v>
      </c>
      <c r="AE30" s="1237">
        <v>0</v>
      </c>
      <c r="AF30" s="1237">
        <v>0</v>
      </c>
      <c r="AG30" s="1237">
        <v>0</v>
      </c>
      <c r="AH30" s="88">
        <v>30</v>
      </c>
      <c r="AI30" s="1235">
        <v>35</v>
      </c>
      <c r="AJ30" s="1235">
        <v>20</v>
      </c>
      <c r="AK30" s="1235">
        <v>20</v>
      </c>
      <c r="AL30" s="1235">
        <v>0</v>
      </c>
      <c r="AM30" s="1235">
        <v>15</v>
      </c>
      <c r="AN30" s="1235">
        <v>0</v>
      </c>
      <c r="AO30" s="1235">
        <v>0</v>
      </c>
      <c r="AP30" s="1235">
        <v>0</v>
      </c>
      <c r="AQ30" s="1235">
        <v>20</v>
      </c>
      <c r="AR30" s="1235">
        <v>0</v>
      </c>
      <c r="AS30" s="1235">
        <v>0</v>
      </c>
      <c r="AT30" s="1235">
        <v>0</v>
      </c>
      <c r="AU30" s="1235">
        <v>50</v>
      </c>
      <c r="AV30" s="1236">
        <v>15</v>
      </c>
      <c r="AW30" s="1236">
        <v>10</v>
      </c>
      <c r="AX30" s="1236">
        <v>0</v>
      </c>
      <c r="AY30" s="1236">
        <v>0</v>
      </c>
      <c r="AZ30" s="1236">
        <v>20</v>
      </c>
      <c r="BA30" s="1236">
        <v>0</v>
      </c>
      <c r="BB30" s="1236">
        <v>45</v>
      </c>
      <c r="BC30" s="1237">
        <v>40</v>
      </c>
      <c r="BD30" s="1237">
        <v>20</v>
      </c>
      <c r="BE30" s="1237">
        <v>0</v>
      </c>
      <c r="BF30" s="1237">
        <v>0</v>
      </c>
      <c r="BG30" s="1238">
        <v>0</v>
      </c>
      <c r="BH30" s="1239">
        <v>60</v>
      </c>
      <c r="BI30" s="1235">
        <v>40</v>
      </c>
      <c r="BJ30" s="1235">
        <v>60</v>
      </c>
      <c r="BK30" s="1235">
        <v>0</v>
      </c>
      <c r="BL30" s="1240">
        <v>15</v>
      </c>
      <c r="BM30" s="1240">
        <v>25</v>
      </c>
      <c r="BN30" s="1240">
        <v>0</v>
      </c>
      <c r="BO30" s="1239">
        <v>20</v>
      </c>
      <c r="BP30" s="1239">
        <v>40</v>
      </c>
      <c r="BQ30" s="1242">
        <v>0</v>
      </c>
      <c r="BR30" s="1243" t="s">
        <v>570</v>
      </c>
      <c r="BS30" s="1244"/>
      <c r="BV30" s="1245"/>
      <c r="BW30" s="1239"/>
      <c r="BX30" s="1239"/>
      <c r="BY30" s="1239"/>
      <c r="BZ30" s="1239"/>
      <c r="CA30" s="1244"/>
      <c r="CB30" s="1244"/>
      <c r="CC30" s="1244"/>
      <c r="CD30" s="1244"/>
    </row>
    <row r="31" spans="1:82" x14ac:dyDescent="0.25">
      <c r="A31" s="1246">
        <f t="shared" si="0"/>
        <v>28</v>
      </c>
      <c r="B31" s="930" t="str">
        <f>Coltura!C29</f>
        <v>A33</v>
      </c>
      <c r="C31" s="930" t="str">
        <f>Coltura!D29</f>
        <v>Pioppo</v>
      </c>
      <c r="D31" s="41" t="s">
        <v>645</v>
      </c>
      <c r="E31" s="32" t="s">
        <v>645</v>
      </c>
      <c r="F31" s="1224" t="s">
        <v>645</v>
      </c>
      <c r="AH31" s="32" t="s">
        <v>645</v>
      </c>
      <c r="BA31" s="1248"/>
      <c r="BB31" s="1225">
        <v>0</v>
      </c>
      <c r="BF31" s="1249"/>
      <c r="BG31" s="1228"/>
      <c r="BH31" s="1229">
        <v>0</v>
      </c>
      <c r="BR31" s="1243" t="s">
        <v>570</v>
      </c>
      <c r="BV31" s="60"/>
    </row>
    <row r="32" spans="1:82" x14ac:dyDescent="0.25">
      <c r="A32" s="1246">
        <f t="shared" si="0"/>
        <v>29</v>
      </c>
      <c r="B32" s="930" t="str">
        <f>Coltura!C30</f>
        <v>A34</v>
      </c>
      <c r="C32" s="930" t="str">
        <f>Coltura!D30</f>
        <v>Pioppo da energia</v>
      </c>
      <c r="D32" s="41" t="s">
        <v>645</v>
      </c>
      <c r="E32" s="32" t="s">
        <v>645</v>
      </c>
      <c r="F32" s="1224" t="s">
        <v>645</v>
      </c>
      <c r="AH32" s="32" t="s">
        <v>645</v>
      </c>
      <c r="BA32" s="1248"/>
      <c r="BB32" s="1225">
        <v>0</v>
      </c>
      <c r="BF32" s="1249"/>
      <c r="BG32" s="1228"/>
      <c r="BH32" s="1229">
        <v>0</v>
      </c>
      <c r="BR32" s="1243" t="s">
        <v>570</v>
      </c>
      <c r="BV32" s="60"/>
    </row>
    <row r="33" spans="1:82" s="88" customFormat="1" x14ac:dyDescent="0.25">
      <c r="A33" s="1246">
        <f t="shared" si="0"/>
        <v>30</v>
      </c>
      <c r="B33" s="930" t="str">
        <f>Coltura!C31</f>
        <v>A35</v>
      </c>
      <c r="C33" s="930" t="str">
        <f>Coltura!D31</f>
        <v>Susino frutti, legno e foglie</v>
      </c>
      <c r="D33" s="41" t="s">
        <v>645</v>
      </c>
      <c r="E33" s="88">
        <v>25</v>
      </c>
      <c r="F33" s="1235">
        <v>90</v>
      </c>
      <c r="G33" s="1236">
        <v>40</v>
      </c>
      <c r="H33" s="1236">
        <v>60</v>
      </c>
      <c r="I33" s="1236">
        <v>20</v>
      </c>
      <c r="J33" s="1236">
        <v>60</v>
      </c>
      <c r="K33" s="1237">
        <v>100</v>
      </c>
      <c r="L33" s="1237">
        <v>150</v>
      </c>
      <c r="M33" s="1237">
        <v>50</v>
      </c>
      <c r="N33" s="1237">
        <v>150</v>
      </c>
      <c r="O33" s="88">
        <v>20</v>
      </c>
      <c r="P33" s="1235">
        <v>25</v>
      </c>
      <c r="Q33" s="1235">
        <v>20</v>
      </c>
      <c r="R33" s="1235">
        <v>20</v>
      </c>
      <c r="S33" s="1235">
        <v>20</v>
      </c>
      <c r="T33" s="1235">
        <v>0</v>
      </c>
      <c r="U33" s="1235">
        <v>0</v>
      </c>
      <c r="V33" s="1235">
        <v>0</v>
      </c>
      <c r="W33" s="1235">
        <v>0</v>
      </c>
      <c r="X33" s="1236">
        <v>10</v>
      </c>
      <c r="Y33" s="1236">
        <v>0</v>
      </c>
      <c r="Z33" s="1236">
        <v>0</v>
      </c>
      <c r="AA33" s="1236">
        <v>0</v>
      </c>
      <c r="AB33" s="1236">
        <v>0</v>
      </c>
      <c r="AC33" s="1237">
        <v>20</v>
      </c>
      <c r="AD33" s="1237">
        <v>30</v>
      </c>
      <c r="AE33" s="1237">
        <v>0</v>
      </c>
      <c r="AF33" s="1237">
        <v>0</v>
      </c>
      <c r="AG33" s="1237">
        <v>0</v>
      </c>
      <c r="AH33" s="88">
        <v>30</v>
      </c>
      <c r="AI33" s="1235">
        <v>25</v>
      </c>
      <c r="AJ33" s="1235">
        <v>20</v>
      </c>
      <c r="AK33" s="1235">
        <v>20</v>
      </c>
      <c r="AL33" s="1235">
        <v>0</v>
      </c>
      <c r="AM33" s="1235">
        <v>15</v>
      </c>
      <c r="AN33" s="1235">
        <v>0</v>
      </c>
      <c r="AO33" s="1235">
        <v>0</v>
      </c>
      <c r="AP33" s="1235">
        <v>0</v>
      </c>
      <c r="AQ33" s="1235">
        <v>20</v>
      </c>
      <c r="AR33" s="1235">
        <v>0</v>
      </c>
      <c r="AS33" s="1235">
        <v>0</v>
      </c>
      <c r="AT33" s="1235">
        <v>0</v>
      </c>
      <c r="AU33" s="1235">
        <v>50</v>
      </c>
      <c r="AV33" s="1236">
        <v>10</v>
      </c>
      <c r="AW33" s="1236">
        <v>10</v>
      </c>
      <c r="AX33" s="1236">
        <v>0</v>
      </c>
      <c r="AY33" s="1236">
        <v>0</v>
      </c>
      <c r="AZ33" s="1236">
        <v>20</v>
      </c>
      <c r="BA33" s="1236">
        <v>0</v>
      </c>
      <c r="BB33" s="1236">
        <v>40</v>
      </c>
      <c r="BC33" s="1237">
        <v>20</v>
      </c>
      <c r="BD33" s="1237">
        <v>0</v>
      </c>
      <c r="BE33" s="1237">
        <v>0</v>
      </c>
      <c r="BF33" s="1237">
        <v>0</v>
      </c>
      <c r="BG33" s="1238">
        <v>0</v>
      </c>
      <c r="BH33" s="1239">
        <v>20</v>
      </c>
      <c r="BI33" s="1235">
        <v>40</v>
      </c>
      <c r="BJ33" s="1235">
        <v>60</v>
      </c>
      <c r="BK33" s="1235">
        <v>0</v>
      </c>
      <c r="BL33" s="1240">
        <v>15</v>
      </c>
      <c r="BM33" s="1240">
        <v>25</v>
      </c>
      <c r="BN33" s="1240">
        <v>0</v>
      </c>
      <c r="BO33" s="1239">
        <v>20</v>
      </c>
      <c r="BP33" s="1239">
        <v>40</v>
      </c>
      <c r="BQ33" s="1242">
        <v>0</v>
      </c>
      <c r="BR33" s="1243" t="s">
        <v>570</v>
      </c>
      <c r="BS33" s="1244"/>
      <c r="BV33" s="1245"/>
      <c r="BW33" s="1239"/>
      <c r="BX33" s="1239"/>
      <c r="BY33" s="1239"/>
      <c r="BZ33" s="1239"/>
      <c r="CA33" s="1244"/>
      <c r="CB33" s="1244"/>
      <c r="CC33" s="1244"/>
      <c r="CD33" s="1244"/>
    </row>
    <row r="34" spans="1:82" x14ac:dyDescent="0.25">
      <c r="A34" s="1246">
        <f t="shared" si="0"/>
        <v>31</v>
      </c>
      <c r="B34" s="930" t="str">
        <f>Coltura!C32</f>
        <v>A36</v>
      </c>
      <c r="C34" s="930" t="str">
        <f>Coltura!D32</f>
        <v>Uva da tavola grappoli, tralci e foglie</v>
      </c>
      <c r="D34" s="41" t="s">
        <v>645</v>
      </c>
      <c r="E34" s="32">
        <v>25</v>
      </c>
      <c r="F34" s="1224">
        <v>90</v>
      </c>
      <c r="G34" s="1225">
        <v>80</v>
      </c>
      <c r="H34" s="1225">
        <v>120</v>
      </c>
      <c r="I34" s="1225">
        <v>40</v>
      </c>
      <c r="J34" s="1225">
        <v>160</v>
      </c>
      <c r="K34" s="1226">
        <v>130</v>
      </c>
      <c r="L34" s="1226">
        <v>160</v>
      </c>
      <c r="M34" s="1226">
        <v>60</v>
      </c>
      <c r="N34" s="1226">
        <v>160</v>
      </c>
      <c r="O34" s="32">
        <v>20</v>
      </c>
      <c r="P34" s="1224">
        <v>40</v>
      </c>
      <c r="Q34" s="1224">
        <v>20</v>
      </c>
      <c r="R34" s="1224">
        <v>20</v>
      </c>
      <c r="S34" s="1224">
        <v>0</v>
      </c>
      <c r="T34" s="1224">
        <v>0</v>
      </c>
      <c r="U34" s="1224">
        <v>0</v>
      </c>
      <c r="V34" s="1224">
        <v>0</v>
      </c>
      <c r="W34" s="1224">
        <v>0</v>
      </c>
      <c r="X34" s="1225">
        <v>10</v>
      </c>
      <c r="Y34" s="1225">
        <v>10</v>
      </c>
      <c r="Z34" s="1225">
        <v>0</v>
      </c>
      <c r="AA34" s="1225">
        <v>0</v>
      </c>
      <c r="AB34" s="1225">
        <v>0</v>
      </c>
      <c r="AC34" s="1226">
        <v>35</v>
      </c>
      <c r="AD34" s="1226">
        <v>30</v>
      </c>
      <c r="AE34" s="1226">
        <v>0</v>
      </c>
      <c r="AF34" s="1226">
        <v>0</v>
      </c>
      <c r="AG34" s="1226">
        <v>0</v>
      </c>
      <c r="AH34" s="32">
        <v>30</v>
      </c>
      <c r="AI34" s="1224">
        <v>40</v>
      </c>
      <c r="AJ34" s="1224">
        <v>20</v>
      </c>
      <c r="AK34" s="1224">
        <v>20</v>
      </c>
      <c r="AL34" s="1224">
        <v>0</v>
      </c>
      <c r="AM34" s="1224">
        <v>15</v>
      </c>
      <c r="AN34" s="1224">
        <v>0</v>
      </c>
      <c r="AO34" s="1224">
        <v>0</v>
      </c>
      <c r="AP34" s="1224">
        <v>0</v>
      </c>
      <c r="AQ34" s="1224">
        <v>0</v>
      </c>
      <c r="AR34" s="1224">
        <v>0</v>
      </c>
      <c r="AS34" s="1224">
        <v>0</v>
      </c>
      <c r="AT34" s="1224">
        <v>0</v>
      </c>
      <c r="AU34" s="1224">
        <v>50</v>
      </c>
      <c r="AV34" s="1225">
        <v>10</v>
      </c>
      <c r="AW34" s="1225">
        <v>10</v>
      </c>
      <c r="AX34" s="1225">
        <v>0</v>
      </c>
      <c r="AY34" s="1225">
        <v>0</v>
      </c>
      <c r="AZ34" s="1225">
        <v>20</v>
      </c>
      <c r="BA34" s="1248">
        <v>0</v>
      </c>
      <c r="BB34" s="1225">
        <v>40</v>
      </c>
      <c r="BC34" s="1226">
        <v>35</v>
      </c>
      <c r="BD34" s="1226">
        <v>0</v>
      </c>
      <c r="BE34" s="1226">
        <v>0</v>
      </c>
      <c r="BF34" s="1249">
        <v>0</v>
      </c>
      <c r="BG34" s="1238">
        <v>0</v>
      </c>
      <c r="BH34" s="1229">
        <v>35</v>
      </c>
      <c r="BR34" s="1243" t="s">
        <v>570</v>
      </c>
      <c r="BV34" s="60"/>
    </row>
    <row r="35" spans="1:82" s="88" customFormat="1" x14ac:dyDescent="0.25">
      <c r="A35" s="1246">
        <f t="shared" si="0"/>
        <v>32</v>
      </c>
      <c r="B35" s="930" t="str">
        <f>Coltura!C33</f>
        <v>A37</v>
      </c>
      <c r="C35" s="930" t="str">
        <f>Coltura!D33</f>
        <v xml:space="preserve">Vite per uva da vino (collina e montagna) grappoli, tralci e foglie </v>
      </c>
      <c r="D35" s="41" t="s">
        <v>645</v>
      </c>
      <c r="E35" s="88">
        <v>10</v>
      </c>
      <c r="F35" s="1235">
        <v>50</v>
      </c>
      <c r="G35" s="1236">
        <v>40</v>
      </c>
      <c r="H35" s="1236">
        <v>60</v>
      </c>
      <c r="I35" s="1236">
        <v>20</v>
      </c>
      <c r="J35" s="1236">
        <v>100</v>
      </c>
      <c r="K35" s="1237">
        <v>80</v>
      </c>
      <c r="L35" s="1237">
        <v>150</v>
      </c>
      <c r="M35" s="1237">
        <v>40</v>
      </c>
      <c r="N35" s="1237">
        <v>150</v>
      </c>
      <c r="O35" s="88">
        <v>8</v>
      </c>
      <c r="P35" s="1235">
        <v>20</v>
      </c>
      <c r="Q35" s="1235">
        <v>20</v>
      </c>
      <c r="R35" s="1235">
        <v>20</v>
      </c>
      <c r="S35" s="1235">
        <v>20</v>
      </c>
      <c r="T35" s="1235">
        <v>0</v>
      </c>
      <c r="U35" s="1235">
        <v>0</v>
      </c>
      <c r="V35" s="1235">
        <v>0</v>
      </c>
      <c r="W35" s="1235">
        <v>0</v>
      </c>
      <c r="X35" s="1236">
        <v>10</v>
      </c>
      <c r="Y35" s="1236">
        <v>10</v>
      </c>
      <c r="Z35" s="1236">
        <v>0</v>
      </c>
      <c r="AA35" s="1236">
        <v>0</v>
      </c>
      <c r="AB35" s="1236">
        <v>0</v>
      </c>
      <c r="AC35" s="1237">
        <v>30</v>
      </c>
      <c r="AD35" s="1237">
        <v>30</v>
      </c>
      <c r="AE35" s="1237">
        <v>0</v>
      </c>
      <c r="AF35" s="1237">
        <v>0</v>
      </c>
      <c r="AG35" s="1237">
        <v>0</v>
      </c>
      <c r="AH35" s="88">
        <v>12</v>
      </c>
      <c r="AI35" s="1235">
        <v>20</v>
      </c>
      <c r="AJ35" s="1235">
        <v>20</v>
      </c>
      <c r="AK35" s="1235">
        <v>20</v>
      </c>
      <c r="AL35" s="1235">
        <v>0</v>
      </c>
      <c r="AM35" s="1235">
        <v>15</v>
      </c>
      <c r="AN35" s="1235">
        <v>0</v>
      </c>
      <c r="AO35" s="1235">
        <v>0</v>
      </c>
      <c r="AP35" s="1235">
        <v>0</v>
      </c>
      <c r="AQ35" s="1235">
        <v>0</v>
      </c>
      <c r="AR35" s="1235">
        <v>0</v>
      </c>
      <c r="AS35" s="1235">
        <v>0</v>
      </c>
      <c r="AT35" s="1235">
        <v>0</v>
      </c>
      <c r="AU35" s="1235">
        <v>40</v>
      </c>
      <c r="AV35" s="1236">
        <v>10</v>
      </c>
      <c r="AW35" s="1236">
        <v>10</v>
      </c>
      <c r="AX35" s="1236">
        <v>0</v>
      </c>
      <c r="AY35" s="1236">
        <v>0</v>
      </c>
      <c r="AZ35" s="1236">
        <v>20</v>
      </c>
      <c r="BA35" s="1236">
        <v>0</v>
      </c>
      <c r="BB35" s="1236">
        <v>40</v>
      </c>
      <c r="BC35" s="1237">
        <v>30</v>
      </c>
      <c r="BD35" s="1237">
        <v>0</v>
      </c>
      <c r="BE35" s="1237">
        <v>0</v>
      </c>
      <c r="BF35" s="1237">
        <v>0</v>
      </c>
      <c r="BG35" s="1238">
        <v>0</v>
      </c>
      <c r="BH35" s="1239">
        <v>30</v>
      </c>
      <c r="BI35" s="1235">
        <v>30</v>
      </c>
      <c r="BJ35" s="1235">
        <v>50</v>
      </c>
      <c r="BK35" s="1235">
        <v>0</v>
      </c>
      <c r="BL35" s="1240">
        <v>15</v>
      </c>
      <c r="BM35" s="1240">
        <v>25</v>
      </c>
      <c r="BN35" s="1240">
        <v>0</v>
      </c>
      <c r="BO35" s="1239">
        <v>20</v>
      </c>
      <c r="BP35" s="1239">
        <v>40</v>
      </c>
      <c r="BQ35" s="1242">
        <v>0</v>
      </c>
      <c r="BR35" s="1243" t="s">
        <v>570</v>
      </c>
      <c r="BS35" s="1244"/>
      <c r="BV35" s="1245"/>
      <c r="BW35" s="1239"/>
      <c r="BX35" s="1239"/>
      <c r="BY35" s="1239"/>
      <c r="BZ35" s="1239"/>
      <c r="CA35" s="1244"/>
      <c r="CB35" s="1244"/>
      <c r="CC35" s="1244"/>
      <c r="CD35" s="1244"/>
    </row>
    <row r="36" spans="1:82" s="88" customFormat="1" x14ac:dyDescent="0.25">
      <c r="A36" s="1246">
        <f t="shared" si="0"/>
        <v>33</v>
      </c>
      <c r="B36" s="930" t="str">
        <f>Coltura!C34</f>
        <v>A38</v>
      </c>
      <c r="C36" s="930" t="str">
        <f>Coltura!D34</f>
        <v>Vite per uva da vino (pianura) grappoli, legno e foglie</v>
      </c>
      <c r="D36" s="41" t="s">
        <v>645</v>
      </c>
      <c r="E36" s="88">
        <v>20</v>
      </c>
      <c r="F36" s="1235">
        <v>80</v>
      </c>
      <c r="G36" s="1236">
        <v>80</v>
      </c>
      <c r="H36" s="1236">
        <v>100</v>
      </c>
      <c r="I36" s="1236">
        <v>40</v>
      </c>
      <c r="J36" s="1236">
        <v>160</v>
      </c>
      <c r="K36" s="1237">
        <v>120</v>
      </c>
      <c r="L36" s="1237">
        <v>180</v>
      </c>
      <c r="M36" s="1237">
        <v>70</v>
      </c>
      <c r="N36" s="1237">
        <v>180</v>
      </c>
      <c r="O36" s="88">
        <v>16</v>
      </c>
      <c r="P36" s="1235">
        <v>25</v>
      </c>
      <c r="Q36" s="1235">
        <v>20</v>
      </c>
      <c r="R36" s="1235">
        <v>20</v>
      </c>
      <c r="S36" s="1235">
        <v>20</v>
      </c>
      <c r="T36" s="1235">
        <v>0</v>
      </c>
      <c r="U36" s="1235">
        <v>0</v>
      </c>
      <c r="V36" s="1235">
        <v>0</v>
      </c>
      <c r="W36" s="1235">
        <v>0</v>
      </c>
      <c r="X36" s="1236">
        <v>10</v>
      </c>
      <c r="Y36" s="1236">
        <v>10</v>
      </c>
      <c r="Z36" s="1236">
        <v>0</v>
      </c>
      <c r="AA36" s="1236">
        <v>0</v>
      </c>
      <c r="AB36" s="1236">
        <v>0</v>
      </c>
      <c r="AC36" s="1237">
        <v>50</v>
      </c>
      <c r="AD36" s="1237">
        <v>30</v>
      </c>
      <c r="AE36" s="1237">
        <v>0</v>
      </c>
      <c r="AF36" s="1237">
        <v>0</v>
      </c>
      <c r="AG36" s="1237">
        <v>0</v>
      </c>
      <c r="AH36" s="88">
        <v>24</v>
      </c>
      <c r="AI36" s="1235">
        <v>25</v>
      </c>
      <c r="AJ36" s="1235">
        <v>20</v>
      </c>
      <c r="AK36" s="1235">
        <v>20</v>
      </c>
      <c r="AL36" s="1235">
        <v>20</v>
      </c>
      <c r="AM36" s="1235">
        <v>15</v>
      </c>
      <c r="AN36" s="1235">
        <v>0</v>
      </c>
      <c r="AO36" s="1235">
        <v>0</v>
      </c>
      <c r="AP36" s="1235">
        <v>0</v>
      </c>
      <c r="AQ36" s="1235">
        <v>20</v>
      </c>
      <c r="AR36" s="1235">
        <v>0</v>
      </c>
      <c r="AS36" s="1235">
        <v>0</v>
      </c>
      <c r="AT36" s="1235">
        <v>0</v>
      </c>
      <c r="AU36" s="1235">
        <v>30</v>
      </c>
      <c r="AV36" s="1236">
        <v>10</v>
      </c>
      <c r="AW36" s="1236">
        <v>10</v>
      </c>
      <c r="AX36" s="1236">
        <v>0</v>
      </c>
      <c r="AY36" s="1236">
        <v>0</v>
      </c>
      <c r="AZ36" s="1236">
        <v>20</v>
      </c>
      <c r="BA36" s="1236">
        <v>0</v>
      </c>
      <c r="BB36" s="1236">
        <v>40</v>
      </c>
      <c r="BC36" s="1237">
        <v>50</v>
      </c>
      <c r="BD36" s="1237">
        <v>0</v>
      </c>
      <c r="BE36" s="1237">
        <v>0</v>
      </c>
      <c r="BF36" s="1237">
        <v>0</v>
      </c>
      <c r="BG36" s="1238">
        <v>0</v>
      </c>
      <c r="BH36" s="1239">
        <v>50</v>
      </c>
      <c r="BI36" s="1235">
        <v>40</v>
      </c>
      <c r="BJ36" s="1235">
        <v>60</v>
      </c>
      <c r="BK36" s="1235">
        <v>0</v>
      </c>
      <c r="BL36" s="1240">
        <v>15</v>
      </c>
      <c r="BM36" s="1240">
        <v>25</v>
      </c>
      <c r="BN36" s="1240">
        <v>0</v>
      </c>
      <c r="BO36" s="1239">
        <v>20</v>
      </c>
      <c r="BP36" s="1239">
        <v>40</v>
      </c>
      <c r="BQ36" s="1242">
        <v>0</v>
      </c>
      <c r="BR36" s="1243" t="s">
        <v>570</v>
      </c>
      <c r="BS36" s="1244"/>
      <c r="BV36" s="1245"/>
      <c r="BW36" s="1239"/>
      <c r="BX36" s="1239"/>
      <c r="BY36" s="1239"/>
      <c r="BZ36" s="1239"/>
      <c r="CA36" s="1244"/>
      <c r="CB36" s="1244"/>
      <c r="CC36" s="1244"/>
      <c r="CD36" s="1244"/>
    </row>
    <row r="37" spans="1:82" x14ac:dyDescent="0.25">
      <c r="A37" s="1246">
        <f>(A36+1)</f>
        <v>34</v>
      </c>
      <c r="B37" s="930" t="str">
        <f>Coltura!C35</f>
        <v>E1</v>
      </c>
      <c r="C37" s="930" t="str">
        <f>Coltura!D35</f>
        <v>Altri cereali a paglia (pianta intera)</v>
      </c>
      <c r="D37" s="41" t="s">
        <v>645</v>
      </c>
      <c r="E37" s="32" t="s">
        <v>645</v>
      </c>
      <c r="F37" s="1224" t="s">
        <v>645</v>
      </c>
      <c r="AH37" s="32" t="s">
        <v>645</v>
      </c>
      <c r="BA37" s="1248"/>
      <c r="BB37" s="1225">
        <v>0</v>
      </c>
      <c r="BF37" s="1249"/>
      <c r="BG37" s="1228"/>
      <c r="BH37" s="1229">
        <v>0</v>
      </c>
      <c r="BI37" s="1224">
        <v>0</v>
      </c>
      <c r="BJ37" s="1224">
        <v>0</v>
      </c>
      <c r="BL37" s="1230">
        <v>0</v>
      </c>
      <c r="BM37" s="1230">
        <v>0</v>
      </c>
      <c r="BO37" s="1229">
        <v>0</v>
      </c>
      <c r="BP37" s="1229">
        <v>0</v>
      </c>
      <c r="BR37" s="1243" t="s">
        <v>570</v>
      </c>
      <c r="BV37" s="60"/>
    </row>
    <row r="38" spans="1:82" x14ac:dyDescent="0.25">
      <c r="A38" s="1246">
        <f t="shared" si="0"/>
        <v>35</v>
      </c>
      <c r="B38" s="930" t="str">
        <f>Coltura!C36</f>
        <v>E2</v>
      </c>
      <c r="C38" s="930" t="str">
        <f>Coltura!D36</f>
        <v>Avena</v>
      </c>
      <c r="D38" s="41" t="s">
        <v>645</v>
      </c>
      <c r="E38" s="32">
        <v>3.2</v>
      </c>
      <c r="F38" s="1224">
        <v>60</v>
      </c>
      <c r="G38" s="1225">
        <v>40</v>
      </c>
      <c r="H38" s="1225">
        <v>70</v>
      </c>
      <c r="I38" s="1225">
        <v>0</v>
      </c>
      <c r="J38" s="1225">
        <v>70</v>
      </c>
      <c r="K38" s="1226">
        <v>50</v>
      </c>
      <c r="L38" s="1226">
        <v>70</v>
      </c>
      <c r="M38" s="1226">
        <v>0</v>
      </c>
      <c r="N38" s="1226">
        <v>70</v>
      </c>
      <c r="O38" s="32">
        <v>2.5</v>
      </c>
      <c r="P38" s="1224">
        <v>20</v>
      </c>
      <c r="Q38" s="1224">
        <v>20</v>
      </c>
      <c r="R38" s="1224">
        <v>0</v>
      </c>
      <c r="S38" s="1224">
        <v>15</v>
      </c>
      <c r="T38" s="1224">
        <v>0</v>
      </c>
      <c r="U38" s="1224">
        <v>80</v>
      </c>
      <c r="V38" s="1224">
        <v>40</v>
      </c>
      <c r="W38" s="1224">
        <v>0</v>
      </c>
      <c r="X38" s="1225">
        <v>12</v>
      </c>
      <c r="Y38" s="1225">
        <v>0</v>
      </c>
      <c r="Z38" s="1225">
        <v>0</v>
      </c>
      <c r="AA38" s="1225">
        <v>0</v>
      </c>
      <c r="AB38" s="1225">
        <v>0</v>
      </c>
      <c r="AC38" s="1226">
        <v>20</v>
      </c>
      <c r="AD38" s="1226">
        <v>0</v>
      </c>
      <c r="AE38" s="1226">
        <v>0</v>
      </c>
      <c r="AF38" s="1226">
        <v>0</v>
      </c>
      <c r="AG38" s="1226">
        <v>0</v>
      </c>
      <c r="AH38" s="32">
        <v>4</v>
      </c>
      <c r="AI38" s="1224">
        <v>20</v>
      </c>
      <c r="AJ38" s="1224">
        <v>15</v>
      </c>
      <c r="AK38" s="1224">
        <v>0</v>
      </c>
      <c r="AL38" s="1224">
        <v>0</v>
      </c>
      <c r="AM38" s="1224">
        <v>15</v>
      </c>
      <c r="AN38" s="1224">
        <v>30</v>
      </c>
      <c r="AO38" s="1224">
        <v>0</v>
      </c>
      <c r="AP38" s="1224">
        <v>10</v>
      </c>
      <c r="AQ38" s="1224">
        <v>0</v>
      </c>
      <c r="AR38" s="1224">
        <v>0</v>
      </c>
      <c r="AS38" s="1224">
        <v>0</v>
      </c>
      <c r="AT38" s="1224">
        <v>0</v>
      </c>
      <c r="AU38" s="1224">
        <v>40</v>
      </c>
      <c r="AV38" s="1225">
        <v>12</v>
      </c>
      <c r="AW38" s="1225">
        <v>0</v>
      </c>
      <c r="AX38" s="1225">
        <v>0</v>
      </c>
      <c r="AY38" s="1225">
        <v>0</v>
      </c>
      <c r="AZ38" s="1225">
        <v>0</v>
      </c>
      <c r="BA38" s="1248">
        <v>0</v>
      </c>
      <c r="BB38" s="1225">
        <v>12</v>
      </c>
      <c r="BC38" s="1226">
        <v>20</v>
      </c>
      <c r="BD38" s="1226">
        <v>0</v>
      </c>
      <c r="BE38" s="1226">
        <v>0</v>
      </c>
      <c r="BF38" s="1249">
        <v>0</v>
      </c>
      <c r="BG38" s="1238">
        <v>0</v>
      </c>
      <c r="BH38" s="1229">
        <v>20</v>
      </c>
      <c r="BI38" s="1224">
        <v>0</v>
      </c>
      <c r="BJ38" s="1224">
        <v>0</v>
      </c>
      <c r="BL38" s="1230">
        <v>0</v>
      </c>
      <c r="BM38" s="1230">
        <v>0</v>
      </c>
      <c r="BO38" s="1229">
        <v>0</v>
      </c>
      <c r="BP38" s="1229">
        <v>0</v>
      </c>
      <c r="BR38" s="1243" t="s">
        <v>570</v>
      </c>
      <c r="BV38" s="60"/>
    </row>
    <row r="39" spans="1:82" x14ac:dyDescent="0.25">
      <c r="A39" s="1246">
        <f t="shared" si="0"/>
        <v>36</v>
      </c>
      <c r="B39" s="930" t="str">
        <f>Coltura!C37</f>
        <v>E3</v>
      </c>
      <c r="C39" s="930" t="str">
        <f>Coltura!D37</f>
        <v>Avena pianta intera</v>
      </c>
      <c r="D39" s="41" t="s">
        <v>645</v>
      </c>
      <c r="E39" s="32">
        <v>3.2</v>
      </c>
      <c r="F39" s="1224">
        <v>60</v>
      </c>
      <c r="G39" s="1225">
        <v>40</v>
      </c>
      <c r="H39" s="1225">
        <v>70</v>
      </c>
      <c r="I39" s="1225">
        <v>0</v>
      </c>
      <c r="J39" s="1225">
        <v>70</v>
      </c>
      <c r="K39" s="1226">
        <v>100</v>
      </c>
      <c r="L39" s="1226">
        <v>130</v>
      </c>
      <c r="M39" s="1226">
        <v>0</v>
      </c>
      <c r="N39" s="1226">
        <v>130</v>
      </c>
      <c r="O39" s="32">
        <v>2.5</v>
      </c>
      <c r="P39" s="1224">
        <v>20</v>
      </c>
      <c r="Q39" s="1224">
        <v>20</v>
      </c>
      <c r="R39" s="1224">
        <v>0</v>
      </c>
      <c r="S39" s="1224">
        <v>15</v>
      </c>
      <c r="T39" s="1224">
        <v>0</v>
      </c>
      <c r="U39" s="1224">
        <v>80</v>
      </c>
      <c r="V39" s="1224">
        <v>40</v>
      </c>
      <c r="W39" s="1224">
        <v>0</v>
      </c>
      <c r="X39" s="1225">
        <v>12</v>
      </c>
      <c r="Y39" s="1225">
        <v>0</v>
      </c>
      <c r="Z39" s="1225">
        <v>0</v>
      </c>
      <c r="AA39" s="1225">
        <v>0</v>
      </c>
      <c r="AB39" s="1225">
        <v>0</v>
      </c>
      <c r="AC39" s="1226">
        <v>20</v>
      </c>
      <c r="AD39" s="1226">
        <v>0</v>
      </c>
      <c r="AE39" s="1226">
        <v>0</v>
      </c>
      <c r="AF39" s="1226">
        <v>0</v>
      </c>
      <c r="AG39" s="1226">
        <v>50</v>
      </c>
      <c r="AH39" s="32">
        <v>4</v>
      </c>
      <c r="AI39" s="1224">
        <v>20</v>
      </c>
      <c r="AJ39" s="1224">
        <v>15</v>
      </c>
      <c r="AK39" s="1224">
        <v>0</v>
      </c>
      <c r="AL39" s="1224">
        <v>0</v>
      </c>
      <c r="AM39" s="1224">
        <v>15</v>
      </c>
      <c r="AN39" s="1224">
        <v>30</v>
      </c>
      <c r="AO39" s="1224">
        <v>0</v>
      </c>
      <c r="AP39" s="1224">
        <v>10</v>
      </c>
      <c r="AQ39" s="1224">
        <v>0</v>
      </c>
      <c r="AR39" s="1224">
        <v>0</v>
      </c>
      <c r="AS39" s="1224">
        <v>0</v>
      </c>
      <c r="AT39" s="1224">
        <v>0</v>
      </c>
      <c r="AU39" s="1224">
        <v>40</v>
      </c>
      <c r="AV39" s="1225">
        <v>12</v>
      </c>
      <c r="AW39" s="1225">
        <v>0</v>
      </c>
      <c r="AX39" s="1225">
        <v>0</v>
      </c>
      <c r="AY39" s="1225">
        <v>0</v>
      </c>
      <c r="AZ39" s="1225">
        <v>0</v>
      </c>
      <c r="BA39" s="1248">
        <v>0</v>
      </c>
      <c r="BB39" s="1225">
        <v>12</v>
      </c>
      <c r="BC39" s="1226">
        <v>20</v>
      </c>
      <c r="BD39" s="1226">
        <v>0</v>
      </c>
      <c r="BE39" s="1226">
        <v>0</v>
      </c>
      <c r="BF39" s="1249">
        <v>0</v>
      </c>
      <c r="BG39" s="1238">
        <v>0</v>
      </c>
      <c r="BH39" s="1229">
        <v>20</v>
      </c>
      <c r="BI39" s="1224">
        <v>0</v>
      </c>
      <c r="BJ39" s="1224">
        <v>0</v>
      </c>
      <c r="BL39" s="1230">
        <v>0</v>
      </c>
      <c r="BM39" s="1230">
        <v>0</v>
      </c>
      <c r="BO39" s="1229">
        <v>0</v>
      </c>
      <c r="BP39" s="1229">
        <v>0</v>
      </c>
      <c r="BR39" s="1243" t="s">
        <v>570</v>
      </c>
      <c r="BV39" s="60"/>
    </row>
    <row r="40" spans="1:82" x14ac:dyDescent="0.25">
      <c r="A40" s="1246">
        <f t="shared" si="0"/>
        <v>37</v>
      </c>
      <c r="B40" s="930" t="str">
        <f>Coltura!C38</f>
        <v>E4</v>
      </c>
      <c r="C40" s="1263" t="str">
        <f>Coltura!D38</f>
        <v>Barbababietola da zucchero (pianta intera)</v>
      </c>
      <c r="D40" s="41" t="s">
        <v>645</v>
      </c>
      <c r="E40" s="32">
        <v>70</v>
      </c>
      <c r="F40" s="1224">
        <v>120</v>
      </c>
      <c r="G40" s="1225">
        <v>70</v>
      </c>
      <c r="H40" s="1225">
        <v>90</v>
      </c>
      <c r="I40" s="1225">
        <v>20</v>
      </c>
      <c r="J40" s="1225">
        <v>100</v>
      </c>
      <c r="K40" s="1226">
        <v>130</v>
      </c>
      <c r="L40" s="1226">
        <v>210</v>
      </c>
      <c r="M40" s="1226">
        <v>80</v>
      </c>
      <c r="N40" s="1226">
        <v>300</v>
      </c>
      <c r="O40" s="32">
        <v>60</v>
      </c>
      <c r="P40" s="1224">
        <v>30</v>
      </c>
      <c r="Q40" s="1224">
        <v>20</v>
      </c>
      <c r="R40" s="1224">
        <v>0</v>
      </c>
      <c r="S40" s="1224">
        <v>20</v>
      </c>
      <c r="T40" s="1224">
        <v>0</v>
      </c>
      <c r="U40" s="1224">
        <v>80</v>
      </c>
      <c r="V40" s="1224">
        <v>40</v>
      </c>
      <c r="W40" s="1224">
        <v>0</v>
      </c>
      <c r="X40" s="1225">
        <v>20</v>
      </c>
      <c r="Y40" s="1225">
        <v>20</v>
      </c>
      <c r="Z40" s="1225">
        <v>0</v>
      </c>
      <c r="AA40" s="1225">
        <v>0</v>
      </c>
      <c r="AB40" s="1225">
        <v>0</v>
      </c>
      <c r="AC40" s="1226">
        <v>25</v>
      </c>
      <c r="AD40" s="1226">
        <v>20</v>
      </c>
      <c r="AE40" s="1226">
        <v>0</v>
      </c>
      <c r="AF40" s="1226">
        <v>0</v>
      </c>
      <c r="AG40" s="1226">
        <v>0</v>
      </c>
      <c r="AH40" s="32">
        <v>80</v>
      </c>
      <c r="AI40" s="1224">
        <v>30</v>
      </c>
      <c r="AJ40" s="1224">
        <v>20</v>
      </c>
      <c r="AK40" s="1224">
        <v>0</v>
      </c>
      <c r="AL40" s="1224">
        <v>0</v>
      </c>
      <c r="AM40" s="1224">
        <v>15</v>
      </c>
      <c r="AN40" s="1224">
        <v>30</v>
      </c>
      <c r="AO40" s="1224">
        <v>0</v>
      </c>
      <c r="AP40" s="1224">
        <v>0</v>
      </c>
      <c r="AQ40" s="1224">
        <v>0</v>
      </c>
      <c r="AR40" s="1224">
        <v>0</v>
      </c>
      <c r="AS40" s="1224">
        <v>0</v>
      </c>
      <c r="AT40" s="1224">
        <v>0</v>
      </c>
      <c r="AU40" s="1224">
        <v>40</v>
      </c>
      <c r="AV40" s="1225">
        <v>20</v>
      </c>
      <c r="AW40" s="1225">
        <v>20</v>
      </c>
      <c r="AX40" s="1225">
        <v>0</v>
      </c>
      <c r="AY40" s="1225">
        <v>0</v>
      </c>
      <c r="AZ40" s="1225">
        <v>20</v>
      </c>
      <c r="BA40" s="1248">
        <v>0</v>
      </c>
      <c r="BB40" s="1225">
        <v>60</v>
      </c>
      <c r="BC40" s="1226">
        <v>25</v>
      </c>
      <c r="BD40" s="1226">
        <v>0</v>
      </c>
      <c r="BE40" s="1226">
        <v>0</v>
      </c>
      <c r="BF40" s="1249">
        <v>0</v>
      </c>
      <c r="BG40" s="1238">
        <v>0</v>
      </c>
      <c r="BH40" s="1229">
        <v>25</v>
      </c>
      <c r="BI40" s="1224">
        <v>0</v>
      </c>
      <c r="BJ40" s="1224">
        <v>0</v>
      </c>
      <c r="BL40" s="1230">
        <v>0</v>
      </c>
      <c r="BM40" s="1230">
        <v>0</v>
      </c>
      <c r="BO40" s="1229">
        <v>0</v>
      </c>
      <c r="BP40" s="1229">
        <v>0</v>
      </c>
      <c r="BR40" s="1243" t="s">
        <v>570</v>
      </c>
      <c r="BV40" s="60"/>
    </row>
    <row r="41" spans="1:82" s="88" customFormat="1" x14ac:dyDescent="0.25">
      <c r="A41" s="1246">
        <f t="shared" si="0"/>
        <v>38</v>
      </c>
      <c r="B41" s="930" t="str">
        <f>Coltura!C39</f>
        <v>E5</v>
      </c>
      <c r="C41" s="930" t="str">
        <f>Coltura!D39</f>
        <v>Barbabietola da zucchero  (radici)</v>
      </c>
      <c r="D41" s="41" t="s">
        <v>645</v>
      </c>
      <c r="E41" s="88">
        <v>50</v>
      </c>
      <c r="F41" s="1235">
        <v>120</v>
      </c>
      <c r="G41" s="1236">
        <v>50</v>
      </c>
      <c r="H41" s="1236">
        <v>70</v>
      </c>
      <c r="I41" s="1236">
        <v>30</v>
      </c>
      <c r="J41" s="1236">
        <v>100</v>
      </c>
      <c r="K41" s="1237">
        <v>120</v>
      </c>
      <c r="L41" s="1237">
        <v>200</v>
      </c>
      <c r="M41" s="1237">
        <v>0</v>
      </c>
      <c r="N41" s="1237">
        <v>300</v>
      </c>
      <c r="O41" s="88">
        <v>40</v>
      </c>
      <c r="P41" s="1235">
        <v>30</v>
      </c>
      <c r="Q41" s="1235">
        <v>20</v>
      </c>
      <c r="R41" s="1235">
        <v>0</v>
      </c>
      <c r="S41" s="1235">
        <v>20</v>
      </c>
      <c r="T41" s="1235">
        <v>0</v>
      </c>
      <c r="U41" s="1235">
        <v>80</v>
      </c>
      <c r="V41" s="1235">
        <v>40</v>
      </c>
      <c r="W41" s="1235">
        <v>0</v>
      </c>
      <c r="X41" s="1236">
        <v>20</v>
      </c>
      <c r="Y41" s="1236">
        <v>20</v>
      </c>
      <c r="Z41" s="1236">
        <v>0</v>
      </c>
      <c r="AA41" s="1236">
        <v>0</v>
      </c>
      <c r="AB41" s="1236">
        <v>0</v>
      </c>
      <c r="AC41" s="1237">
        <v>25</v>
      </c>
      <c r="AD41" s="1237">
        <v>20</v>
      </c>
      <c r="AE41" s="1237">
        <v>0</v>
      </c>
      <c r="AF41" s="1237">
        <v>0</v>
      </c>
      <c r="AG41" s="1237">
        <v>0</v>
      </c>
      <c r="AH41" s="88">
        <v>60</v>
      </c>
      <c r="AI41" s="1235">
        <v>30</v>
      </c>
      <c r="AJ41" s="1235">
        <v>20</v>
      </c>
      <c r="AK41" s="1235">
        <v>0</v>
      </c>
      <c r="AL41" s="1235">
        <v>0</v>
      </c>
      <c r="AM41" s="1235">
        <v>15</v>
      </c>
      <c r="AN41" s="1235">
        <v>30</v>
      </c>
      <c r="AO41" s="1235">
        <v>0</v>
      </c>
      <c r="AP41" s="1235">
        <v>0</v>
      </c>
      <c r="AQ41" s="1235">
        <v>0</v>
      </c>
      <c r="AR41" s="1235">
        <v>0</v>
      </c>
      <c r="AS41" s="1235">
        <v>0</v>
      </c>
      <c r="AT41" s="1235">
        <v>0</v>
      </c>
      <c r="AU41" s="1235">
        <v>40</v>
      </c>
      <c r="AV41" s="1236">
        <v>20</v>
      </c>
      <c r="AW41" s="1236">
        <v>20</v>
      </c>
      <c r="AX41" s="1236">
        <v>0</v>
      </c>
      <c r="AY41" s="1236">
        <v>0</v>
      </c>
      <c r="AZ41" s="1236">
        <v>20</v>
      </c>
      <c r="BA41" s="1236">
        <v>0</v>
      </c>
      <c r="BB41" s="1236">
        <v>60</v>
      </c>
      <c r="BC41" s="1237">
        <v>25</v>
      </c>
      <c r="BD41" s="1237">
        <v>0</v>
      </c>
      <c r="BE41" s="1237">
        <v>0</v>
      </c>
      <c r="BF41" s="1237">
        <v>0</v>
      </c>
      <c r="BG41" s="1238">
        <v>0</v>
      </c>
      <c r="BH41" s="1239">
        <v>25</v>
      </c>
      <c r="BI41" s="1235">
        <v>0</v>
      </c>
      <c r="BJ41" s="1235">
        <v>0</v>
      </c>
      <c r="BK41" s="1235"/>
      <c r="BL41" s="1240">
        <v>0</v>
      </c>
      <c r="BM41" s="1240">
        <v>0</v>
      </c>
      <c r="BN41" s="1240"/>
      <c r="BO41" s="1239">
        <v>0</v>
      </c>
      <c r="BP41" s="1239">
        <v>0</v>
      </c>
      <c r="BQ41" s="1242"/>
      <c r="BR41" s="1243" t="s">
        <v>570</v>
      </c>
      <c r="BS41" s="1244"/>
      <c r="BV41" s="1245"/>
      <c r="BW41" s="1239"/>
      <c r="BX41" s="1239"/>
      <c r="BY41" s="1239"/>
      <c r="BZ41" s="1239"/>
      <c r="CA41" s="1244"/>
      <c r="CB41" s="1244"/>
      <c r="CC41" s="1244"/>
      <c r="CD41" s="1244"/>
    </row>
    <row r="42" spans="1:82" x14ac:dyDescent="0.25">
      <c r="A42" s="1246">
        <f t="shared" si="0"/>
        <v>39</v>
      </c>
      <c r="B42" s="930" t="str">
        <f>Coltura!C40</f>
        <v>E6</v>
      </c>
      <c r="C42" s="930" t="str">
        <f>Coltura!D40</f>
        <v>Canapa da fibra</v>
      </c>
      <c r="D42" s="41" t="s">
        <v>645</v>
      </c>
      <c r="E42" s="32" t="s">
        <v>645</v>
      </c>
      <c r="F42" s="1224" t="s">
        <v>645</v>
      </c>
      <c r="AH42" s="32" t="s">
        <v>645</v>
      </c>
      <c r="BA42" s="1248"/>
      <c r="BB42" s="1225">
        <v>0</v>
      </c>
      <c r="BF42" s="1249"/>
      <c r="BG42" s="1228"/>
      <c r="BH42" s="1229">
        <v>0</v>
      </c>
      <c r="BI42" s="1224">
        <v>0</v>
      </c>
      <c r="BJ42" s="1224">
        <v>0</v>
      </c>
      <c r="BL42" s="1230">
        <v>0</v>
      </c>
      <c r="BM42" s="1230">
        <v>0</v>
      </c>
      <c r="BO42" s="1229">
        <v>0</v>
      </c>
      <c r="BP42" s="1229">
        <v>0</v>
      </c>
      <c r="BR42" s="1243" t="s">
        <v>570</v>
      </c>
      <c r="BV42" s="60"/>
    </row>
    <row r="43" spans="1:82" x14ac:dyDescent="0.25">
      <c r="A43" s="1246">
        <f t="shared" si="0"/>
        <v>40</v>
      </c>
      <c r="B43" s="930" t="str">
        <f>Coltura!C41</f>
        <v>E7</v>
      </c>
      <c r="C43" s="930" t="str">
        <f>Coltura!D41</f>
        <v>Cavolo abissino</v>
      </c>
      <c r="D43" s="41" t="s">
        <v>645</v>
      </c>
      <c r="E43" s="32" t="s">
        <v>645</v>
      </c>
      <c r="F43" s="1224" t="s">
        <v>645</v>
      </c>
      <c r="AH43" s="32" t="s">
        <v>645</v>
      </c>
      <c r="BA43" s="1248"/>
      <c r="BB43" s="1225">
        <v>0</v>
      </c>
      <c r="BF43" s="1249"/>
      <c r="BG43" s="1228"/>
      <c r="BH43" s="1229">
        <v>0</v>
      </c>
      <c r="BI43" s="1224">
        <v>0</v>
      </c>
      <c r="BJ43" s="1224">
        <v>0</v>
      </c>
      <c r="BL43" s="1230">
        <v>0</v>
      </c>
      <c r="BM43" s="1230">
        <v>0</v>
      </c>
      <c r="BO43" s="1229">
        <v>0</v>
      </c>
      <c r="BP43" s="1229">
        <v>0</v>
      </c>
      <c r="BR43" s="1243" t="s">
        <v>570</v>
      </c>
      <c r="BV43" s="60"/>
    </row>
    <row r="44" spans="1:82" s="88" customFormat="1" x14ac:dyDescent="0.25">
      <c r="A44" s="1246">
        <f t="shared" si="0"/>
        <v>41</v>
      </c>
      <c r="B44" s="930" t="str">
        <f>Coltura!C42</f>
        <v>E8</v>
      </c>
      <c r="C44" s="930" t="str">
        <f>Coltura!D42</f>
        <v>Cece</v>
      </c>
      <c r="D44" s="41" t="s">
        <v>645</v>
      </c>
      <c r="E44" s="88">
        <v>2</v>
      </c>
      <c r="F44" s="1235">
        <v>40</v>
      </c>
      <c r="G44" s="1236">
        <v>70</v>
      </c>
      <c r="H44" s="1236">
        <v>90</v>
      </c>
      <c r="I44" s="1236">
        <v>50</v>
      </c>
      <c r="J44" s="1236">
        <v>90</v>
      </c>
      <c r="K44" s="1237">
        <v>80</v>
      </c>
      <c r="L44" s="1237">
        <v>120</v>
      </c>
      <c r="M44" s="1237">
        <v>40</v>
      </c>
      <c r="N44" s="1237">
        <v>120</v>
      </c>
      <c r="O44" s="88">
        <v>1.6</v>
      </c>
      <c r="P44" s="1235">
        <v>10</v>
      </c>
      <c r="Q44" s="1235">
        <v>20</v>
      </c>
      <c r="R44" s="1235">
        <v>0</v>
      </c>
      <c r="S44" s="1235">
        <v>15</v>
      </c>
      <c r="T44" s="1235">
        <v>0</v>
      </c>
      <c r="U44" s="1235">
        <v>15</v>
      </c>
      <c r="V44" s="1235">
        <v>15</v>
      </c>
      <c r="W44" s="1235">
        <v>0</v>
      </c>
      <c r="X44" s="1236">
        <v>20</v>
      </c>
      <c r="Y44" s="1236">
        <v>10</v>
      </c>
      <c r="Z44" s="1236">
        <v>0</v>
      </c>
      <c r="AA44" s="1236">
        <v>0</v>
      </c>
      <c r="AB44" s="1236">
        <v>0</v>
      </c>
      <c r="AC44" s="1237">
        <v>20</v>
      </c>
      <c r="AD44" s="1237">
        <v>20</v>
      </c>
      <c r="AE44" s="1237">
        <v>0</v>
      </c>
      <c r="AF44" s="1237">
        <v>0</v>
      </c>
      <c r="AG44" s="1237">
        <v>0</v>
      </c>
      <c r="AH44" s="88">
        <v>2.4</v>
      </c>
      <c r="AI44" s="1235">
        <v>10</v>
      </c>
      <c r="AJ44" s="1235">
        <v>20</v>
      </c>
      <c r="AK44" s="1235">
        <v>0</v>
      </c>
      <c r="AL44" s="1235">
        <v>0</v>
      </c>
      <c r="AM44" s="1235">
        <v>15</v>
      </c>
      <c r="AN44" s="1235">
        <v>30</v>
      </c>
      <c r="AO44" s="1235">
        <v>20</v>
      </c>
      <c r="AP44" s="1235">
        <v>0</v>
      </c>
      <c r="AQ44" s="1235">
        <v>0</v>
      </c>
      <c r="AR44" s="1235">
        <v>0</v>
      </c>
      <c r="AS44" s="1235">
        <v>0</v>
      </c>
      <c r="AT44" s="1235">
        <v>0</v>
      </c>
      <c r="AU44" s="1235">
        <v>30</v>
      </c>
      <c r="AV44" s="1236">
        <v>20</v>
      </c>
      <c r="AW44" s="1236">
        <v>10</v>
      </c>
      <c r="AX44" s="1236">
        <v>0</v>
      </c>
      <c r="AY44" s="1236">
        <v>0</v>
      </c>
      <c r="AZ44" s="1236">
        <v>0</v>
      </c>
      <c r="BA44" s="1236">
        <v>0</v>
      </c>
      <c r="BB44" s="1236">
        <v>30</v>
      </c>
      <c r="BC44" s="1237">
        <v>20</v>
      </c>
      <c r="BD44" s="1237">
        <v>0</v>
      </c>
      <c r="BE44" s="1237">
        <v>0</v>
      </c>
      <c r="BF44" s="1237">
        <v>0</v>
      </c>
      <c r="BG44" s="1238">
        <v>0</v>
      </c>
      <c r="BH44" s="1239">
        <v>20</v>
      </c>
      <c r="BI44" s="1235">
        <v>0</v>
      </c>
      <c r="BJ44" s="1235">
        <v>0</v>
      </c>
      <c r="BK44" s="1235"/>
      <c r="BL44" s="1240">
        <v>0</v>
      </c>
      <c r="BM44" s="1240">
        <v>0</v>
      </c>
      <c r="BN44" s="1240"/>
      <c r="BO44" s="1239">
        <v>0</v>
      </c>
      <c r="BP44" s="1239">
        <v>0</v>
      </c>
      <c r="BQ44" s="1242"/>
      <c r="BR44" s="1243" t="s">
        <v>570</v>
      </c>
      <c r="BS44" s="1244"/>
      <c r="BV44" s="1245"/>
      <c r="BW44" s="1239"/>
      <c r="BX44" s="1239"/>
      <c r="BY44" s="1239"/>
      <c r="BZ44" s="1239"/>
      <c r="CA44" s="1244"/>
      <c r="CB44" s="1244"/>
      <c r="CC44" s="1244"/>
      <c r="CD44" s="1244"/>
    </row>
    <row r="45" spans="1:82" s="88" customFormat="1" x14ac:dyDescent="0.25">
      <c r="A45" s="1246">
        <f t="shared" si="0"/>
        <v>42</v>
      </c>
      <c r="B45" s="930" t="str">
        <f>Coltura!C43</f>
        <v>E9</v>
      </c>
      <c r="C45" s="930" t="str">
        <f>Coltura!D43</f>
        <v>Colza</v>
      </c>
      <c r="D45" s="41" t="s">
        <v>645</v>
      </c>
      <c r="E45" s="88">
        <v>2.5</v>
      </c>
      <c r="F45" s="1235">
        <v>135</v>
      </c>
      <c r="G45" s="1236">
        <v>50</v>
      </c>
      <c r="H45" s="1236">
        <v>70</v>
      </c>
      <c r="I45" s="1236">
        <v>0</v>
      </c>
      <c r="J45" s="1236">
        <v>70</v>
      </c>
      <c r="K45" s="1237">
        <v>40</v>
      </c>
      <c r="L45" s="1237">
        <v>80</v>
      </c>
      <c r="M45" s="1237">
        <v>0</v>
      </c>
      <c r="N45" s="1237">
        <v>80</v>
      </c>
      <c r="O45" s="88">
        <v>1.7</v>
      </c>
      <c r="P45" s="1235">
        <v>20</v>
      </c>
      <c r="Q45" s="1235">
        <v>20</v>
      </c>
      <c r="R45" s="1235">
        <v>0</v>
      </c>
      <c r="S45" s="1235">
        <v>15</v>
      </c>
      <c r="T45" s="1235">
        <v>0</v>
      </c>
      <c r="U45" s="1235">
        <v>80</v>
      </c>
      <c r="V45" s="1235">
        <v>40</v>
      </c>
      <c r="W45" s="1235">
        <v>0</v>
      </c>
      <c r="X45" s="1236">
        <v>10</v>
      </c>
      <c r="Y45" s="1236">
        <v>0</v>
      </c>
      <c r="Z45" s="1236">
        <v>0</v>
      </c>
      <c r="AA45" s="1236">
        <v>0</v>
      </c>
      <c r="AB45" s="1236">
        <v>0</v>
      </c>
      <c r="AC45" s="1237">
        <v>20</v>
      </c>
      <c r="AD45" s="1237">
        <v>0</v>
      </c>
      <c r="AE45" s="1237">
        <v>0</v>
      </c>
      <c r="AF45" s="1237">
        <v>0</v>
      </c>
      <c r="AG45" s="1237">
        <v>0</v>
      </c>
      <c r="AH45" s="88">
        <v>3.2</v>
      </c>
      <c r="AI45" s="1235">
        <v>20</v>
      </c>
      <c r="AJ45" s="1235">
        <v>15</v>
      </c>
      <c r="AK45" s="1235">
        <v>0</v>
      </c>
      <c r="AL45" s="1235">
        <v>0</v>
      </c>
      <c r="AM45" s="1235">
        <v>20</v>
      </c>
      <c r="AN45" s="1235">
        <v>30</v>
      </c>
      <c r="AO45" s="1235">
        <v>0</v>
      </c>
      <c r="AP45" s="1235">
        <v>0</v>
      </c>
      <c r="AQ45" s="1235">
        <v>0</v>
      </c>
      <c r="AR45" s="1235">
        <v>0</v>
      </c>
      <c r="AS45" s="1235">
        <v>0</v>
      </c>
      <c r="AT45" s="1235">
        <v>0</v>
      </c>
      <c r="AU45" s="1235">
        <v>40</v>
      </c>
      <c r="AV45" s="1236">
        <v>10</v>
      </c>
      <c r="AW45" s="1236">
        <v>0</v>
      </c>
      <c r="AX45" s="1236">
        <v>0</v>
      </c>
      <c r="AY45" s="1236">
        <v>0</v>
      </c>
      <c r="AZ45" s="1236">
        <v>0</v>
      </c>
      <c r="BA45" s="1236">
        <v>0</v>
      </c>
      <c r="BB45" s="1236">
        <v>10</v>
      </c>
      <c r="BC45" s="1237">
        <v>20</v>
      </c>
      <c r="BD45" s="1237">
        <v>0</v>
      </c>
      <c r="BE45" s="1237">
        <v>0</v>
      </c>
      <c r="BF45" s="1237">
        <v>0</v>
      </c>
      <c r="BG45" s="1238">
        <v>0</v>
      </c>
      <c r="BH45" s="1239">
        <v>20</v>
      </c>
      <c r="BI45" s="1235">
        <v>0</v>
      </c>
      <c r="BJ45" s="1235">
        <v>0</v>
      </c>
      <c r="BK45" s="1235"/>
      <c r="BL45" s="1240">
        <v>0</v>
      </c>
      <c r="BM45" s="1240">
        <v>0</v>
      </c>
      <c r="BN45" s="1240"/>
      <c r="BO45" s="1239">
        <v>0</v>
      </c>
      <c r="BP45" s="1239">
        <v>0</v>
      </c>
      <c r="BQ45" s="1242"/>
      <c r="BR45" s="1243" t="s">
        <v>570</v>
      </c>
      <c r="BS45" s="1244"/>
      <c r="BV45" s="1245"/>
      <c r="BW45" s="1239"/>
      <c r="BX45" s="1239"/>
      <c r="BY45" s="1239"/>
      <c r="BZ45" s="1239"/>
      <c r="CA45" s="1244"/>
      <c r="CB45" s="1244"/>
      <c r="CC45" s="1244"/>
      <c r="CD45" s="1244"/>
    </row>
    <row r="46" spans="1:82" x14ac:dyDescent="0.25">
      <c r="A46" s="1246">
        <f t="shared" si="0"/>
        <v>43</v>
      </c>
      <c r="B46" s="930" t="str">
        <f>Coltura!C44</f>
        <v>E10</v>
      </c>
      <c r="C46" s="930" t="str">
        <f>Coltura!D44</f>
        <v>Colza pianta intera</v>
      </c>
      <c r="D46" s="41" t="s">
        <v>645</v>
      </c>
      <c r="E46" s="32">
        <v>2.5</v>
      </c>
      <c r="F46" s="1224">
        <v>135</v>
      </c>
      <c r="G46" s="1225">
        <v>50</v>
      </c>
      <c r="H46" s="1225">
        <v>70</v>
      </c>
      <c r="I46" s="1225">
        <v>0</v>
      </c>
      <c r="J46" s="1225">
        <v>70</v>
      </c>
      <c r="K46" s="1226">
        <v>40</v>
      </c>
      <c r="L46" s="1226">
        <v>80</v>
      </c>
      <c r="M46" s="1226">
        <v>0</v>
      </c>
      <c r="N46" s="1226">
        <v>80</v>
      </c>
      <c r="O46" s="32">
        <v>1.7</v>
      </c>
      <c r="P46" s="1224">
        <v>20</v>
      </c>
      <c r="Q46" s="1224">
        <v>20</v>
      </c>
      <c r="R46" s="1224">
        <v>0</v>
      </c>
      <c r="S46" s="1224">
        <v>15</v>
      </c>
      <c r="T46" s="1224">
        <v>0</v>
      </c>
      <c r="U46" s="1224">
        <v>80</v>
      </c>
      <c r="V46" s="1224">
        <v>40</v>
      </c>
      <c r="W46" s="1224">
        <v>0</v>
      </c>
      <c r="X46" s="1225">
        <v>10</v>
      </c>
      <c r="Y46" s="1225">
        <v>0</v>
      </c>
      <c r="Z46" s="1225">
        <v>0</v>
      </c>
      <c r="AA46" s="1225">
        <v>0</v>
      </c>
      <c r="AB46" s="1225">
        <v>0</v>
      </c>
      <c r="AC46" s="1226">
        <v>20</v>
      </c>
      <c r="AD46" s="1226">
        <v>0</v>
      </c>
      <c r="AE46" s="1226">
        <v>0</v>
      </c>
      <c r="AF46" s="1226">
        <v>0</v>
      </c>
      <c r="AG46" s="1226">
        <v>0</v>
      </c>
      <c r="AH46" s="32">
        <v>3.2</v>
      </c>
      <c r="AI46" s="1224">
        <v>20</v>
      </c>
      <c r="AJ46" s="1224">
        <v>15</v>
      </c>
      <c r="AK46" s="1224">
        <v>0</v>
      </c>
      <c r="AL46" s="1224">
        <v>0</v>
      </c>
      <c r="AM46" s="1224">
        <v>20</v>
      </c>
      <c r="AN46" s="1224">
        <v>30</v>
      </c>
      <c r="AO46" s="1224">
        <v>0</v>
      </c>
      <c r="AP46" s="1224">
        <v>0</v>
      </c>
      <c r="AQ46" s="1224">
        <v>0</v>
      </c>
      <c r="AR46" s="1224">
        <v>0</v>
      </c>
      <c r="AS46" s="1224">
        <v>0</v>
      </c>
      <c r="AT46" s="1224">
        <v>0</v>
      </c>
      <c r="AU46" s="1224">
        <v>40</v>
      </c>
      <c r="AV46" s="1225">
        <v>10</v>
      </c>
      <c r="AW46" s="1225">
        <v>0</v>
      </c>
      <c r="AX46" s="1225">
        <v>0</v>
      </c>
      <c r="AY46" s="1225">
        <v>0</v>
      </c>
      <c r="AZ46" s="1225">
        <v>0</v>
      </c>
      <c r="BA46" s="1225">
        <v>0</v>
      </c>
      <c r="BB46" s="1225">
        <v>10</v>
      </c>
      <c r="BC46" s="1226">
        <v>20</v>
      </c>
      <c r="BD46" s="1226">
        <v>0</v>
      </c>
      <c r="BE46" s="1226">
        <v>0</v>
      </c>
      <c r="BF46" s="1226">
        <v>0</v>
      </c>
      <c r="BG46" s="1238">
        <v>0</v>
      </c>
      <c r="BH46" s="1229">
        <v>20</v>
      </c>
      <c r="BI46" s="1224">
        <v>0</v>
      </c>
      <c r="BJ46" s="1224">
        <v>0</v>
      </c>
      <c r="BL46" s="1230">
        <v>0</v>
      </c>
      <c r="BM46" s="1230">
        <v>0</v>
      </c>
      <c r="BO46" s="1229">
        <v>0</v>
      </c>
      <c r="BP46" s="1229">
        <v>0</v>
      </c>
      <c r="BR46" s="1243" t="s">
        <v>570</v>
      </c>
      <c r="BV46" s="60"/>
    </row>
    <row r="47" spans="1:82" s="88" customFormat="1" x14ac:dyDescent="0.25">
      <c r="A47" s="1246">
        <f t="shared" si="0"/>
        <v>44</v>
      </c>
      <c r="B47" s="930" t="str">
        <f>Coltura!C45</f>
        <v>E11</v>
      </c>
      <c r="C47" s="930" t="str">
        <f>Coltura!D45</f>
        <v>Farro</v>
      </c>
      <c r="D47" s="41" t="s">
        <v>645</v>
      </c>
      <c r="E47" s="88">
        <v>2</v>
      </c>
      <c r="F47" s="1235">
        <v>40</v>
      </c>
      <c r="G47" s="1236">
        <v>30</v>
      </c>
      <c r="H47" s="1236">
        <v>50</v>
      </c>
      <c r="I47" s="1236">
        <v>0</v>
      </c>
      <c r="J47" s="1236">
        <v>50</v>
      </c>
      <c r="K47" s="1237">
        <v>40</v>
      </c>
      <c r="L47" s="1237">
        <v>60</v>
      </c>
      <c r="M47" s="1237">
        <v>0</v>
      </c>
      <c r="N47" s="1237">
        <v>60</v>
      </c>
      <c r="O47" s="88">
        <v>1.5</v>
      </c>
      <c r="P47" s="1235">
        <v>15</v>
      </c>
      <c r="Q47" s="1235">
        <v>20</v>
      </c>
      <c r="R47" s="1235">
        <v>0</v>
      </c>
      <c r="S47" s="1235">
        <v>15</v>
      </c>
      <c r="T47" s="1235">
        <v>15</v>
      </c>
      <c r="U47" s="1235">
        <v>40</v>
      </c>
      <c r="V47" s="1235">
        <v>40</v>
      </c>
      <c r="W47" s="1235">
        <v>0</v>
      </c>
      <c r="X47" s="1236">
        <v>10</v>
      </c>
      <c r="Y47" s="1236">
        <v>0</v>
      </c>
      <c r="Z47" s="1236">
        <v>0</v>
      </c>
      <c r="AA47" s="1236">
        <v>0</v>
      </c>
      <c r="AB47" s="1236">
        <v>0</v>
      </c>
      <c r="AC47" s="1237">
        <v>20</v>
      </c>
      <c r="AD47" s="1237">
        <v>0</v>
      </c>
      <c r="AE47" s="1237">
        <v>0</v>
      </c>
      <c r="AF47" s="1237">
        <v>0</v>
      </c>
      <c r="AG47" s="1237">
        <v>0</v>
      </c>
      <c r="AH47" s="88">
        <v>2.5</v>
      </c>
      <c r="AI47" s="1235">
        <v>15</v>
      </c>
      <c r="AJ47" s="1235">
        <v>15</v>
      </c>
      <c r="AK47" s="1235">
        <v>0</v>
      </c>
      <c r="AL47" s="1235">
        <v>0</v>
      </c>
      <c r="AM47" s="1235">
        <v>15</v>
      </c>
      <c r="AN47" s="1235">
        <v>30</v>
      </c>
      <c r="AO47" s="1235">
        <v>0</v>
      </c>
      <c r="AP47" s="1235">
        <v>10</v>
      </c>
      <c r="AQ47" s="1235">
        <v>0</v>
      </c>
      <c r="AR47" s="1235">
        <v>0</v>
      </c>
      <c r="AS47" s="1235">
        <v>0</v>
      </c>
      <c r="AT47" s="1235">
        <v>0</v>
      </c>
      <c r="AU47" s="1235">
        <v>30</v>
      </c>
      <c r="AV47" s="1236">
        <v>10</v>
      </c>
      <c r="AW47" s="1236">
        <v>0</v>
      </c>
      <c r="AX47" s="1236">
        <v>0</v>
      </c>
      <c r="AY47" s="1236">
        <v>30</v>
      </c>
      <c r="AZ47" s="1236">
        <v>0</v>
      </c>
      <c r="BA47" s="1236">
        <v>0</v>
      </c>
      <c r="BB47" s="1236">
        <v>40</v>
      </c>
      <c r="BC47" s="1237">
        <v>20</v>
      </c>
      <c r="BD47" s="1237">
        <v>0</v>
      </c>
      <c r="BE47" s="1237">
        <v>0</v>
      </c>
      <c r="BF47" s="1237">
        <v>0</v>
      </c>
      <c r="BG47" s="1238">
        <v>0</v>
      </c>
      <c r="BH47" s="1239">
        <v>20</v>
      </c>
      <c r="BI47" s="1235">
        <v>0</v>
      </c>
      <c r="BJ47" s="1235">
        <v>0</v>
      </c>
      <c r="BK47" s="1235"/>
      <c r="BL47" s="1240">
        <v>0</v>
      </c>
      <c r="BM47" s="1240">
        <v>0</v>
      </c>
      <c r="BN47" s="1240"/>
      <c r="BO47" s="1239">
        <v>0</v>
      </c>
      <c r="BP47" s="1239">
        <v>0</v>
      </c>
      <c r="BQ47" s="1242"/>
      <c r="BR47" s="1243" t="s">
        <v>570</v>
      </c>
      <c r="BS47" s="1244"/>
      <c r="BV47" s="1245"/>
      <c r="BW47" s="1239"/>
      <c r="BX47" s="1239"/>
      <c r="BY47" s="1239"/>
      <c r="BZ47" s="1239"/>
      <c r="CA47" s="1244"/>
      <c r="CB47" s="1244"/>
      <c r="CC47" s="1244"/>
      <c r="CD47" s="1244"/>
    </row>
    <row r="48" spans="1:82" s="88" customFormat="1" x14ac:dyDescent="0.25">
      <c r="A48" s="1246">
        <f t="shared" si="0"/>
        <v>45</v>
      </c>
      <c r="B48" s="930" t="str">
        <f>Coltura!C46</f>
        <v>E12</v>
      </c>
      <c r="C48" s="930" t="str">
        <f>Coltura!D46</f>
        <v>Farro (pianta intera)</v>
      </c>
      <c r="D48" s="41" t="s">
        <v>645</v>
      </c>
      <c r="E48" s="88">
        <v>2</v>
      </c>
      <c r="F48" s="1235">
        <v>40</v>
      </c>
      <c r="G48" s="1236">
        <v>30</v>
      </c>
      <c r="H48" s="1236">
        <v>50</v>
      </c>
      <c r="I48" s="1236">
        <v>0</v>
      </c>
      <c r="J48" s="1236">
        <v>50</v>
      </c>
      <c r="K48" s="1237">
        <v>40</v>
      </c>
      <c r="L48" s="1237">
        <v>60</v>
      </c>
      <c r="M48" s="1237">
        <v>0</v>
      </c>
      <c r="N48" s="1237">
        <v>60</v>
      </c>
      <c r="O48" s="88">
        <v>1.5</v>
      </c>
      <c r="P48" s="1235">
        <v>15</v>
      </c>
      <c r="Q48" s="1235">
        <v>20</v>
      </c>
      <c r="R48" s="1235">
        <v>0</v>
      </c>
      <c r="S48" s="1235">
        <v>15</v>
      </c>
      <c r="T48" s="1235">
        <v>0</v>
      </c>
      <c r="U48" s="1235">
        <v>80</v>
      </c>
      <c r="V48" s="1235">
        <v>40</v>
      </c>
      <c r="W48" s="1235">
        <v>0</v>
      </c>
      <c r="X48" s="1236">
        <v>10</v>
      </c>
      <c r="Y48" s="1236">
        <v>0</v>
      </c>
      <c r="Z48" s="1236">
        <v>0</v>
      </c>
      <c r="AA48" s="1236">
        <v>0</v>
      </c>
      <c r="AB48" s="1236">
        <v>0</v>
      </c>
      <c r="AC48" s="1237">
        <v>20</v>
      </c>
      <c r="AD48" s="1237">
        <v>0</v>
      </c>
      <c r="AE48" s="1237">
        <v>0</v>
      </c>
      <c r="AF48" s="1237">
        <v>0</v>
      </c>
      <c r="AG48" s="1237">
        <v>0</v>
      </c>
      <c r="AH48" s="88">
        <v>2.5</v>
      </c>
      <c r="AI48" s="1235">
        <v>15</v>
      </c>
      <c r="AJ48" s="1235">
        <v>15</v>
      </c>
      <c r="AK48" s="1235">
        <v>0</v>
      </c>
      <c r="AL48" s="1235">
        <v>0</v>
      </c>
      <c r="AM48" s="1235">
        <v>15</v>
      </c>
      <c r="AN48" s="1235">
        <v>30</v>
      </c>
      <c r="AO48" s="1235">
        <v>0</v>
      </c>
      <c r="AP48" s="1235">
        <v>10</v>
      </c>
      <c r="AQ48" s="1235">
        <v>0</v>
      </c>
      <c r="AR48" s="1235">
        <v>0</v>
      </c>
      <c r="AS48" s="1235">
        <v>0</v>
      </c>
      <c r="AT48" s="1235">
        <v>0</v>
      </c>
      <c r="AU48" s="1235">
        <v>30</v>
      </c>
      <c r="AV48" s="1236">
        <v>10</v>
      </c>
      <c r="AW48" s="1236">
        <v>0</v>
      </c>
      <c r="AX48" s="1236">
        <v>0</v>
      </c>
      <c r="AY48" s="1236">
        <v>30</v>
      </c>
      <c r="AZ48" s="1236">
        <v>0</v>
      </c>
      <c r="BA48" s="1236">
        <v>0</v>
      </c>
      <c r="BB48" s="1236">
        <v>40</v>
      </c>
      <c r="BC48" s="1237">
        <v>20</v>
      </c>
      <c r="BD48" s="1237">
        <v>0</v>
      </c>
      <c r="BE48" s="1237">
        <v>0</v>
      </c>
      <c r="BF48" s="1237">
        <v>0</v>
      </c>
      <c r="BG48" s="1238">
        <v>0</v>
      </c>
      <c r="BH48" s="1239">
        <v>20</v>
      </c>
      <c r="BI48" s="1235">
        <v>0</v>
      </c>
      <c r="BJ48" s="1235">
        <v>0</v>
      </c>
      <c r="BK48" s="1235"/>
      <c r="BL48" s="1240">
        <v>0</v>
      </c>
      <c r="BM48" s="1240">
        <v>0</v>
      </c>
      <c r="BN48" s="1240"/>
      <c r="BO48" s="1239">
        <v>0</v>
      </c>
      <c r="BP48" s="1239">
        <v>0</v>
      </c>
      <c r="BQ48" s="1242"/>
      <c r="BR48" s="1243" t="s">
        <v>570</v>
      </c>
      <c r="BS48" s="1244"/>
      <c r="BV48" s="1245"/>
      <c r="BW48" s="1239"/>
      <c r="BX48" s="1239"/>
      <c r="BY48" s="1239"/>
      <c r="BZ48" s="1239"/>
      <c r="CA48" s="1244"/>
      <c r="CB48" s="1244"/>
      <c r="CC48" s="1244"/>
      <c r="CD48" s="1244"/>
    </row>
    <row r="49" spans="1:82" x14ac:dyDescent="0.25">
      <c r="A49" s="1246">
        <f t="shared" si="0"/>
        <v>46</v>
      </c>
      <c r="B49" s="930" t="str">
        <f>Coltura!C47</f>
        <v>E13</v>
      </c>
      <c r="C49" s="930" t="str">
        <f>Coltura!D47</f>
        <v>Favino da granella</v>
      </c>
      <c r="D49" s="1264" t="s">
        <v>645</v>
      </c>
      <c r="E49" s="1265">
        <v>2</v>
      </c>
      <c r="F49" s="1266">
        <v>0</v>
      </c>
      <c r="G49" s="1267">
        <v>70</v>
      </c>
      <c r="H49" s="1267">
        <v>90</v>
      </c>
      <c r="I49" s="1267">
        <v>50</v>
      </c>
      <c r="J49" s="1267">
        <v>90</v>
      </c>
      <c r="K49" s="1238">
        <v>90</v>
      </c>
      <c r="L49" s="1238">
        <v>120</v>
      </c>
      <c r="M49" s="1238">
        <v>40</v>
      </c>
      <c r="N49" s="1238">
        <v>120</v>
      </c>
      <c r="O49" s="1268">
        <v>1.6</v>
      </c>
      <c r="P49" s="1266">
        <v>10</v>
      </c>
      <c r="Q49" s="1266">
        <v>20</v>
      </c>
      <c r="R49" s="1266">
        <v>0</v>
      </c>
      <c r="S49" s="1266">
        <v>15</v>
      </c>
      <c r="T49" s="1266">
        <v>0</v>
      </c>
      <c r="U49" s="1266">
        <v>40</v>
      </c>
      <c r="V49" s="1266">
        <v>15</v>
      </c>
      <c r="W49" s="1266">
        <v>0</v>
      </c>
      <c r="X49" s="1267">
        <v>20</v>
      </c>
      <c r="Y49" s="1267">
        <v>10</v>
      </c>
      <c r="Z49" s="1267">
        <v>0</v>
      </c>
      <c r="AA49" s="1267">
        <v>0</v>
      </c>
      <c r="AB49" s="1267">
        <v>0</v>
      </c>
      <c r="AC49" s="1238">
        <v>20</v>
      </c>
      <c r="AD49" s="1238">
        <v>30</v>
      </c>
      <c r="AE49" s="1238">
        <v>0</v>
      </c>
      <c r="AF49" s="1238">
        <v>0</v>
      </c>
      <c r="AG49" s="1238">
        <v>0</v>
      </c>
      <c r="AH49" s="1268">
        <v>2.4</v>
      </c>
      <c r="AI49" s="1266">
        <v>10</v>
      </c>
      <c r="AJ49" s="1266">
        <v>20</v>
      </c>
      <c r="AK49" s="1266">
        <v>0</v>
      </c>
      <c r="AL49" s="1266">
        <v>0</v>
      </c>
      <c r="AM49" s="1266">
        <v>15</v>
      </c>
      <c r="AN49" s="1266">
        <v>30</v>
      </c>
      <c r="AO49" s="1266">
        <v>0</v>
      </c>
      <c r="AP49" s="1266">
        <v>0</v>
      </c>
      <c r="AQ49" s="1266">
        <v>0</v>
      </c>
      <c r="AR49" s="1266">
        <v>0</v>
      </c>
      <c r="AS49" s="1266">
        <v>0</v>
      </c>
      <c r="AT49" s="1266">
        <v>0</v>
      </c>
      <c r="AU49" s="1266">
        <v>40</v>
      </c>
      <c r="AV49" s="1267">
        <v>20</v>
      </c>
      <c r="AW49" s="1267">
        <v>10</v>
      </c>
      <c r="AX49" s="1267">
        <v>0</v>
      </c>
      <c r="AY49" s="1267">
        <v>0</v>
      </c>
      <c r="AZ49" s="1267">
        <v>0</v>
      </c>
      <c r="BA49" s="1267">
        <v>0</v>
      </c>
      <c r="BB49" s="1269">
        <v>30</v>
      </c>
      <c r="BC49" s="1238">
        <v>20</v>
      </c>
      <c r="BD49" s="1238">
        <v>0</v>
      </c>
      <c r="BE49" s="1238">
        <v>0</v>
      </c>
      <c r="BF49" s="1238">
        <v>0</v>
      </c>
      <c r="BG49" s="1238">
        <v>0</v>
      </c>
      <c r="BH49" s="1270">
        <v>20</v>
      </c>
      <c r="BI49" s="1266">
        <v>0</v>
      </c>
      <c r="BJ49" s="1266">
        <v>0</v>
      </c>
      <c r="BK49" s="1271"/>
      <c r="BL49" s="1272">
        <v>0</v>
      </c>
      <c r="BM49" s="1272">
        <v>0</v>
      </c>
      <c r="BN49" s="1273"/>
      <c r="BO49" s="1274">
        <v>0</v>
      </c>
      <c r="BP49" s="1274">
        <v>0</v>
      </c>
      <c r="BR49" s="1243" t="s">
        <v>570</v>
      </c>
      <c r="BV49" s="60"/>
    </row>
    <row r="50" spans="1:82" s="88" customFormat="1" x14ac:dyDescent="0.25">
      <c r="A50" s="1246">
        <f t="shared" si="0"/>
        <v>47</v>
      </c>
      <c r="B50" s="930" t="str">
        <f>Coltura!C48</f>
        <v>E14</v>
      </c>
      <c r="C50" s="930" t="str">
        <f>Coltura!D48</f>
        <v>Girasole (acheni)</v>
      </c>
      <c r="D50" s="41" t="s">
        <v>645</v>
      </c>
      <c r="E50" s="88">
        <v>3</v>
      </c>
      <c r="F50" s="1235">
        <v>90</v>
      </c>
      <c r="G50" s="1236">
        <v>40</v>
      </c>
      <c r="H50" s="1236">
        <v>60</v>
      </c>
      <c r="I50" s="1236">
        <v>0</v>
      </c>
      <c r="J50" s="1236">
        <v>60</v>
      </c>
      <c r="K50" s="1237">
        <v>120</v>
      </c>
      <c r="L50" s="1237">
        <v>180</v>
      </c>
      <c r="M50" s="1237">
        <v>0</v>
      </c>
      <c r="N50" s="1237">
        <v>180</v>
      </c>
      <c r="O50" s="88">
        <v>2.4</v>
      </c>
      <c r="P50" s="1235">
        <v>25</v>
      </c>
      <c r="Q50" s="1235">
        <v>20</v>
      </c>
      <c r="R50" s="1235">
        <v>0</v>
      </c>
      <c r="S50" s="1235">
        <v>15</v>
      </c>
      <c r="T50" s="1235">
        <v>0</v>
      </c>
      <c r="U50" s="1235">
        <v>80</v>
      </c>
      <c r="V50" s="1235">
        <v>40</v>
      </c>
      <c r="W50" s="1235">
        <v>0</v>
      </c>
      <c r="X50" s="1236">
        <v>10</v>
      </c>
      <c r="Y50" s="1236">
        <v>0</v>
      </c>
      <c r="Z50" s="1236">
        <v>0</v>
      </c>
      <c r="AA50" s="1236">
        <v>0</v>
      </c>
      <c r="AB50" s="1236">
        <v>0</v>
      </c>
      <c r="AC50" s="1237">
        <v>20</v>
      </c>
      <c r="AD50" s="1237">
        <v>0</v>
      </c>
      <c r="AE50" s="1237">
        <v>0</v>
      </c>
      <c r="AF50" s="1237">
        <v>0</v>
      </c>
      <c r="AG50" s="1237">
        <v>0</v>
      </c>
      <c r="AH50" s="88">
        <v>3.6</v>
      </c>
      <c r="AI50" s="1235">
        <v>25</v>
      </c>
      <c r="AJ50" s="1235">
        <v>15</v>
      </c>
      <c r="AK50" s="1235">
        <v>0</v>
      </c>
      <c r="AL50" s="1235">
        <v>0</v>
      </c>
      <c r="AM50" s="1235">
        <v>15</v>
      </c>
      <c r="AN50" s="1235">
        <v>30</v>
      </c>
      <c r="AO50" s="1235">
        <v>0</v>
      </c>
      <c r="AP50" s="1235">
        <v>10</v>
      </c>
      <c r="AQ50" s="1235">
        <v>0</v>
      </c>
      <c r="AR50" s="1235">
        <v>0</v>
      </c>
      <c r="AS50" s="1235">
        <v>0</v>
      </c>
      <c r="AT50" s="1235">
        <v>0</v>
      </c>
      <c r="AU50" s="1235">
        <v>40</v>
      </c>
      <c r="AV50" s="1236">
        <v>10</v>
      </c>
      <c r="AW50" s="1236">
        <v>0</v>
      </c>
      <c r="AX50" s="1236">
        <v>0</v>
      </c>
      <c r="AY50" s="1236">
        <v>0</v>
      </c>
      <c r="AZ50" s="1236">
        <v>0</v>
      </c>
      <c r="BA50" s="1236">
        <v>0</v>
      </c>
      <c r="BB50" s="1236">
        <v>10</v>
      </c>
      <c r="BC50" s="1237">
        <v>20</v>
      </c>
      <c r="BD50" s="1237">
        <v>0</v>
      </c>
      <c r="BE50" s="1237">
        <v>0</v>
      </c>
      <c r="BF50" s="1237">
        <v>0</v>
      </c>
      <c r="BG50" s="1238">
        <v>0</v>
      </c>
      <c r="BH50" s="1239">
        <v>20</v>
      </c>
      <c r="BI50" s="1235">
        <v>0</v>
      </c>
      <c r="BJ50" s="1235">
        <v>0</v>
      </c>
      <c r="BK50" s="1235"/>
      <c r="BL50" s="1240">
        <v>0</v>
      </c>
      <c r="BM50" s="1240">
        <v>0</v>
      </c>
      <c r="BN50" s="1240"/>
      <c r="BO50" s="1239">
        <v>0</v>
      </c>
      <c r="BP50" s="1239">
        <v>0</v>
      </c>
      <c r="BQ50" s="1242"/>
      <c r="BR50" s="1243" t="s">
        <v>570</v>
      </c>
      <c r="BS50" s="1244"/>
      <c r="BV50" s="1245"/>
      <c r="BW50" s="1239"/>
      <c r="BX50" s="1239"/>
      <c r="BY50" s="1239"/>
      <c r="BZ50" s="1239"/>
      <c r="CA50" s="1244"/>
      <c r="CB50" s="1244"/>
      <c r="CC50" s="1244"/>
      <c r="CD50" s="1244"/>
    </row>
    <row r="51" spans="1:82" x14ac:dyDescent="0.25">
      <c r="A51" s="1246">
        <f t="shared" si="0"/>
        <v>48</v>
      </c>
      <c r="B51" s="930" t="str">
        <f>Coltura!C49</f>
        <v>E15</v>
      </c>
      <c r="C51" s="930" t="str">
        <f>Coltura!D49</f>
        <v>Girasole (pianta intera)</v>
      </c>
      <c r="D51" s="41" t="s">
        <v>645</v>
      </c>
      <c r="E51" s="32">
        <v>3</v>
      </c>
      <c r="F51" s="1224">
        <v>90</v>
      </c>
      <c r="G51" s="1225">
        <v>40</v>
      </c>
      <c r="H51" s="1225">
        <v>60</v>
      </c>
      <c r="I51" s="1225">
        <v>0</v>
      </c>
      <c r="J51" s="1225">
        <v>60</v>
      </c>
      <c r="K51" s="1226">
        <v>120</v>
      </c>
      <c r="L51" s="1226">
        <v>180</v>
      </c>
      <c r="M51" s="1226">
        <v>0</v>
      </c>
      <c r="N51" s="1226">
        <v>180</v>
      </c>
      <c r="O51" s="32">
        <v>2.4</v>
      </c>
      <c r="P51" s="1224">
        <v>25</v>
      </c>
      <c r="Q51" s="1224">
        <v>20</v>
      </c>
      <c r="R51" s="1224">
        <v>0</v>
      </c>
      <c r="S51" s="1224">
        <v>15</v>
      </c>
      <c r="T51" s="1224">
        <v>0</v>
      </c>
      <c r="U51" s="1224">
        <v>80</v>
      </c>
      <c r="V51" s="1224">
        <v>40</v>
      </c>
      <c r="W51" s="1224">
        <v>0</v>
      </c>
      <c r="X51" s="1225">
        <v>10</v>
      </c>
      <c r="Y51" s="1225">
        <v>0</v>
      </c>
      <c r="Z51" s="1225">
        <v>0</v>
      </c>
      <c r="AA51" s="1225">
        <v>0</v>
      </c>
      <c r="AB51" s="1225">
        <v>0</v>
      </c>
      <c r="AC51" s="1226">
        <v>20</v>
      </c>
      <c r="AD51" s="1226">
        <v>0</v>
      </c>
      <c r="AE51" s="1226">
        <v>0</v>
      </c>
      <c r="AF51" s="1226">
        <v>0</v>
      </c>
      <c r="AG51" s="1226">
        <v>0</v>
      </c>
      <c r="AH51" s="32">
        <v>3.6</v>
      </c>
      <c r="AI51" s="1224">
        <v>25</v>
      </c>
      <c r="AJ51" s="1224">
        <v>15</v>
      </c>
      <c r="AK51" s="1224">
        <v>0</v>
      </c>
      <c r="AL51" s="1224">
        <v>0</v>
      </c>
      <c r="AM51" s="1224">
        <v>15</v>
      </c>
      <c r="AN51" s="1224">
        <v>30</v>
      </c>
      <c r="AO51" s="1224">
        <v>0</v>
      </c>
      <c r="AP51" s="1224">
        <v>10</v>
      </c>
      <c r="AQ51" s="1224">
        <v>0</v>
      </c>
      <c r="AR51" s="1224">
        <v>0</v>
      </c>
      <c r="AS51" s="1224">
        <v>0</v>
      </c>
      <c r="AT51" s="1224">
        <v>0</v>
      </c>
      <c r="AU51" s="1224">
        <v>40</v>
      </c>
      <c r="AV51" s="1225">
        <v>10</v>
      </c>
      <c r="AW51" s="1225">
        <v>0</v>
      </c>
      <c r="AX51" s="1225">
        <v>0</v>
      </c>
      <c r="AY51" s="1225">
        <v>0</v>
      </c>
      <c r="AZ51" s="1225">
        <v>0</v>
      </c>
      <c r="BA51" s="1248">
        <v>0</v>
      </c>
      <c r="BB51" s="1225">
        <v>10</v>
      </c>
      <c r="BC51" s="1226">
        <v>20</v>
      </c>
      <c r="BD51" s="1226">
        <v>0</v>
      </c>
      <c r="BE51" s="1226">
        <v>0</v>
      </c>
      <c r="BF51" s="1249">
        <v>0</v>
      </c>
      <c r="BG51" s="1238">
        <v>0</v>
      </c>
      <c r="BH51" s="1229">
        <v>20</v>
      </c>
      <c r="BI51" s="1224">
        <v>0</v>
      </c>
      <c r="BJ51" s="1224">
        <v>0</v>
      </c>
      <c r="BL51" s="1230">
        <v>0</v>
      </c>
      <c r="BM51" s="1230">
        <v>0</v>
      </c>
      <c r="BO51" s="1229">
        <v>0</v>
      </c>
      <c r="BP51" s="1229">
        <v>0</v>
      </c>
      <c r="BR51" s="1243" t="s">
        <v>570</v>
      </c>
      <c r="BV51" s="60"/>
    </row>
    <row r="52" spans="1:82" s="88" customFormat="1" x14ac:dyDescent="0.25">
      <c r="A52" s="1246">
        <f t="shared" si="0"/>
        <v>49</v>
      </c>
      <c r="B52" s="930" t="str">
        <f>Coltura!C50</f>
        <v>E16</v>
      </c>
      <c r="C52" s="930" t="str">
        <f>Coltura!D50</f>
        <v>Grano duro (granella)</v>
      </c>
      <c r="D52" s="41" t="s">
        <v>645</v>
      </c>
      <c r="E52" s="88">
        <v>6</v>
      </c>
      <c r="F52" s="1235">
        <v>160</v>
      </c>
      <c r="G52" s="1236">
        <v>60</v>
      </c>
      <c r="H52" s="1236">
        <v>80</v>
      </c>
      <c r="I52" s="1236">
        <v>0</v>
      </c>
      <c r="J52" s="1236">
        <v>80</v>
      </c>
      <c r="K52" s="1237">
        <v>120</v>
      </c>
      <c r="L52" s="1237">
        <v>150</v>
      </c>
      <c r="M52" s="1237">
        <v>0</v>
      </c>
      <c r="N52" s="1237">
        <v>150</v>
      </c>
      <c r="O52" s="88">
        <v>5</v>
      </c>
      <c r="P52" s="1235">
        <v>25</v>
      </c>
      <c r="Q52" s="1235">
        <v>20</v>
      </c>
      <c r="R52" s="1235">
        <v>0</v>
      </c>
      <c r="S52" s="1235">
        <v>15</v>
      </c>
      <c r="T52" s="1235">
        <v>0</v>
      </c>
      <c r="U52" s="1235">
        <v>80</v>
      </c>
      <c r="V52" s="1235">
        <v>40</v>
      </c>
      <c r="W52" s="1235">
        <v>0</v>
      </c>
      <c r="X52" s="1236">
        <v>15</v>
      </c>
      <c r="Y52" s="1236">
        <v>0</v>
      </c>
      <c r="Z52" s="1236">
        <v>0</v>
      </c>
      <c r="AA52" s="1236">
        <v>0</v>
      </c>
      <c r="AB52" s="1236">
        <v>0</v>
      </c>
      <c r="AC52" s="1237">
        <v>10</v>
      </c>
      <c r="AD52" s="1237">
        <v>0</v>
      </c>
      <c r="AE52" s="1237">
        <v>0</v>
      </c>
      <c r="AF52" s="1237">
        <v>0</v>
      </c>
      <c r="AG52" s="1237">
        <v>0</v>
      </c>
      <c r="AH52" s="88">
        <v>7</v>
      </c>
      <c r="AI52" s="1235">
        <v>25</v>
      </c>
      <c r="AJ52" s="1235">
        <v>15</v>
      </c>
      <c r="AK52" s="1235">
        <v>0</v>
      </c>
      <c r="AL52" s="1235">
        <v>0</v>
      </c>
      <c r="AM52" s="1235">
        <v>15</v>
      </c>
      <c r="AN52" s="1235">
        <v>30</v>
      </c>
      <c r="AO52" s="1235">
        <v>0</v>
      </c>
      <c r="AP52" s="1235">
        <v>10</v>
      </c>
      <c r="AQ52" s="1235">
        <v>0</v>
      </c>
      <c r="AR52" s="1235">
        <v>0</v>
      </c>
      <c r="AS52" s="1235">
        <v>0</v>
      </c>
      <c r="AT52" s="1235">
        <v>0</v>
      </c>
      <c r="AU52" s="1235">
        <v>40</v>
      </c>
      <c r="AV52" s="1236">
        <v>15</v>
      </c>
      <c r="AW52" s="1236">
        <v>0</v>
      </c>
      <c r="AX52" s="1236">
        <v>0</v>
      </c>
      <c r="AY52" s="1236">
        <v>0</v>
      </c>
      <c r="AZ52" s="1236">
        <v>0</v>
      </c>
      <c r="BA52" s="1236">
        <v>0</v>
      </c>
      <c r="BB52" s="1236">
        <v>15</v>
      </c>
      <c r="BC52" s="1237">
        <v>10</v>
      </c>
      <c r="BD52" s="1237">
        <v>0</v>
      </c>
      <c r="BE52" s="1237">
        <v>0</v>
      </c>
      <c r="BF52" s="1237">
        <v>0</v>
      </c>
      <c r="BG52" s="1238">
        <v>0</v>
      </c>
      <c r="BH52" s="1239">
        <v>10</v>
      </c>
      <c r="BI52" s="1235">
        <v>0</v>
      </c>
      <c r="BJ52" s="1235">
        <v>0</v>
      </c>
      <c r="BK52" s="1235"/>
      <c r="BL52" s="1240">
        <v>0</v>
      </c>
      <c r="BM52" s="1240">
        <v>0</v>
      </c>
      <c r="BN52" s="1240"/>
      <c r="BO52" s="1239">
        <v>0</v>
      </c>
      <c r="BP52" s="1239">
        <v>0</v>
      </c>
      <c r="BQ52" s="1242"/>
      <c r="BR52" s="1243" t="s">
        <v>570</v>
      </c>
      <c r="BS52" s="1244"/>
      <c r="BV52" s="1245"/>
      <c r="BW52" s="1239"/>
      <c r="BX52" s="1239"/>
      <c r="BY52" s="1239"/>
      <c r="BZ52" s="1239"/>
      <c r="CA52" s="1244"/>
      <c r="CB52" s="1244"/>
      <c r="CC52" s="1244"/>
      <c r="CD52" s="1244"/>
    </row>
    <row r="53" spans="1:82" s="88" customFormat="1" x14ac:dyDescent="0.25">
      <c r="A53" s="1246">
        <f t="shared" si="0"/>
        <v>50</v>
      </c>
      <c r="B53" s="930" t="str">
        <f>Coltura!C51</f>
        <v>E17</v>
      </c>
      <c r="C53" s="930" t="str">
        <f>Coltura!D51</f>
        <v>Grano duro (pianta intera)</v>
      </c>
      <c r="D53" s="41" t="s">
        <v>645</v>
      </c>
      <c r="E53" s="88">
        <v>6</v>
      </c>
      <c r="F53" s="1235">
        <v>160</v>
      </c>
      <c r="G53" s="1236">
        <v>60</v>
      </c>
      <c r="H53" s="1236">
        <v>80</v>
      </c>
      <c r="I53" s="1236">
        <v>0</v>
      </c>
      <c r="J53" s="1236">
        <v>80</v>
      </c>
      <c r="K53" s="1237">
        <v>120</v>
      </c>
      <c r="L53" s="1237">
        <v>150</v>
      </c>
      <c r="M53" s="1237">
        <v>0</v>
      </c>
      <c r="N53" s="1237">
        <v>150</v>
      </c>
      <c r="O53" s="88">
        <v>5</v>
      </c>
      <c r="P53" s="1235">
        <v>25</v>
      </c>
      <c r="Q53" s="1235">
        <v>20</v>
      </c>
      <c r="R53" s="1235">
        <v>0</v>
      </c>
      <c r="S53" s="1235">
        <v>15</v>
      </c>
      <c r="T53" s="1235">
        <v>0</v>
      </c>
      <c r="U53" s="1235">
        <v>80</v>
      </c>
      <c r="V53" s="1235">
        <v>40</v>
      </c>
      <c r="W53" s="1235">
        <v>0</v>
      </c>
      <c r="X53" s="1236">
        <v>15</v>
      </c>
      <c r="Y53" s="1236">
        <v>0</v>
      </c>
      <c r="Z53" s="1236">
        <v>0</v>
      </c>
      <c r="AA53" s="1236">
        <v>0</v>
      </c>
      <c r="AB53" s="1236">
        <v>0</v>
      </c>
      <c r="AC53" s="1237">
        <v>10</v>
      </c>
      <c r="AD53" s="1237">
        <v>0</v>
      </c>
      <c r="AE53" s="1237">
        <v>0</v>
      </c>
      <c r="AF53" s="1237">
        <v>0</v>
      </c>
      <c r="AG53" s="1237">
        <v>0</v>
      </c>
      <c r="AH53" s="88">
        <v>7</v>
      </c>
      <c r="AI53" s="1235">
        <v>25</v>
      </c>
      <c r="AJ53" s="1235">
        <v>15</v>
      </c>
      <c r="AK53" s="1235">
        <v>0</v>
      </c>
      <c r="AL53" s="1235">
        <v>0</v>
      </c>
      <c r="AM53" s="1235">
        <v>15</v>
      </c>
      <c r="AN53" s="1235">
        <v>30</v>
      </c>
      <c r="AO53" s="1235">
        <v>0</v>
      </c>
      <c r="AP53" s="1235">
        <v>10</v>
      </c>
      <c r="AQ53" s="1235">
        <v>0</v>
      </c>
      <c r="AR53" s="1235">
        <v>0</v>
      </c>
      <c r="AS53" s="1235">
        <v>0</v>
      </c>
      <c r="AT53" s="1235">
        <v>0</v>
      </c>
      <c r="AU53" s="1235">
        <v>40</v>
      </c>
      <c r="AV53" s="1236">
        <v>15</v>
      </c>
      <c r="AW53" s="1236">
        <v>0</v>
      </c>
      <c r="AX53" s="1236">
        <v>0</v>
      </c>
      <c r="AY53" s="1236">
        <v>0</v>
      </c>
      <c r="AZ53" s="1236">
        <v>0</v>
      </c>
      <c r="BA53" s="1236">
        <v>0</v>
      </c>
      <c r="BB53" s="1236">
        <v>15</v>
      </c>
      <c r="BC53" s="1237">
        <v>10</v>
      </c>
      <c r="BD53" s="1237">
        <v>0</v>
      </c>
      <c r="BE53" s="1237">
        <v>0</v>
      </c>
      <c r="BF53" s="1237">
        <v>0</v>
      </c>
      <c r="BG53" s="1238">
        <v>0</v>
      </c>
      <c r="BH53" s="1239">
        <v>10</v>
      </c>
      <c r="BI53" s="1235">
        <v>0</v>
      </c>
      <c r="BJ53" s="1235">
        <v>0</v>
      </c>
      <c r="BK53" s="1235"/>
      <c r="BL53" s="1240">
        <v>0</v>
      </c>
      <c r="BM53" s="1240">
        <v>0</v>
      </c>
      <c r="BN53" s="1240"/>
      <c r="BO53" s="1239">
        <v>0</v>
      </c>
      <c r="BP53" s="1239">
        <v>0</v>
      </c>
      <c r="BQ53" s="1242"/>
      <c r="BR53" s="1243" t="s">
        <v>570</v>
      </c>
      <c r="BS53" s="1244"/>
      <c r="BV53" s="1245"/>
      <c r="BW53" s="1239"/>
      <c r="BX53" s="1239"/>
      <c r="BY53" s="1239"/>
      <c r="BZ53" s="1239"/>
      <c r="CA53" s="1244"/>
      <c r="CB53" s="1244"/>
      <c r="CC53" s="1244"/>
      <c r="CD53" s="1244"/>
    </row>
    <row r="54" spans="1:82" s="88" customFormat="1" x14ac:dyDescent="0.25">
      <c r="A54" s="1246">
        <f t="shared" si="0"/>
        <v>51</v>
      </c>
      <c r="B54" s="930" t="str">
        <f>Coltura!C52</f>
        <v>E18</v>
      </c>
      <c r="C54" s="930" t="str">
        <f>Coltura!D52</f>
        <v>Grano tenero FP/FPS (granella)</v>
      </c>
      <c r="D54" s="41" t="s">
        <v>645</v>
      </c>
      <c r="E54" s="88">
        <v>6</v>
      </c>
      <c r="F54" s="1235">
        <v>155</v>
      </c>
      <c r="G54" s="1236">
        <v>60</v>
      </c>
      <c r="H54" s="1236">
        <v>80</v>
      </c>
      <c r="I54" s="1236">
        <v>0</v>
      </c>
      <c r="J54" s="1236">
        <v>80</v>
      </c>
      <c r="K54" s="1237">
        <v>120</v>
      </c>
      <c r="L54" s="1237">
        <v>150</v>
      </c>
      <c r="M54" s="1237">
        <v>0</v>
      </c>
      <c r="N54" s="1237">
        <v>150</v>
      </c>
      <c r="O54" s="88">
        <v>5</v>
      </c>
      <c r="P54" s="1235">
        <v>30</v>
      </c>
      <c r="Q54" s="1235">
        <v>20</v>
      </c>
      <c r="R54" s="1235">
        <v>0</v>
      </c>
      <c r="S54" s="1235">
        <v>15</v>
      </c>
      <c r="T54" s="1235">
        <v>0</v>
      </c>
      <c r="U54" s="1235">
        <v>80</v>
      </c>
      <c r="V54" s="1235">
        <v>40</v>
      </c>
      <c r="W54" s="1235">
        <v>0</v>
      </c>
      <c r="X54" s="1236">
        <v>15</v>
      </c>
      <c r="Y54" s="1236">
        <v>0</v>
      </c>
      <c r="Z54" s="1236">
        <v>0</v>
      </c>
      <c r="AA54" s="1236">
        <v>0</v>
      </c>
      <c r="AB54" s="1236">
        <v>0</v>
      </c>
      <c r="AC54" s="1237">
        <v>20</v>
      </c>
      <c r="AD54" s="1237">
        <v>0</v>
      </c>
      <c r="AE54" s="1237">
        <v>0</v>
      </c>
      <c r="AF54" s="1237">
        <v>0</v>
      </c>
      <c r="AG54" s="1237">
        <v>60</v>
      </c>
      <c r="AH54" s="88">
        <v>7</v>
      </c>
      <c r="AI54" s="1235">
        <v>30</v>
      </c>
      <c r="AJ54" s="1235">
        <v>15</v>
      </c>
      <c r="AK54" s="1235">
        <v>0</v>
      </c>
      <c r="AL54" s="1235">
        <v>0</v>
      </c>
      <c r="AM54" s="1235">
        <v>15</v>
      </c>
      <c r="AN54" s="1235">
        <v>30</v>
      </c>
      <c r="AO54" s="1235">
        <v>0</v>
      </c>
      <c r="AP54" s="1235">
        <v>10</v>
      </c>
      <c r="AQ54" s="1235">
        <v>0</v>
      </c>
      <c r="AR54" s="1235">
        <v>0</v>
      </c>
      <c r="AS54" s="1235">
        <v>0</v>
      </c>
      <c r="AT54" s="1235">
        <v>0</v>
      </c>
      <c r="AU54" s="1235">
        <v>40</v>
      </c>
      <c r="AV54" s="1236">
        <v>15</v>
      </c>
      <c r="AW54" s="1236">
        <v>0</v>
      </c>
      <c r="AX54" s="1236">
        <v>0</v>
      </c>
      <c r="AY54" s="1236">
        <v>30</v>
      </c>
      <c r="AZ54" s="1236">
        <v>0</v>
      </c>
      <c r="BA54" s="1236">
        <v>0</v>
      </c>
      <c r="BB54" s="1236">
        <v>45</v>
      </c>
      <c r="BC54" s="1237">
        <v>20</v>
      </c>
      <c r="BD54" s="1237">
        <v>0</v>
      </c>
      <c r="BE54" s="1237">
        <v>0</v>
      </c>
      <c r="BF54" s="1237">
        <v>0</v>
      </c>
      <c r="BG54" s="1238">
        <v>0</v>
      </c>
      <c r="BH54" s="1239">
        <v>20</v>
      </c>
      <c r="BI54" s="1235">
        <v>0</v>
      </c>
      <c r="BJ54" s="1235">
        <v>0</v>
      </c>
      <c r="BK54" s="1235"/>
      <c r="BL54" s="1240">
        <v>0</v>
      </c>
      <c r="BM54" s="1240">
        <v>0</v>
      </c>
      <c r="BN54" s="1240"/>
      <c r="BO54" s="1239">
        <v>0</v>
      </c>
      <c r="BP54" s="1239">
        <v>0</v>
      </c>
      <c r="BQ54" s="1242"/>
      <c r="BR54" s="1243" t="s">
        <v>570</v>
      </c>
      <c r="BS54" s="1244"/>
      <c r="BV54" s="1245"/>
      <c r="BW54" s="1239"/>
      <c r="BX54" s="1239"/>
      <c r="BY54" s="1239"/>
      <c r="BZ54" s="1239"/>
      <c r="CA54" s="1244"/>
      <c r="CB54" s="1244"/>
      <c r="CC54" s="1244"/>
      <c r="CD54" s="1244"/>
    </row>
    <row r="55" spans="1:82" s="88" customFormat="1" x14ac:dyDescent="0.25">
      <c r="A55" s="1246">
        <f t="shared" si="0"/>
        <v>52</v>
      </c>
      <c r="B55" s="930" t="str">
        <f>Coltura!C53</f>
        <v>E19</v>
      </c>
      <c r="C55" s="930" t="str">
        <f>Coltura!D53</f>
        <v>Grano tenero FP/FPS (pianta intera)</v>
      </c>
      <c r="D55" s="41" t="s">
        <v>645</v>
      </c>
      <c r="E55" s="88">
        <v>6</v>
      </c>
      <c r="F55" s="1235">
        <v>155</v>
      </c>
      <c r="G55" s="1236">
        <v>60</v>
      </c>
      <c r="H55" s="1236">
        <v>80</v>
      </c>
      <c r="I55" s="1236">
        <v>0</v>
      </c>
      <c r="J55" s="1236">
        <v>80</v>
      </c>
      <c r="K55" s="1237">
        <v>120</v>
      </c>
      <c r="L55" s="1237">
        <v>150</v>
      </c>
      <c r="M55" s="1237">
        <v>0</v>
      </c>
      <c r="N55" s="1237">
        <v>150</v>
      </c>
      <c r="O55" s="88">
        <v>5</v>
      </c>
      <c r="P55" s="1235">
        <v>30</v>
      </c>
      <c r="Q55" s="1235">
        <v>20</v>
      </c>
      <c r="R55" s="1235">
        <v>0</v>
      </c>
      <c r="S55" s="1235">
        <v>15</v>
      </c>
      <c r="T55" s="1235">
        <v>0</v>
      </c>
      <c r="U55" s="1235">
        <v>80</v>
      </c>
      <c r="V55" s="1235">
        <v>40</v>
      </c>
      <c r="W55" s="1235">
        <v>0</v>
      </c>
      <c r="X55" s="1236">
        <v>15</v>
      </c>
      <c r="Y55" s="1236">
        <v>0</v>
      </c>
      <c r="Z55" s="1236">
        <v>0</v>
      </c>
      <c r="AA55" s="1236">
        <v>0</v>
      </c>
      <c r="AB55" s="1236">
        <v>0</v>
      </c>
      <c r="AC55" s="1237">
        <v>20</v>
      </c>
      <c r="AD55" s="1237">
        <v>0</v>
      </c>
      <c r="AE55" s="1237">
        <v>0</v>
      </c>
      <c r="AF55" s="1237">
        <v>0</v>
      </c>
      <c r="AG55" s="1237">
        <v>60</v>
      </c>
      <c r="AH55" s="88">
        <v>7</v>
      </c>
      <c r="AI55" s="1235">
        <v>30</v>
      </c>
      <c r="AJ55" s="1235">
        <v>15</v>
      </c>
      <c r="AK55" s="1235">
        <v>0</v>
      </c>
      <c r="AL55" s="1235">
        <v>0</v>
      </c>
      <c r="AM55" s="1235">
        <v>15</v>
      </c>
      <c r="AN55" s="1235">
        <v>30</v>
      </c>
      <c r="AO55" s="1235">
        <v>0</v>
      </c>
      <c r="AP55" s="1235">
        <v>10</v>
      </c>
      <c r="AQ55" s="1235">
        <v>0</v>
      </c>
      <c r="AR55" s="1235">
        <v>0</v>
      </c>
      <c r="AS55" s="1235">
        <v>0</v>
      </c>
      <c r="AT55" s="1235">
        <v>0</v>
      </c>
      <c r="AU55" s="1235">
        <v>40</v>
      </c>
      <c r="AV55" s="1236">
        <v>15</v>
      </c>
      <c r="AW55" s="1236">
        <v>0</v>
      </c>
      <c r="AX55" s="1236">
        <v>0</v>
      </c>
      <c r="AY55" s="1236">
        <v>30</v>
      </c>
      <c r="AZ55" s="1236">
        <v>0</v>
      </c>
      <c r="BA55" s="1236">
        <v>0</v>
      </c>
      <c r="BB55" s="1236">
        <v>45</v>
      </c>
      <c r="BC55" s="1237">
        <v>20</v>
      </c>
      <c r="BD55" s="1237">
        <v>0</v>
      </c>
      <c r="BE55" s="1237">
        <v>0</v>
      </c>
      <c r="BF55" s="1237">
        <v>0</v>
      </c>
      <c r="BG55" s="1238">
        <v>0</v>
      </c>
      <c r="BH55" s="1239">
        <v>20</v>
      </c>
      <c r="BI55" s="1235">
        <v>0</v>
      </c>
      <c r="BJ55" s="1235">
        <v>0</v>
      </c>
      <c r="BK55" s="1235"/>
      <c r="BL55" s="1240">
        <v>0</v>
      </c>
      <c r="BM55" s="1240">
        <v>0</v>
      </c>
      <c r="BN55" s="1240"/>
      <c r="BO55" s="1239">
        <v>0</v>
      </c>
      <c r="BP55" s="1239">
        <v>0</v>
      </c>
      <c r="BQ55" s="1242"/>
      <c r="BR55" s="1243" t="s">
        <v>570</v>
      </c>
      <c r="BS55" s="1244"/>
      <c r="BV55" s="1245"/>
      <c r="BW55" s="1239"/>
      <c r="BX55" s="1239"/>
      <c r="BY55" s="1239"/>
      <c r="BZ55" s="1239"/>
      <c r="CA55" s="1244"/>
      <c r="CB55" s="1244"/>
      <c r="CC55" s="1244"/>
      <c r="CD55" s="1244"/>
    </row>
    <row r="56" spans="1:82" s="88" customFormat="1" x14ac:dyDescent="0.25">
      <c r="A56" s="1246">
        <f t="shared" si="0"/>
        <v>53</v>
      </c>
      <c r="B56" s="930" t="str">
        <f>Coltura!C54</f>
        <v>E20</v>
      </c>
      <c r="C56" s="930" t="str">
        <f>Coltura!D54</f>
        <v>Grano tenero biscottiero  (granella)</v>
      </c>
      <c r="D56" s="41" t="s">
        <v>645</v>
      </c>
      <c r="E56" s="88">
        <v>6</v>
      </c>
      <c r="F56" s="1235">
        <v>140</v>
      </c>
      <c r="G56" s="1236">
        <v>60</v>
      </c>
      <c r="H56" s="1236">
        <v>80</v>
      </c>
      <c r="I56" s="1236">
        <v>0</v>
      </c>
      <c r="J56" s="1236">
        <v>80</v>
      </c>
      <c r="K56" s="1237">
        <v>120</v>
      </c>
      <c r="L56" s="1237">
        <v>150</v>
      </c>
      <c r="M56" s="1237">
        <v>0</v>
      </c>
      <c r="N56" s="1237">
        <v>150</v>
      </c>
      <c r="O56" s="88">
        <v>5</v>
      </c>
      <c r="P56" s="1235">
        <v>30</v>
      </c>
      <c r="Q56" s="1235">
        <v>20</v>
      </c>
      <c r="R56" s="1235">
        <v>0</v>
      </c>
      <c r="S56" s="1235">
        <v>15</v>
      </c>
      <c r="T56" s="1235">
        <v>0</v>
      </c>
      <c r="U56" s="1235">
        <v>80</v>
      </c>
      <c r="V56" s="1235">
        <v>40</v>
      </c>
      <c r="W56" s="1235">
        <v>0</v>
      </c>
      <c r="X56" s="1236">
        <v>15</v>
      </c>
      <c r="Y56" s="1236">
        <v>0</v>
      </c>
      <c r="Z56" s="1236">
        <v>0</v>
      </c>
      <c r="AA56" s="1236">
        <v>0</v>
      </c>
      <c r="AB56" s="1236">
        <v>0</v>
      </c>
      <c r="AC56" s="1237">
        <v>20</v>
      </c>
      <c r="AD56" s="1237">
        <v>0</v>
      </c>
      <c r="AE56" s="1237">
        <v>0</v>
      </c>
      <c r="AF56" s="1237">
        <v>0</v>
      </c>
      <c r="AG56" s="1237">
        <v>60</v>
      </c>
      <c r="AH56" s="88">
        <v>7</v>
      </c>
      <c r="AI56" s="1235">
        <v>30</v>
      </c>
      <c r="AJ56" s="1235">
        <v>15</v>
      </c>
      <c r="AK56" s="1235">
        <v>0</v>
      </c>
      <c r="AL56" s="1235">
        <v>0</v>
      </c>
      <c r="AM56" s="1235">
        <v>15</v>
      </c>
      <c r="AN56" s="1235">
        <v>30</v>
      </c>
      <c r="AO56" s="1235">
        <v>0</v>
      </c>
      <c r="AP56" s="1235">
        <v>10</v>
      </c>
      <c r="AQ56" s="1235">
        <v>0</v>
      </c>
      <c r="AR56" s="1235">
        <v>0</v>
      </c>
      <c r="AS56" s="1235">
        <v>0</v>
      </c>
      <c r="AT56" s="1235">
        <v>0</v>
      </c>
      <c r="AU56" s="1235">
        <v>40</v>
      </c>
      <c r="AV56" s="1236">
        <v>15</v>
      </c>
      <c r="AW56" s="1236">
        <v>0</v>
      </c>
      <c r="AX56" s="1236">
        <v>0</v>
      </c>
      <c r="AY56" s="1236">
        <v>30</v>
      </c>
      <c r="AZ56" s="1236">
        <v>0</v>
      </c>
      <c r="BA56" s="1236">
        <v>0</v>
      </c>
      <c r="BB56" s="1236">
        <v>45</v>
      </c>
      <c r="BC56" s="1237">
        <v>20</v>
      </c>
      <c r="BD56" s="1237">
        <v>0</v>
      </c>
      <c r="BE56" s="1237">
        <v>0</v>
      </c>
      <c r="BF56" s="1237">
        <v>0</v>
      </c>
      <c r="BG56" s="1238">
        <v>0</v>
      </c>
      <c r="BH56" s="1239">
        <v>20</v>
      </c>
      <c r="BI56" s="1235">
        <v>0</v>
      </c>
      <c r="BJ56" s="1235">
        <v>0</v>
      </c>
      <c r="BK56" s="1235"/>
      <c r="BL56" s="1240">
        <v>0</v>
      </c>
      <c r="BM56" s="1240">
        <v>0</v>
      </c>
      <c r="BN56" s="1240"/>
      <c r="BO56" s="1239">
        <v>0</v>
      </c>
      <c r="BP56" s="1239">
        <v>0</v>
      </c>
      <c r="BQ56" s="1242"/>
      <c r="BR56" s="1243" t="s">
        <v>570</v>
      </c>
      <c r="BS56" s="1244"/>
      <c r="BV56" s="1245"/>
      <c r="BW56" s="1239"/>
      <c r="BX56" s="1239"/>
      <c r="BY56" s="1239"/>
      <c r="BZ56" s="1239"/>
      <c r="CA56" s="1244"/>
      <c r="CB56" s="1244"/>
      <c r="CC56" s="1244"/>
      <c r="CD56" s="1244"/>
    </row>
    <row r="57" spans="1:82" s="88" customFormat="1" x14ac:dyDescent="0.25">
      <c r="A57" s="1246">
        <f t="shared" si="0"/>
        <v>54</v>
      </c>
      <c r="B57" s="930" t="str">
        <f>Coltura!C55</f>
        <v>E21</v>
      </c>
      <c r="C57" s="930" t="str">
        <f>Coltura!D55</f>
        <v>Grano tenero biscottiero pianta intera</v>
      </c>
      <c r="D57" s="41" t="s">
        <v>645</v>
      </c>
      <c r="E57" s="88">
        <v>6</v>
      </c>
      <c r="F57" s="1235">
        <v>140</v>
      </c>
      <c r="G57" s="1236">
        <v>60</v>
      </c>
      <c r="H57" s="1236">
        <v>80</v>
      </c>
      <c r="I57" s="1236">
        <v>0</v>
      </c>
      <c r="J57" s="1236">
        <v>80</v>
      </c>
      <c r="K57" s="1237">
        <v>120</v>
      </c>
      <c r="L57" s="1237">
        <v>150</v>
      </c>
      <c r="M57" s="1237">
        <v>0</v>
      </c>
      <c r="N57" s="1237">
        <v>150</v>
      </c>
      <c r="O57" s="88">
        <v>5</v>
      </c>
      <c r="P57" s="1235">
        <v>30</v>
      </c>
      <c r="Q57" s="1235">
        <v>20</v>
      </c>
      <c r="R57" s="1235">
        <v>0</v>
      </c>
      <c r="S57" s="1235">
        <v>15</v>
      </c>
      <c r="T57" s="1235">
        <v>0</v>
      </c>
      <c r="U57" s="1235">
        <v>80</v>
      </c>
      <c r="V57" s="1235">
        <v>40</v>
      </c>
      <c r="W57" s="1235">
        <v>0</v>
      </c>
      <c r="X57" s="1236">
        <v>15</v>
      </c>
      <c r="Y57" s="1236">
        <v>0</v>
      </c>
      <c r="Z57" s="1236">
        <v>0</v>
      </c>
      <c r="AA57" s="1236">
        <v>0</v>
      </c>
      <c r="AB57" s="1236">
        <v>0</v>
      </c>
      <c r="AC57" s="1237">
        <v>20</v>
      </c>
      <c r="AD57" s="1237">
        <v>0</v>
      </c>
      <c r="AE57" s="1237">
        <v>0</v>
      </c>
      <c r="AF57" s="1237">
        <v>0</v>
      </c>
      <c r="AG57" s="1237">
        <v>60</v>
      </c>
      <c r="AH57" s="88">
        <v>7</v>
      </c>
      <c r="AI57" s="1235">
        <v>30</v>
      </c>
      <c r="AJ57" s="1235">
        <v>15</v>
      </c>
      <c r="AK57" s="1235">
        <v>0</v>
      </c>
      <c r="AL57" s="1235">
        <v>0</v>
      </c>
      <c r="AM57" s="1235">
        <v>15</v>
      </c>
      <c r="AN57" s="1235">
        <v>30</v>
      </c>
      <c r="AO57" s="1235">
        <v>0</v>
      </c>
      <c r="AP57" s="1235">
        <v>10</v>
      </c>
      <c r="AQ57" s="1235">
        <v>0</v>
      </c>
      <c r="AR57" s="1235">
        <v>0</v>
      </c>
      <c r="AS57" s="1235">
        <v>0</v>
      </c>
      <c r="AT57" s="1235">
        <v>0</v>
      </c>
      <c r="AU57" s="1235">
        <v>40</v>
      </c>
      <c r="AV57" s="1236">
        <v>15</v>
      </c>
      <c r="AW57" s="1236">
        <v>0</v>
      </c>
      <c r="AX57" s="1236">
        <v>0</v>
      </c>
      <c r="AY57" s="1236">
        <v>30</v>
      </c>
      <c r="AZ57" s="1236">
        <v>0</v>
      </c>
      <c r="BA57" s="1236">
        <v>0</v>
      </c>
      <c r="BB57" s="1236">
        <v>45</v>
      </c>
      <c r="BC57" s="1237">
        <v>20</v>
      </c>
      <c r="BD57" s="1237">
        <v>0</v>
      </c>
      <c r="BE57" s="1237">
        <v>0</v>
      </c>
      <c r="BF57" s="1237">
        <v>0</v>
      </c>
      <c r="BG57" s="1238">
        <v>0</v>
      </c>
      <c r="BH57" s="1239">
        <v>20</v>
      </c>
      <c r="BI57" s="1235">
        <v>0</v>
      </c>
      <c r="BJ57" s="1235">
        <v>0</v>
      </c>
      <c r="BK57" s="1235"/>
      <c r="BL57" s="1240">
        <v>0</v>
      </c>
      <c r="BM57" s="1240">
        <v>0</v>
      </c>
      <c r="BN57" s="1240"/>
      <c r="BO57" s="1239">
        <v>0</v>
      </c>
      <c r="BP57" s="1239">
        <v>0</v>
      </c>
      <c r="BQ57" s="1242"/>
      <c r="BR57" s="1243" t="s">
        <v>570</v>
      </c>
      <c r="BS57" s="1244"/>
      <c r="BV57" s="1245"/>
      <c r="BW57" s="1239"/>
      <c r="BX57" s="1239"/>
      <c r="BY57" s="1239"/>
      <c r="BZ57" s="1239"/>
      <c r="CA57" s="1244"/>
      <c r="CB57" s="1244"/>
      <c r="CC57" s="1244"/>
      <c r="CD57" s="1244"/>
    </row>
    <row r="58" spans="1:82" s="88" customFormat="1" x14ac:dyDescent="0.25">
      <c r="A58" s="1246">
        <f t="shared" si="0"/>
        <v>55</v>
      </c>
      <c r="B58" s="930" t="str">
        <f>Coltura!C56</f>
        <v>E22</v>
      </c>
      <c r="C58" s="930" t="str">
        <f>Coltura!D56</f>
        <v>Grano tenero FF (granella)</v>
      </c>
      <c r="D58" s="41" t="s">
        <v>645</v>
      </c>
      <c r="E58" s="88">
        <v>6</v>
      </c>
      <c r="F58" s="1235">
        <v>160</v>
      </c>
      <c r="G58" s="1236">
        <v>60</v>
      </c>
      <c r="H58" s="1236">
        <v>80</v>
      </c>
      <c r="I58" s="1236">
        <v>0</v>
      </c>
      <c r="J58" s="1236">
        <v>80</v>
      </c>
      <c r="K58" s="1237">
        <v>120</v>
      </c>
      <c r="L58" s="1237">
        <v>150</v>
      </c>
      <c r="M58" s="1237">
        <v>0</v>
      </c>
      <c r="N58" s="1237">
        <v>150</v>
      </c>
      <c r="O58" s="88">
        <v>5</v>
      </c>
      <c r="P58" s="1235">
        <v>30</v>
      </c>
      <c r="Q58" s="1235">
        <v>20</v>
      </c>
      <c r="R58" s="1235">
        <v>0</v>
      </c>
      <c r="S58" s="1235">
        <v>15</v>
      </c>
      <c r="T58" s="1235">
        <v>0</v>
      </c>
      <c r="U58" s="1235">
        <v>80</v>
      </c>
      <c r="V58" s="1235">
        <v>40</v>
      </c>
      <c r="W58" s="1235">
        <v>0</v>
      </c>
      <c r="X58" s="1236">
        <v>15</v>
      </c>
      <c r="Y58" s="1236">
        <v>0</v>
      </c>
      <c r="Z58" s="1236">
        <v>0</v>
      </c>
      <c r="AA58" s="1236">
        <v>0</v>
      </c>
      <c r="AB58" s="1236">
        <v>0</v>
      </c>
      <c r="AC58" s="1237">
        <v>20</v>
      </c>
      <c r="AD58" s="1237">
        <v>0</v>
      </c>
      <c r="AE58" s="1237">
        <v>0</v>
      </c>
      <c r="AF58" s="1237">
        <v>0</v>
      </c>
      <c r="AG58" s="1237">
        <v>60</v>
      </c>
      <c r="AH58" s="88">
        <v>7</v>
      </c>
      <c r="AI58" s="1235">
        <v>30</v>
      </c>
      <c r="AJ58" s="1235">
        <v>15</v>
      </c>
      <c r="AK58" s="1235">
        <v>0</v>
      </c>
      <c r="AL58" s="1235">
        <v>0</v>
      </c>
      <c r="AM58" s="1235">
        <v>15</v>
      </c>
      <c r="AN58" s="1235">
        <v>30</v>
      </c>
      <c r="AO58" s="1235">
        <v>0</v>
      </c>
      <c r="AP58" s="1235">
        <v>10</v>
      </c>
      <c r="AQ58" s="1235">
        <v>0</v>
      </c>
      <c r="AR58" s="1235">
        <v>0</v>
      </c>
      <c r="AS58" s="1235">
        <v>0</v>
      </c>
      <c r="AT58" s="1235">
        <v>0</v>
      </c>
      <c r="AU58" s="1235">
        <v>40</v>
      </c>
      <c r="AV58" s="1236">
        <v>15</v>
      </c>
      <c r="AW58" s="1236">
        <v>0</v>
      </c>
      <c r="AX58" s="1236">
        <v>0</v>
      </c>
      <c r="AY58" s="1236">
        <v>30</v>
      </c>
      <c r="AZ58" s="1236">
        <v>0</v>
      </c>
      <c r="BA58" s="1236">
        <v>0</v>
      </c>
      <c r="BB58" s="1236">
        <v>45</v>
      </c>
      <c r="BC58" s="1237">
        <v>20</v>
      </c>
      <c r="BD58" s="1237">
        <v>0</v>
      </c>
      <c r="BE58" s="1237">
        <v>0</v>
      </c>
      <c r="BF58" s="1237">
        <v>0</v>
      </c>
      <c r="BG58" s="1238">
        <v>0</v>
      </c>
      <c r="BH58" s="1239">
        <v>20</v>
      </c>
      <c r="BI58" s="1235">
        <v>0</v>
      </c>
      <c r="BJ58" s="1235">
        <v>0</v>
      </c>
      <c r="BK58" s="1235"/>
      <c r="BL58" s="1240">
        <v>0</v>
      </c>
      <c r="BM58" s="1240">
        <v>0</v>
      </c>
      <c r="BN58" s="1240"/>
      <c r="BO58" s="1239">
        <v>0</v>
      </c>
      <c r="BP58" s="1239">
        <v>0</v>
      </c>
      <c r="BQ58" s="1242"/>
      <c r="BR58" s="1243" t="s">
        <v>570</v>
      </c>
      <c r="BS58" s="1244"/>
      <c r="BV58" s="1245"/>
      <c r="BW58" s="1239"/>
      <c r="BX58" s="1239"/>
      <c r="BY58" s="1239"/>
      <c r="BZ58" s="1239"/>
      <c r="CA58" s="1244"/>
      <c r="CB58" s="1244"/>
      <c r="CC58" s="1244"/>
      <c r="CD58" s="1244"/>
    </row>
    <row r="59" spans="1:82" s="88" customFormat="1" x14ac:dyDescent="0.25">
      <c r="A59" s="1246">
        <f t="shared" si="0"/>
        <v>56</v>
      </c>
      <c r="B59" s="930" t="str">
        <f>Coltura!C57</f>
        <v>E23</v>
      </c>
      <c r="C59" s="930" t="str">
        <f>Coltura!D57</f>
        <v>Grano tenero FF (pianta intera)</v>
      </c>
      <c r="D59" s="41" t="s">
        <v>645</v>
      </c>
      <c r="E59" s="88">
        <v>6</v>
      </c>
      <c r="F59" s="1235">
        <v>160</v>
      </c>
      <c r="G59" s="1236">
        <v>60</v>
      </c>
      <c r="H59" s="1236">
        <v>80</v>
      </c>
      <c r="I59" s="1236">
        <v>0</v>
      </c>
      <c r="J59" s="1236">
        <v>80</v>
      </c>
      <c r="K59" s="1237">
        <v>120</v>
      </c>
      <c r="L59" s="1237">
        <v>150</v>
      </c>
      <c r="M59" s="1237">
        <v>0</v>
      </c>
      <c r="N59" s="1237">
        <v>150</v>
      </c>
      <c r="O59" s="88">
        <v>5</v>
      </c>
      <c r="P59" s="1235">
        <v>30</v>
      </c>
      <c r="Q59" s="1235">
        <v>20</v>
      </c>
      <c r="R59" s="1235">
        <v>0</v>
      </c>
      <c r="S59" s="1235">
        <v>15</v>
      </c>
      <c r="T59" s="1235">
        <v>0</v>
      </c>
      <c r="U59" s="1235">
        <v>80</v>
      </c>
      <c r="V59" s="1235">
        <v>40</v>
      </c>
      <c r="W59" s="1235">
        <v>0</v>
      </c>
      <c r="X59" s="1236">
        <v>15</v>
      </c>
      <c r="Y59" s="1236">
        <v>0</v>
      </c>
      <c r="Z59" s="1236">
        <v>0</v>
      </c>
      <c r="AA59" s="1236">
        <v>0</v>
      </c>
      <c r="AB59" s="1236">
        <v>0</v>
      </c>
      <c r="AC59" s="1237">
        <v>20</v>
      </c>
      <c r="AD59" s="1237">
        <v>0</v>
      </c>
      <c r="AE59" s="1237">
        <v>0</v>
      </c>
      <c r="AF59" s="1237">
        <v>0</v>
      </c>
      <c r="AG59" s="1237">
        <v>60</v>
      </c>
      <c r="AH59" s="88">
        <v>7</v>
      </c>
      <c r="AI59" s="1235">
        <v>30</v>
      </c>
      <c r="AJ59" s="1235">
        <v>15</v>
      </c>
      <c r="AK59" s="1235">
        <v>0</v>
      </c>
      <c r="AL59" s="1235">
        <v>0</v>
      </c>
      <c r="AM59" s="1235">
        <v>15</v>
      </c>
      <c r="AN59" s="1235">
        <v>30</v>
      </c>
      <c r="AO59" s="1235">
        <v>0</v>
      </c>
      <c r="AP59" s="1235">
        <v>10</v>
      </c>
      <c r="AQ59" s="1235">
        <v>0</v>
      </c>
      <c r="AR59" s="1235">
        <v>0</v>
      </c>
      <c r="AS59" s="1235">
        <v>0</v>
      </c>
      <c r="AT59" s="1235">
        <v>0</v>
      </c>
      <c r="AU59" s="1235">
        <v>40</v>
      </c>
      <c r="AV59" s="1236">
        <v>15</v>
      </c>
      <c r="AW59" s="1236">
        <v>0</v>
      </c>
      <c r="AX59" s="1236">
        <v>0</v>
      </c>
      <c r="AY59" s="1236">
        <v>30</v>
      </c>
      <c r="AZ59" s="1236">
        <v>0</v>
      </c>
      <c r="BA59" s="1236">
        <v>0</v>
      </c>
      <c r="BB59" s="1236">
        <v>45</v>
      </c>
      <c r="BC59" s="1237">
        <v>20</v>
      </c>
      <c r="BD59" s="1237">
        <v>0</v>
      </c>
      <c r="BE59" s="1237">
        <v>0</v>
      </c>
      <c r="BF59" s="1237">
        <v>0</v>
      </c>
      <c r="BG59" s="1238">
        <v>0</v>
      </c>
      <c r="BH59" s="1239">
        <v>20</v>
      </c>
      <c r="BI59" s="1235">
        <v>0</v>
      </c>
      <c r="BJ59" s="1235">
        <v>0</v>
      </c>
      <c r="BK59" s="1235"/>
      <c r="BL59" s="1240">
        <v>0</v>
      </c>
      <c r="BM59" s="1240">
        <v>0</v>
      </c>
      <c r="BN59" s="1240"/>
      <c r="BO59" s="1239">
        <v>0</v>
      </c>
      <c r="BP59" s="1239">
        <v>0</v>
      </c>
      <c r="BQ59" s="1242"/>
      <c r="BR59" s="1243" t="s">
        <v>570</v>
      </c>
      <c r="BS59" s="1244"/>
      <c r="BV59" s="1245"/>
      <c r="BW59" s="1239"/>
      <c r="BX59" s="1239"/>
      <c r="BY59" s="1239"/>
      <c r="BZ59" s="1239"/>
      <c r="CA59" s="1244"/>
      <c r="CB59" s="1244"/>
      <c r="CC59" s="1244"/>
      <c r="CD59" s="1244"/>
    </row>
    <row r="60" spans="1:82" x14ac:dyDescent="0.25">
      <c r="A60" s="1246">
        <f t="shared" si="0"/>
        <v>57</v>
      </c>
      <c r="B60" s="930" t="str">
        <f>Coltura!C58</f>
        <v>E24</v>
      </c>
      <c r="C60" s="930" t="str">
        <f>Coltura!D58</f>
        <v>Lenticchia</v>
      </c>
      <c r="D60" s="41" t="s">
        <v>645</v>
      </c>
      <c r="E60" s="32" t="s">
        <v>645</v>
      </c>
      <c r="F60" s="1224" t="s">
        <v>645</v>
      </c>
      <c r="AH60" s="32" t="s">
        <v>645</v>
      </c>
      <c r="BA60" s="1248"/>
      <c r="BB60" s="1225">
        <v>0</v>
      </c>
      <c r="BF60" s="1249"/>
      <c r="BG60" s="1228"/>
      <c r="BH60" s="1229">
        <v>0</v>
      </c>
      <c r="BI60" s="1224">
        <v>0</v>
      </c>
      <c r="BJ60" s="1224">
        <v>0</v>
      </c>
      <c r="BL60" s="1230">
        <v>0</v>
      </c>
      <c r="BM60" s="1230">
        <v>0</v>
      </c>
      <c r="BO60" s="1229">
        <v>0</v>
      </c>
      <c r="BP60" s="1229">
        <v>0</v>
      </c>
      <c r="BR60" s="1243" t="s">
        <v>570</v>
      </c>
      <c r="BV60" s="60"/>
    </row>
    <row r="61" spans="1:82" x14ac:dyDescent="0.25">
      <c r="A61" s="1246">
        <f t="shared" si="0"/>
        <v>58</v>
      </c>
      <c r="B61" s="930" t="str">
        <f>Coltura!C59</f>
        <v>E25</v>
      </c>
      <c r="C61" s="930" t="str">
        <f>Coltura!D59</f>
        <v>Lino  fibra</v>
      </c>
      <c r="D61" s="41" t="s">
        <v>645</v>
      </c>
      <c r="E61" s="32" t="s">
        <v>645</v>
      </c>
      <c r="F61" s="1224" t="s">
        <v>645</v>
      </c>
      <c r="AH61" s="32" t="s">
        <v>645</v>
      </c>
      <c r="BA61" s="1248"/>
      <c r="BB61" s="1225">
        <v>0</v>
      </c>
      <c r="BF61" s="1249"/>
      <c r="BG61" s="1228"/>
      <c r="BH61" s="1229">
        <v>0</v>
      </c>
      <c r="BI61" s="1224">
        <v>0</v>
      </c>
      <c r="BJ61" s="1224">
        <v>0</v>
      </c>
      <c r="BL61" s="1230">
        <v>0</v>
      </c>
      <c r="BM61" s="1230">
        <v>0</v>
      </c>
      <c r="BO61" s="1229">
        <v>0</v>
      </c>
      <c r="BP61" s="1229">
        <v>0</v>
      </c>
      <c r="BR61" s="1243" t="s">
        <v>570</v>
      </c>
      <c r="BV61" s="60"/>
    </row>
    <row r="62" spans="1:82" x14ac:dyDescent="0.25">
      <c r="A62" s="1246">
        <f t="shared" si="0"/>
        <v>59</v>
      </c>
      <c r="B62" s="930" t="str">
        <f>Coltura!C60</f>
        <v>E26</v>
      </c>
      <c r="C62" s="930" t="str">
        <f>Coltura!D60</f>
        <v>Lino granella</v>
      </c>
      <c r="D62" s="41" t="s">
        <v>645</v>
      </c>
      <c r="E62" s="32" t="s">
        <v>645</v>
      </c>
      <c r="F62" s="1224" t="s">
        <v>645</v>
      </c>
      <c r="AH62" s="32" t="s">
        <v>645</v>
      </c>
      <c r="BA62" s="1248"/>
      <c r="BB62" s="1225">
        <v>0</v>
      </c>
      <c r="BF62" s="1249"/>
      <c r="BG62" s="1228"/>
      <c r="BH62" s="1229">
        <v>0</v>
      </c>
      <c r="BI62" s="1224">
        <v>0</v>
      </c>
      <c r="BJ62" s="1224">
        <v>0</v>
      </c>
      <c r="BL62" s="1230">
        <v>0</v>
      </c>
      <c r="BM62" s="1230">
        <v>0</v>
      </c>
      <c r="BO62" s="1229">
        <v>0</v>
      </c>
      <c r="BP62" s="1229">
        <v>0</v>
      </c>
      <c r="BR62" s="1243" t="s">
        <v>570</v>
      </c>
      <c r="BV62" s="60"/>
    </row>
    <row r="63" spans="1:82" x14ac:dyDescent="0.25">
      <c r="A63" s="1246">
        <f t="shared" si="0"/>
        <v>60</v>
      </c>
      <c r="B63" s="930" t="str">
        <f>Coltura!C61</f>
        <v>E27</v>
      </c>
      <c r="C63" s="930" t="str">
        <f>Coltura!D61</f>
        <v>Lupino</v>
      </c>
      <c r="D63" s="41" t="s">
        <v>645</v>
      </c>
      <c r="E63" s="32" t="s">
        <v>645</v>
      </c>
      <c r="F63" s="1224" t="s">
        <v>645</v>
      </c>
      <c r="AH63" s="32" t="s">
        <v>645</v>
      </c>
      <c r="BA63" s="1248"/>
      <c r="BB63" s="1225">
        <v>0</v>
      </c>
      <c r="BF63" s="1249"/>
      <c r="BG63" s="1228"/>
      <c r="BH63" s="1229">
        <v>0</v>
      </c>
      <c r="BI63" s="1224">
        <v>0</v>
      </c>
      <c r="BJ63" s="1224">
        <v>0</v>
      </c>
      <c r="BL63" s="1230">
        <v>0</v>
      </c>
      <c r="BM63" s="1230">
        <v>0</v>
      </c>
      <c r="BO63" s="1229">
        <v>0</v>
      </c>
      <c r="BP63" s="1229">
        <v>0</v>
      </c>
      <c r="BR63" s="1243" t="s">
        <v>570</v>
      </c>
      <c r="BV63" s="60"/>
    </row>
    <row r="64" spans="1:82" s="88" customFormat="1" x14ac:dyDescent="0.25">
      <c r="A64" s="1246">
        <f t="shared" si="0"/>
        <v>61</v>
      </c>
      <c r="B64" s="930" t="str">
        <f>Coltura!C62</f>
        <v>E28</v>
      </c>
      <c r="C64" s="930" t="str">
        <f>Coltura!D62</f>
        <v>Mais da granella 300-400 (granella)</v>
      </c>
      <c r="D64" s="41" t="s">
        <v>645</v>
      </c>
      <c r="E64" s="88">
        <v>7</v>
      </c>
      <c r="F64" s="1235">
        <v>150</v>
      </c>
      <c r="G64" s="1236">
        <v>50</v>
      </c>
      <c r="H64" s="1236">
        <v>70</v>
      </c>
      <c r="I64" s="1236">
        <v>0</v>
      </c>
      <c r="J64" s="1236">
        <v>70</v>
      </c>
      <c r="K64" s="1237">
        <v>40</v>
      </c>
      <c r="L64" s="1237">
        <v>80</v>
      </c>
      <c r="M64" s="1237">
        <v>0</v>
      </c>
      <c r="N64" s="1237">
        <v>80</v>
      </c>
      <c r="O64" s="88">
        <v>5.5</v>
      </c>
      <c r="P64" s="1235">
        <v>30</v>
      </c>
      <c r="Q64" s="1235">
        <v>20</v>
      </c>
      <c r="R64" s="1235">
        <v>0</v>
      </c>
      <c r="S64" s="1235">
        <v>15</v>
      </c>
      <c r="T64" s="1235">
        <v>0</v>
      </c>
      <c r="U64" s="1235">
        <v>80</v>
      </c>
      <c r="V64" s="1235">
        <v>40</v>
      </c>
      <c r="W64" s="1235">
        <v>0</v>
      </c>
      <c r="X64" s="1236">
        <v>15</v>
      </c>
      <c r="Y64" s="1236">
        <v>0</v>
      </c>
      <c r="Z64" s="1236">
        <v>0</v>
      </c>
      <c r="AA64" s="1236">
        <v>0</v>
      </c>
      <c r="AB64" s="1236">
        <v>0</v>
      </c>
      <c r="AC64" s="1237">
        <v>20</v>
      </c>
      <c r="AD64" s="1237">
        <v>0</v>
      </c>
      <c r="AE64" s="1237">
        <v>0</v>
      </c>
      <c r="AF64" s="1237">
        <v>0</v>
      </c>
      <c r="AG64" s="1237">
        <v>0</v>
      </c>
      <c r="AH64" s="88">
        <v>8.5</v>
      </c>
      <c r="AI64" s="1235">
        <v>30</v>
      </c>
      <c r="AJ64" s="1235">
        <v>15</v>
      </c>
      <c r="AK64" s="1235">
        <v>0</v>
      </c>
      <c r="AL64" s="1235">
        <v>0</v>
      </c>
      <c r="AM64" s="1235">
        <v>15</v>
      </c>
      <c r="AN64" s="1235">
        <v>30</v>
      </c>
      <c r="AO64" s="1235">
        <v>0</v>
      </c>
      <c r="AP64" s="1235">
        <v>10</v>
      </c>
      <c r="AQ64" s="1235">
        <v>0</v>
      </c>
      <c r="AR64" s="1235">
        <v>0</v>
      </c>
      <c r="AS64" s="1235">
        <v>0</v>
      </c>
      <c r="AT64" s="1235">
        <v>0</v>
      </c>
      <c r="AU64" s="1235">
        <v>70</v>
      </c>
      <c r="AV64" s="1236">
        <v>15</v>
      </c>
      <c r="AW64" s="1236">
        <v>0</v>
      </c>
      <c r="AX64" s="1236">
        <v>0</v>
      </c>
      <c r="AY64" s="1236">
        <v>0</v>
      </c>
      <c r="AZ64" s="1236">
        <v>0</v>
      </c>
      <c r="BA64" s="1236">
        <v>0</v>
      </c>
      <c r="BB64" s="1236">
        <v>15</v>
      </c>
      <c r="BC64" s="1237">
        <v>20</v>
      </c>
      <c r="BD64" s="1237">
        <v>0</v>
      </c>
      <c r="BE64" s="1237">
        <v>0</v>
      </c>
      <c r="BF64" s="1237">
        <v>0</v>
      </c>
      <c r="BG64" s="1238">
        <v>0</v>
      </c>
      <c r="BH64" s="1239">
        <v>20</v>
      </c>
      <c r="BI64" s="1235">
        <v>0</v>
      </c>
      <c r="BJ64" s="1235">
        <v>0</v>
      </c>
      <c r="BK64" s="1235"/>
      <c r="BL64" s="1240">
        <v>0</v>
      </c>
      <c r="BM64" s="1240">
        <v>0</v>
      </c>
      <c r="BN64" s="1240"/>
      <c r="BO64" s="1239">
        <v>0</v>
      </c>
      <c r="BP64" s="1239">
        <v>0</v>
      </c>
      <c r="BQ64" s="1242"/>
      <c r="BR64" s="1243" t="s">
        <v>570</v>
      </c>
      <c r="BS64" s="1244"/>
      <c r="BV64" s="1245"/>
      <c r="BW64" s="1239"/>
      <c r="BX64" s="1239"/>
      <c r="BY64" s="1239"/>
      <c r="BZ64" s="1239"/>
      <c r="CA64" s="1244"/>
      <c r="CB64" s="1244"/>
      <c r="CC64" s="1244"/>
      <c r="CD64" s="1244"/>
    </row>
    <row r="65" spans="1:82" s="88" customFormat="1" x14ac:dyDescent="0.25">
      <c r="A65" s="1246">
        <f t="shared" si="0"/>
        <v>62</v>
      </c>
      <c r="B65" s="930" t="str">
        <f>Coltura!C63</f>
        <v>E29</v>
      </c>
      <c r="C65" s="930" t="str">
        <f>Coltura!D63</f>
        <v>Mais da granella 300-400 (pianta intera)</v>
      </c>
      <c r="D65" s="41" t="s">
        <v>645</v>
      </c>
      <c r="E65" s="88">
        <v>7</v>
      </c>
      <c r="F65" s="1235">
        <v>150</v>
      </c>
      <c r="G65" s="1236">
        <v>50</v>
      </c>
      <c r="H65" s="1236">
        <v>70</v>
      </c>
      <c r="I65" s="1236">
        <v>0</v>
      </c>
      <c r="J65" s="1236">
        <v>70</v>
      </c>
      <c r="K65" s="1237">
        <v>90</v>
      </c>
      <c r="L65" s="1237">
        <v>130</v>
      </c>
      <c r="M65" s="1237">
        <v>0</v>
      </c>
      <c r="N65" s="1237">
        <v>130</v>
      </c>
      <c r="O65" s="88">
        <v>5.5</v>
      </c>
      <c r="P65" s="1235">
        <v>30</v>
      </c>
      <c r="Q65" s="1235">
        <v>20</v>
      </c>
      <c r="R65" s="1235">
        <v>0</v>
      </c>
      <c r="S65" s="1235">
        <v>15</v>
      </c>
      <c r="T65" s="1235">
        <v>0</v>
      </c>
      <c r="U65" s="1235">
        <v>80</v>
      </c>
      <c r="V65" s="1235">
        <v>40</v>
      </c>
      <c r="W65" s="1235">
        <v>0</v>
      </c>
      <c r="X65" s="1236">
        <v>15</v>
      </c>
      <c r="Y65" s="1236">
        <v>0</v>
      </c>
      <c r="Z65" s="1236">
        <v>0</v>
      </c>
      <c r="AA65" s="1236">
        <v>0</v>
      </c>
      <c r="AB65" s="1236">
        <v>0</v>
      </c>
      <c r="AC65" s="1237">
        <v>20</v>
      </c>
      <c r="AD65" s="1237">
        <v>0</v>
      </c>
      <c r="AE65" s="1237">
        <v>0</v>
      </c>
      <c r="AF65" s="1237">
        <v>0</v>
      </c>
      <c r="AG65" s="1237">
        <v>0</v>
      </c>
      <c r="AH65" s="88">
        <v>8.5</v>
      </c>
      <c r="AI65" s="1235">
        <v>30</v>
      </c>
      <c r="AJ65" s="1235">
        <v>15</v>
      </c>
      <c r="AK65" s="1235">
        <v>0</v>
      </c>
      <c r="AL65" s="1235">
        <v>0</v>
      </c>
      <c r="AM65" s="1235">
        <v>15</v>
      </c>
      <c r="AN65" s="1235">
        <v>30</v>
      </c>
      <c r="AO65" s="1235">
        <v>0</v>
      </c>
      <c r="AP65" s="1235">
        <v>10</v>
      </c>
      <c r="AQ65" s="1235">
        <v>0</v>
      </c>
      <c r="AR65" s="1235">
        <v>0</v>
      </c>
      <c r="AS65" s="1235">
        <v>0</v>
      </c>
      <c r="AT65" s="1235">
        <v>0</v>
      </c>
      <c r="AU65" s="1235">
        <v>70</v>
      </c>
      <c r="AV65" s="1236">
        <v>15</v>
      </c>
      <c r="AW65" s="1236">
        <v>0</v>
      </c>
      <c r="AX65" s="1236">
        <v>0</v>
      </c>
      <c r="AY65" s="1236">
        <v>0</v>
      </c>
      <c r="AZ65" s="1236">
        <v>0</v>
      </c>
      <c r="BA65" s="1236">
        <v>0</v>
      </c>
      <c r="BB65" s="1236">
        <v>15</v>
      </c>
      <c r="BC65" s="1237">
        <v>20</v>
      </c>
      <c r="BD65" s="1237">
        <v>0</v>
      </c>
      <c r="BE65" s="1237">
        <v>0</v>
      </c>
      <c r="BF65" s="1237">
        <v>0</v>
      </c>
      <c r="BG65" s="1238">
        <v>0</v>
      </c>
      <c r="BH65" s="1239">
        <v>20</v>
      </c>
      <c r="BI65" s="1235">
        <v>0</v>
      </c>
      <c r="BJ65" s="1235">
        <v>0</v>
      </c>
      <c r="BK65" s="1235"/>
      <c r="BL65" s="1240">
        <v>0</v>
      </c>
      <c r="BM65" s="1240">
        <v>0</v>
      </c>
      <c r="BN65" s="1240"/>
      <c r="BO65" s="1239">
        <v>0</v>
      </c>
      <c r="BP65" s="1239">
        <v>0</v>
      </c>
      <c r="BQ65" s="1242"/>
      <c r="BR65" s="1243" t="s">
        <v>570</v>
      </c>
      <c r="BS65" s="1244"/>
      <c r="BV65" s="1245"/>
      <c r="BW65" s="1239"/>
      <c r="BX65" s="1239"/>
      <c r="BY65" s="1239"/>
      <c r="BZ65" s="1239"/>
      <c r="CA65" s="1244"/>
      <c r="CB65" s="1244"/>
      <c r="CC65" s="1244"/>
      <c r="CD65" s="1244"/>
    </row>
    <row r="66" spans="1:82" s="88" customFormat="1" x14ac:dyDescent="0.25">
      <c r="A66" s="1246">
        <f t="shared" si="0"/>
        <v>63</v>
      </c>
      <c r="B66" s="930" t="str">
        <f>Coltura!C64</f>
        <v>E30</v>
      </c>
      <c r="C66" s="930" t="str">
        <f>Coltura!D64</f>
        <v>Mais da granella 500-700 (granella)</v>
      </c>
      <c r="D66" s="41" t="s">
        <v>645</v>
      </c>
      <c r="E66" s="88">
        <v>12</v>
      </c>
      <c r="F66" s="1235">
        <v>240</v>
      </c>
      <c r="G66" s="1236">
        <v>80</v>
      </c>
      <c r="H66" s="1236">
        <v>100</v>
      </c>
      <c r="I66" s="1236">
        <v>0</v>
      </c>
      <c r="J66" s="1236">
        <v>100</v>
      </c>
      <c r="K66" s="1237">
        <v>75</v>
      </c>
      <c r="L66" s="1237">
        <v>150</v>
      </c>
      <c r="M66" s="1237">
        <v>0</v>
      </c>
      <c r="N66" s="1237">
        <v>150</v>
      </c>
      <c r="O66" s="88">
        <v>10</v>
      </c>
      <c r="P66" s="1235">
        <v>30</v>
      </c>
      <c r="Q66" s="1235">
        <v>20</v>
      </c>
      <c r="R66" s="1235">
        <v>0</v>
      </c>
      <c r="S66" s="1235">
        <v>15</v>
      </c>
      <c r="T66" s="1235">
        <v>0</v>
      </c>
      <c r="U66" s="1235">
        <v>80</v>
      </c>
      <c r="V66" s="1235">
        <v>40</v>
      </c>
      <c r="W66" s="1235">
        <v>0</v>
      </c>
      <c r="X66" s="1236">
        <v>15</v>
      </c>
      <c r="Y66" s="1236">
        <v>0</v>
      </c>
      <c r="Z66" s="1236">
        <v>0</v>
      </c>
      <c r="AA66" s="1236">
        <v>0</v>
      </c>
      <c r="AB66" s="1236">
        <v>0</v>
      </c>
      <c r="AC66" s="1237">
        <v>20</v>
      </c>
      <c r="AD66" s="1237">
        <v>0</v>
      </c>
      <c r="AE66" s="1237">
        <v>0</v>
      </c>
      <c r="AF66" s="1237">
        <v>0</v>
      </c>
      <c r="AG66" s="1237">
        <v>0</v>
      </c>
      <c r="AH66" s="88">
        <v>14</v>
      </c>
      <c r="AI66" s="1235">
        <v>30</v>
      </c>
      <c r="AJ66" s="1235">
        <v>15</v>
      </c>
      <c r="AK66" s="1235">
        <v>0</v>
      </c>
      <c r="AL66" s="1235">
        <v>0</v>
      </c>
      <c r="AM66" s="1235">
        <v>15</v>
      </c>
      <c r="AN66" s="1235">
        <v>30</v>
      </c>
      <c r="AO66" s="1235">
        <v>0</v>
      </c>
      <c r="AP66" s="1235">
        <v>10</v>
      </c>
      <c r="AQ66" s="1235">
        <v>0</v>
      </c>
      <c r="AR66" s="1235">
        <v>0</v>
      </c>
      <c r="AS66" s="1235">
        <v>0</v>
      </c>
      <c r="AT66" s="1235">
        <v>0</v>
      </c>
      <c r="AU66" s="1235">
        <v>70</v>
      </c>
      <c r="AV66" s="1236">
        <v>15</v>
      </c>
      <c r="AW66" s="1236">
        <v>0</v>
      </c>
      <c r="AX66" s="1236">
        <v>0</v>
      </c>
      <c r="AY66" s="1236">
        <v>0</v>
      </c>
      <c r="AZ66" s="1236">
        <v>0</v>
      </c>
      <c r="BA66" s="1236">
        <v>0</v>
      </c>
      <c r="BB66" s="1236">
        <v>15</v>
      </c>
      <c r="BC66" s="1237">
        <v>20</v>
      </c>
      <c r="BD66" s="1237">
        <v>0</v>
      </c>
      <c r="BE66" s="1237">
        <v>0</v>
      </c>
      <c r="BF66" s="1237">
        <v>0</v>
      </c>
      <c r="BG66" s="1238">
        <v>0</v>
      </c>
      <c r="BH66" s="1239">
        <v>20</v>
      </c>
      <c r="BI66" s="1235">
        <v>0</v>
      </c>
      <c r="BJ66" s="1235">
        <v>0</v>
      </c>
      <c r="BK66" s="1235"/>
      <c r="BL66" s="1240">
        <v>0</v>
      </c>
      <c r="BM66" s="1240">
        <v>0</v>
      </c>
      <c r="BN66" s="1240"/>
      <c r="BO66" s="1239">
        <v>0</v>
      </c>
      <c r="BP66" s="1239">
        <v>0</v>
      </c>
      <c r="BQ66" s="1242"/>
      <c r="BR66" s="1243" t="s">
        <v>570</v>
      </c>
      <c r="BS66" s="1244"/>
      <c r="BV66" s="1245"/>
      <c r="BW66" s="1239"/>
      <c r="BX66" s="1239"/>
      <c r="BY66" s="1239"/>
      <c r="BZ66" s="1239"/>
      <c r="CA66" s="1244"/>
      <c r="CB66" s="1244"/>
      <c r="CC66" s="1244"/>
      <c r="CD66" s="1244"/>
    </row>
    <row r="67" spans="1:82" x14ac:dyDescent="0.25">
      <c r="A67" s="1246">
        <f t="shared" si="0"/>
        <v>64</v>
      </c>
      <c r="B67" s="930" t="str">
        <f>Coltura!C65</f>
        <v>E31</v>
      </c>
      <c r="C67" s="930" t="str">
        <f>Coltura!D65</f>
        <v>Mais da granella 500-700 (pianta intera)</v>
      </c>
      <c r="D67" s="41" t="s">
        <v>645</v>
      </c>
      <c r="E67" s="32">
        <v>12</v>
      </c>
      <c r="F67" s="1224">
        <v>240</v>
      </c>
      <c r="G67" s="1225">
        <v>80</v>
      </c>
      <c r="H67" s="1225">
        <v>100</v>
      </c>
      <c r="I67" s="1225">
        <v>0</v>
      </c>
      <c r="J67" s="1225">
        <v>100</v>
      </c>
      <c r="K67" s="1226">
        <v>155</v>
      </c>
      <c r="L67" s="1226">
        <v>230</v>
      </c>
      <c r="M67" s="1226">
        <v>80</v>
      </c>
      <c r="N67" s="1226">
        <v>230</v>
      </c>
      <c r="O67" s="32">
        <v>10</v>
      </c>
      <c r="P67" s="1224">
        <v>30</v>
      </c>
      <c r="Q67" s="1224">
        <v>20</v>
      </c>
      <c r="R67" s="1224">
        <v>0</v>
      </c>
      <c r="S67" s="1224">
        <v>15</v>
      </c>
      <c r="T67" s="1224">
        <v>0</v>
      </c>
      <c r="U67" s="1224">
        <v>80</v>
      </c>
      <c r="V67" s="1224">
        <v>40</v>
      </c>
      <c r="W67" s="1224">
        <v>0</v>
      </c>
      <c r="X67" s="1225">
        <v>15</v>
      </c>
      <c r="Y67" s="1225">
        <v>0</v>
      </c>
      <c r="Z67" s="1225">
        <v>0</v>
      </c>
      <c r="AA67" s="1225">
        <v>0</v>
      </c>
      <c r="AB67" s="1225">
        <v>0</v>
      </c>
      <c r="AC67" s="1226">
        <v>20</v>
      </c>
      <c r="AD67" s="1226">
        <v>0</v>
      </c>
      <c r="AE67" s="1226">
        <v>0</v>
      </c>
      <c r="AF67" s="1226">
        <v>0</v>
      </c>
      <c r="AG67" s="1226">
        <v>0</v>
      </c>
      <c r="AH67" s="32">
        <v>14</v>
      </c>
      <c r="AI67" s="1224">
        <v>30</v>
      </c>
      <c r="AJ67" s="1224">
        <v>15</v>
      </c>
      <c r="AK67" s="1224">
        <v>0</v>
      </c>
      <c r="AL67" s="1224">
        <v>0</v>
      </c>
      <c r="AM67" s="1224">
        <v>15</v>
      </c>
      <c r="AN67" s="1224">
        <v>30</v>
      </c>
      <c r="AO67" s="1224">
        <v>0</v>
      </c>
      <c r="AP67" s="1224">
        <v>10</v>
      </c>
      <c r="AQ67" s="1224">
        <v>0</v>
      </c>
      <c r="AR67" s="1224">
        <v>0</v>
      </c>
      <c r="AS67" s="1224">
        <v>0</v>
      </c>
      <c r="AT67" s="1224">
        <v>0</v>
      </c>
      <c r="AU67" s="1224">
        <v>70</v>
      </c>
      <c r="AV67" s="1225">
        <v>15</v>
      </c>
      <c r="AW67" s="1225">
        <v>0</v>
      </c>
      <c r="AX67" s="1225">
        <v>0</v>
      </c>
      <c r="AY67" s="1225">
        <v>0</v>
      </c>
      <c r="AZ67" s="1225">
        <v>0</v>
      </c>
      <c r="BA67" s="1248">
        <v>0</v>
      </c>
      <c r="BB67" s="1225">
        <v>15</v>
      </c>
      <c r="BC67" s="1226">
        <v>20</v>
      </c>
      <c r="BD67" s="1226">
        <v>0</v>
      </c>
      <c r="BE67" s="1226">
        <v>0</v>
      </c>
      <c r="BF67" s="1249">
        <v>0</v>
      </c>
      <c r="BG67" s="1238">
        <v>0</v>
      </c>
      <c r="BH67" s="1229">
        <v>20</v>
      </c>
      <c r="BI67" s="1224">
        <v>0</v>
      </c>
      <c r="BJ67" s="1224">
        <v>0</v>
      </c>
      <c r="BL67" s="1230">
        <v>0</v>
      </c>
      <c r="BM67" s="1230">
        <v>0</v>
      </c>
      <c r="BO67" s="1229">
        <v>0</v>
      </c>
      <c r="BP67" s="1229">
        <v>0</v>
      </c>
      <c r="BR67" s="1243" t="s">
        <v>570</v>
      </c>
      <c r="BV67" s="60"/>
    </row>
    <row r="68" spans="1:82" s="88" customFormat="1" x14ac:dyDescent="0.25">
      <c r="A68" s="1246">
        <f t="shared" si="0"/>
        <v>65</v>
      </c>
      <c r="B68" s="930" t="str">
        <f>Coltura!C66</f>
        <v>E32</v>
      </c>
      <c r="C68" s="930" t="str">
        <f>Coltura!D66</f>
        <v>Mais dolce  (spighe)</v>
      </c>
      <c r="D68" s="41" t="s">
        <v>645</v>
      </c>
      <c r="E68" s="88">
        <v>16</v>
      </c>
      <c r="F68" s="1235">
        <v>170</v>
      </c>
      <c r="G68" s="1236">
        <v>150</v>
      </c>
      <c r="H68" s="1236">
        <v>220</v>
      </c>
      <c r="I68" s="1236">
        <v>50</v>
      </c>
      <c r="J68" s="1236">
        <v>220</v>
      </c>
      <c r="K68" s="1237">
        <v>140</v>
      </c>
      <c r="L68" s="1237">
        <v>210</v>
      </c>
      <c r="M68" s="1237">
        <v>60</v>
      </c>
      <c r="N68" s="1237">
        <v>210</v>
      </c>
      <c r="O68" s="88">
        <v>13</v>
      </c>
      <c r="P68" s="1235">
        <v>20</v>
      </c>
      <c r="Q68" s="1235">
        <v>20</v>
      </c>
      <c r="R68" s="1235">
        <v>0</v>
      </c>
      <c r="S68" s="1235">
        <v>15</v>
      </c>
      <c r="T68" s="1235">
        <v>0</v>
      </c>
      <c r="U68" s="1235">
        <v>15</v>
      </c>
      <c r="V68" s="1235">
        <v>15</v>
      </c>
      <c r="W68" s="1235">
        <v>0</v>
      </c>
      <c r="X68" s="1236">
        <v>30</v>
      </c>
      <c r="Y68" s="1236">
        <v>10</v>
      </c>
      <c r="Z68" s="1236">
        <v>0</v>
      </c>
      <c r="AA68" s="1236">
        <v>0</v>
      </c>
      <c r="AB68" s="1236">
        <v>0</v>
      </c>
      <c r="AC68" s="1237">
        <v>30</v>
      </c>
      <c r="AD68" s="1237">
        <v>30</v>
      </c>
      <c r="AE68" s="1237">
        <v>0</v>
      </c>
      <c r="AF68" s="1237">
        <v>0</v>
      </c>
      <c r="AG68" s="1237">
        <v>0</v>
      </c>
      <c r="AH68" s="88">
        <v>19</v>
      </c>
      <c r="AI68" s="1235">
        <v>20</v>
      </c>
      <c r="AJ68" s="1235">
        <v>20</v>
      </c>
      <c r="AK68" s="1235">
        <v>0</v>
      </c>
      <c r="AL68" s="1235">
        <v>0</v>
      </c>
      <c r="AM68" s="1235">
        <v>15</v>
      </c>
      <c r="AN68" s="1235">
        <v>30</v>
      </c>
      <c r="AO68" s="1235">
        <v>20</v>
      </c>
      <c r="AP68" s="1235">
        <v>20</v>
      </c>
      <c r="AQ68" s="1235">
        <v>30</v>
      </c>
      <c r="AR68" s="1235">
        <v>0</v>
      </c>
      <c r="AS68" s="1235">
        <v>0</v>
      </c>
      <c r="AT68" s="1235">
        <v>0</v>
      </c>
      <c r="AU68" s="1235">
        <v>40</v>
      </c>
      <c r="AV68" s="1236">
        <v>30</v>
      </c>
      <c r="AW68" s="1236">
        <v>10</v>
      </c>
      <c r="AX68" s="1236">
        <v>10</v>
      </c>
      <c r="AY68" s="1236">
        <v>0</v>
      </c>
      <c r="AZ68" s="1236">
        <v>0</v>
      </c>
      <c r="BA68" s="1236">
        <v>0</v>
      </c>
      <c r="BB68" s="1236">
        <v>50</v>
      </c>
      <c r="BC68" s="1237">
        <v>30</v>
      </c>
      <c r="BD68" s="1237">
        <v>0</v>
      </c>
      <c r="BE68" s="1237">
        <v>0</v>
      </c>
      <c r="BF68" s="1237">
        <v>0</v>
      </c>
      <c r="BG68" s="1238">
        <v>0</v>
      </c>
      <c r="BH68" s="1239">
        <v>30</v>
      </c>
      <c r="BI68" s="1235">
        <v>0</v>
      </c>
      <c r="BJ68" s="1235">
        <v>0</v>
      </c>
      <c r="BK68" s="1235"/>
      <c r="BL68" s="1240">
        <v>0</v>
      </c>
      <c r="BM68" s="1240">
        <v>0</v>
      </c>
      <c r="BN68" s="1240"/>
      <c r="BO68" s="1239">
        <v>0</v>
      </c>
      <c r="BP68" s="1239">
        <v>0</v>
      </c>
      <c r="BQ68" s="1242"/>
      <c r="BR68" s="1243" t="s">
        <v>570</v>
      </c>
      <c r="BS68" s="1244"/>
      <c r="BV68" s="1245"/>
      <c r="BW68" s="1239"/>
      <c r="BX68" s="1239"/>
      <c r="BY68" s="1239"/>
      <c r="BZ68" s="1239"/>
      <c r="CA68" s="1244"/>
      <c r="CB68" s="1244"/>
      <c r="CC68" s="1244"/>
      <c r="CD68" s="1244"/>
    </row>
    <row r="69" spans="1:82" s="88" customFormat="1" x14ac:dyDescent="0.25">
      <c r="A69" s="1246">
        <f t="shared" si="0"/>
        <v>66</v>
      </c>
      <c r="B69" s="930" t="str">
        <f>Coltura!C67</f>
        <v>E33</v>
      </c>
      <c r="C69" s="930" t="str">
        <f>Coltura!D67</f>
        <v>Mais dolce (pianta intera)</v>
      </c>
      <c r="D69" s="41" t="s">
        <v>645</v>
      </c>
      <c r="E69" s="88">
        <v>16</v>
      </c>
      <c r="F69" s="1235">
        <v>170</v>
      </c>
      <c r="G69" s="1236">
        <v>150</v>
      </c>
      <c r="H69" s="1236">
        <v>220</v>
      </c>
      <c r="I69" s="1236">
        <v>50</v>
      </c>
      <c r="J69" s="1236">
        <v>220</v>
      </c>
      <c r="K69" s="1237">
        <v>140</v>
      </c>
      <c r="L69" s="1237">
        <v>210</v>
      </c>
      <c r="M69" s="1237">
        <v>60</v>
      </c>
      <c r="N69" s="1237">
        <v>210</v>
      </c>
      <c r="O69" s="88">
        <v>13</v>
      </c>
      <c r="P69" s="1235">
        <v>20</v>
      </c>
      <c r="Q69" s="1235">
        <v>20</v>
      </c>
      <c r="R69" s="1235">
        <v>0</v>
      </c>
      <c r="S69" s="1235">
        <v>15</v>
      </c>
      <c r="T69" s="1235">
        <v>0</v>
      </c>
      <c r="U69" s="1235">
        <v>15</v>
      </c>
      <c r="V69" s="1235">
        <v>15</v>
      </c>
      <c r="W69" s="1235">
        <v>0</v>
      </c>
      <c r="X69" s="1236">
        <v>30</v>
      </c>
      <c r="Y69" s="1236">
        <v>10</v>
      </c>
      <c r="Z69" s="1236">
        <v>0</v>
      </c>
      <c r="AA69" s="1236">
        <v>0</v>
      </c>
      <c r="AB69" s="1236">
        <v>0</v>
      </c>
      <c r="AC69" s="1237">
        <v>30</v>
      </c>
      <c r="AD69" s="1237">
        <v>30</v>
      </c>
      <c r="AE69" s="1237">
        <v>0</v>
      </c>
      <c r="AF69" s="1237">
        <v>0</v>
      </c>
      <c r="AG69" s="1237">
        <v>0</v>
      </c>
      <c r="AH69" s="88">
        <v>19</v>
      </c>
      <c r="AI69" s="1235">
        <v>20</v>
      </c>
      <c r="AJ69" s="1235">
        <v>20</v>
      </c>
      <c r="AK69" s="1235">
        <v>0</v>
      </c>
      <c r="AL69" s="1235">
        <v>0</v>
      </c>
      <c r="AM69" s="1235">
        <v>15</v>
      </c>
      <c r="AN69" s="1235">
        <v>30</v>
      </c>
      <c r="AO69" s="1235">
        <v>20</v>
      </c>
      <c r="AP69" s="1235">
        <v>20</v>
      </c>
      <c r="AQ69" s="1235">
        <v>30</v>
      </c>
      <c r="AR69" s="1235">
        <v>0</v>
      </c>
      <c r="AS69" s="1235">
        <v>0</v>
      </c>
      <c r="AT69" s="1235">
        <v>0</v>
      </c>
      <c r="AU69" s="1235">
        <v>40</v>
      </c>
      <c r="AV69" s="1236">
        <v>30</v>
      </c>
      <c r="AW69" s="1236">
        <v>10</v>
      </c>
      <c r="AX69" s="1236">
        <v>10</v>
      </c>
      <c r="AY69" s="1236">
        <v>0</v>
      </c>
      <c r="AZ69" s="1236">
        <v>0</v>
      </c>
      <c r="BA69" s="1236">
        <v>0</v>
      </c>
      <c r="BB69" s="1236">
        <v>50</v>
      </c>
      <c r="BC69" s="1237">
        <v>30</v>
      </c>
      <c r="BD69" s="1237">
        <v>0</v>
      </c>
      <c r="BE69" s="1237">
        <v>0</v>
      </c>
      <c r="BF69" s="1237">
        <v>0</v>
      </c>
      <c r="BG69" s="1238">
        <v>0</v>
      </c>
      <c r="BH69" s="1239">
        <v>30</v>
      </c>
      <c r="BI69" s="1235">
        <v>0</v>
      </c>
      <c r="BJ69" s="1235">
        <v>0</v>
      </c>
      <c r="BK69" s="1235"/>
      <c r="BL69" s="1240">
        <v>0</v>
      </c>
      <c r="BM69" s="1240">
        <v>0</v>
      </c>
      <c r="BN69" s="1240"/>
      <c r="BO69" s="1239">
        <v>0</v>
      </c>
      <c r="BP69" s="1239">
        <v>0</v>
      </c>
      <c r="BQ69" s="1242"/>
      <c r="BR69" s="1243" t="s">
        <v>570</v>
      </c>
      <c r="BS69" s="1244"/>
      <c r="BV69" s="1245"/>
      <c r="BW69" s="1239"/>
      <c r="BX69" s="1239"/>
      <c r="BY69" s="1239"/>
      <c r="BZ69" s="1239"/>
      <c r="CA69" s="1244"/>
      <c r="CB69" s="1244"/>
      <c r="CC69" s="1244"/>
      <c r="CD69" s="1244"/>
    </row>
    <row r="70" spans="1:82" s="88" customFormat="1" x14ac:dyDescent="0.25">
      <c r="A70" s="1246">
        <f t="shared" si="0"/>
        <v>67</v>
      </c>
      <c r="B70" s="930" t="str">
        <f>Coltura!C68</f>
        <v>E34</v>
      </c>
      <c r="C70" s="930" t="str">
        <f>Coltura!D68</f>
        <v>Mais trinciato classe 500</v>
      </c>
      <c r="D70" s="41" t="s">
        <v>645</v>
      </c>
      <c r="E70" s="88">
        <v>45</v>
      </c>
      <c r="F70" s="1235">
        <v>150</v>
      </c>
      <c r="G70" s="1236">
        <v>50</v>
      </c>
      <c r="H70" s="1236">
        <v>70</v>
      </c>
      <c r="I70" s="1236">
        <v>0</v>
      </c>
      <c r="J70" s="1236">
        <v>70</v>
      </c>
      <c r="K70" s="1237">
        <v>90</v>
      </c>
      <c r="L70" s="1237">
        <v>130</v>
      </c>
      <c r="M70" s="1237">
        <v>50</v>
      </c>
      <c r="N70" s="1237">
        <v>130</v>
      </c>
      <c r="O70" s="88">
        <v>36</v>
      </c>
      <c r="P70" s="1235">
        <v>30</v>
      </c>
      <c r="Q70" s="1235">
        <v>20</v>
      </c>
      <c r="R70" s="1235">
        <v>0</v>
      </c>
      <c r="S70" s="1235">
        <v>15</v>
      </c>
      <c r="T70" s="1235">
        <v>0</v>
      </c>
      <c r="U70" s="1235">
        <v>80</v>
      </c>
      <c r="V70" s="1235">
        <v>40</v>
      </c>
      <c r="W70" s="1235">
        <v>0</v>
      </c>
      <c r="X70" s="1236">
        <v>15</v>
      </c>
      <c r="Y70" s="1236">
        <v>0</v>
      </c>
      <c r="Z70" s="1236">
        <v>0</v>
      </c>
      <c r="AA70" s="1236">
        <v>0</v>
      </c>
      <c r="AB70" s="1236">
        <v>0</v>
      </c>
      <c r="AC70" s="1237">
        <v>20</v>
      </c>
      <c r="AD70" s="1237">
        <v>0</v>
      </c>
      <c r="AE70" s="1237">
        <v>0</v>
      </c>
      <c r="AF70" s="1237">
        <v>0</v>
      </c>
      <c r="AG70" s="1237">
        <v>0</v>
      </c>
      <c r="AH70" s="88">
        <v>54</v>
      </c>
      <c r="AI70" s="1235">
        <v>30</v>
      </c>
      <c r="AJ70" s="1235">
        <v>15</v>
      </c>
      <c r="AK70" s="1235">
        <v>0</v>
      </c>
      <c r="AL70" s="1235">
        <v>0</v>
      </c>
      <c r="AM70" s="1235">
        <v>15</v>
      </c>
      <c r="AN70" s="1235">
        <v>30</v>
      </c>
      <c r="AO70" s="1235">
        <v>0</v>
      </c>
      <c r="AP70" s="1235">
        <v>10</v>
      </c>
      <c r="AQ70" s="1235">
        <v>0</v>
      </c>
      <c r="AR70" s="1235">
        <v>0</v>
      </c>
      <c r="AS70" s="1235">
        <v>0</v>
      </c>
      <c r="AT70" s="1235">
        <v>0</v>
      </c>
      <c r="AU70" s="1235">
        <v>50</v>
      </c>
      <c r="AV70" s="1236">
        <v>15</v>
      </c>
      <c r="AW70" s="1236">
        <v>0</v>
      </c>
      <c r="AX70" s="1236">
        <v>0</v>
      </c>
      <c r="AY70" s="1236">
        <v>0</v>
      </c>
      <c r="AZ70" s="1236">
        <v>0</v>
      </c>
      <c r="BA70" s="1236">
        <v>0</v>
      </c>
      <c r="BB70" s="1236">
        <v>15</v>
      </c>
      <c r="BC70" s="1237">
        <v>20</v>
      </c>
      <c r="BD70" s="1237">
        <v>0</v>
      </c>
      <c r="BE70" s="1237">
        <v>0</v>
      </c>
      <c r="BF70" s="1237">
        <v>0</v>
      </c>
      <c r="BG70" s="1238">
        <v>0</v>
      </c>
      <c r="BH70" s="1239">
        <v>20</v>
      </c>
      <c r="BI70" s="1235">
        <v>0</v>
      </c>
      <c r="BJ70" s="1235">
        <v>0</v>
      </c>
      <c r="BK70" s="1235"/>
      <c r="BL70" s="1240">
        <v>0</v>
      </c>
      <c r="BM70" s="1240">
        <v>0</v>
      </c>
      <c r="BN70" s="1240"/>
      <c r="BO70" s="1239">
        <v>0</v>
      </c>
      <c r="BP70" s="1239">
        <v>0</v>
      </c>
      <c r="BQ70" s="1242"/>
      <c r="BR70" s="1243" t="s">
        <v>570</v>
      </c>
      <c r="BS70" s="1244"/>
      <c r="BV70" s="1245"/>
      <c r="BW70" s="1239"/>
      <c r="BX70" s="1239"/>
      <c r="BY70" s="1239"/>
      <c r="BZ70" s="1239"/>
      <c r="CA70" s="1244"/>
      <c r="CB70" s="1244"/>
      <c r="CC70" s="1244"/>
      <c r="CD70" s="1244"/>
    </row>
    <row r="71" spans="1:82" s="88" customFormat="1" x14ac:dyDescent="0.25">
      <c r="A71" s="1246">
        <f t="shared" si="0"/>
        <v>68</v>
      </c>
      <c r="B71" s="930" t="str">
        <f>Coltura!C69</f>
        <v>E35</v>
      </c>
      <c r="C71" s="930" t="str">
        <f>Coltura!D69</f>
        <v>Mais trinciato classe 700</v>
      </c>
      <c r="D71" s="41" t="s">
        <v>645</v>
      </c>
      <c r="E71" s="88">
        <v>65</v>
      </c>
      <c r="F71" s="1235">
        <v>240</v>
      </c>
      <c r="G71" s="1236">
        <v>80</v>
      </c>
      <c r="H71" s="1236">
        <v>100</v>
      </c>
      <c r="I71" s="1236">
        <v>0</v>
      </c>
      <c r="J71" s="1236">
        <v>100</v>
      </c>
      <c r="K71" s="1237">
        <v>155</v>
      </c>
      <c r="L71" s="1237">
        <v>230</v>
      </c>
      <c r="M71" s="1237">
        <v>80</v>
      </c>
      <c r="N71" s="1237">
        <v>230</v>
      </c>
      <c r="O71" s="88">
        <v>55</v>
      </c>
      <c r="P71" s="1235">
        <v>30</v>
      </c>
      <c r="Q71" s="1235">
        <v>20</v>
      </c>
      <c r="R71" s="1235">
        <v>0</v>
      </c>
      <c r="S71" s="1235">
        <v>15</v>
      </c>
      <c r="T71" s="1235">
        <v>0</v>
      </c>
      <c r="U71" s="1235">
        <v>80</v>
      </c>
      <c r="V71" s="1235">
        <v>40</v>
      </c>
      <c r="W71" s="1235">
        <v>0</v>
      </c>
      <c r="X71" s="1236">
        <v>15</v>
      </c>
      <c r="Y71" s="1236">
        <v>0</v>
      </c>
      <c r="Z71" s="1236">
        <v>0</v>
      </c>
      <c r="AA71" s="1236">
        <v>0</v>
      </c>
      <c r="AB71" s="1236">
        <v>0</v>
      </c>
      <c r="AC71" s="1237">
        <v>20</v>
      </c>
      <c r="AD71" s="1237">
        <v>0</v>
      </c>
      <c r="AE71" s="1237">
        <v>0</v>
      </c>
      <c r="AF71" s="1237">
        <v>0</v>
      </c>
      <c r="AG71" s="1237">
        <v>0</v>
      </c>
      <c r="AH71" s="88">
        <v>75</v>
      </c>
      <c r="AI71" s="1235">
        <v>30</v>
      </c>
      <c r="AJ71" s="1235">
        <v>15</v>
      </c>
      <c r="AK71" s="1235">
        <v>0</v>
      </c>
      <c r="AL71" s="1235">
        <v>0</v>
      </c>
      <c r="AM71" s="1235">
        <v>15</v>
      </c>
      <c r="AN71" s="1235">
        <v>30</v>
      </c>
      <c r="AO71" s="1235">
        <v>0</v>
      </c>
      <c r="AP71" s="1235">
        <v>10</v>
      </c>
      <c r="AQ71" s="1235">
        <v>0</v>
      </c>
      <c r="AR71" s="1235">
        <v>0</v>
      </c>
      <c r="AS71" s="1235">
        <v>0</v>
      </c>
      <c r="AT71" s="1235">
        <v>0</v>
      </c>
      <c r="AU71" s="1235">
        <v>70</v>
      </c>
      <c r="AV71" s="1236">
        <v>15</v>
      </c>
      <c r="AW71" s="1236">
        <v>0</v>
      </c>
      <c r="AX71" s="1236">
        <v>0</v>
      </c>
      <c r="AY71" s="1236">
        <v>0</v>
      </c>
      <c r="AZ71" s="1236">
        <v>0</v>
      </c>
      <c r="BA71" s="1236">
        <v>0</v>
      </c>
      <c r="BB71" s="1236">
        <v>15</v>
      </c>
      <c r="BC71" s="1237">
        <v>20</v>
      </c>
      <c r="BD71" s="1237">
        <v>0</v>
      </c>
      <c r="BE71" s="1237">
        <v>0</v>
      </c>
      <c r="BF71" s="1237">
        <v>0</v>
      </c>
      <c r="BG71" s="1238">
        <v>0</v>
      </c>
      <c r="BH71" s="1239">
        <v>20</v>
      </c>
      <c r="BI71" s="1235">
        <v>0</v>
      </c>
      <c r="BJ71" s="1235">
        <v>0</v>
      </c>
      <c r="BK71" s="1235"/>
      <c r="BL71" s="1240">
        <v>0</v>
      </c>
      <c r="BM71" s="1240">
        <v>0</v>
      </c>
      <c r="BN71" s="1240"/>
      <c r="BO71" s="1239">
        <v>0</v>
      </c>
      <c r="BP71" s="1239">
        <v>0</v>
      </c>
      <c r="BQ71" s="1242"/>
      <c r="BR71" s="1243" t="s">
        <v>570</v>
      </c>
      <c r="BS71" s="1244"/>
      <c r="BV71" s="1245"/>
      <c r="BW71" s="1239"/>
      <c r="BX71" s="1239"/>
      <c r="BY71" s="1239"/>
      <c r="BZ71" s="1239"/>
      <c r="CA71" s="1244"/>
      <c r="CB71" s="1244"/>
      <c r="CC71" s="1244"/>
      <c r="CD71" s="1244"/>
    </row>
    <row r="72" spans="1:82" x14ac:dyDescent="0.25">
      <c r="A72" s="1246">
        <f t="shared" si="0"/>
        <v>69</v>
      </c>
      <c r="B72" s="930" t="str">
        <f>Coltura!C70</f>
        <v>E36</v>
      </c>
      <c r="C72" s="930" t="str">
        <f>Coltura!D70</f>
        <v>Orzo (granella)</v>
      </c>
      <c r="D72" s="41" t="s">
        <v>645</v>
      </c>
      <c r="E72" s="32">
        <v>6.5</v>
      </c>
      <c r="F72" s="1224">
        <v>125</v>
      </c>
      <c r="G72" s="1225">
        <v>60</v>
      </c>
      <c r="H72" s="1225">
        <v>90</v>
      </c>
      <c r="I72" s="1225">
        <v>0</v>
      </c>
      <c r="J72" s="1225">
        <v>90</v>
      </c>
      <c r="K72" s="1226">
        <v>120</v>
      </c>
      <c r="L72" s="1226">
        <v>150</v>
      </c>
      <c r="M72" s="1226">
        <v>0</v>
      </c>
      <c r="N72" s="1226">
        <v>150</v>
      </c>
      <c r="O72" s="32">
        <v>5.2</v>
      </c>
      <c r="P72" s="1224">
        <v>25</v>
      </c>
      <c r="Q72" s="1224">
        <v>20</v>
      </c>
      <c r="R72" s="1224">
        <v>0</v>
      </c>
      <c r="S72" s="1224">
        <v>15</v>
      </c>
      <c r="T72" s="1224">
        <v>0</v>
      </c>
      <c r="U72" s="1224">
        <v>80</v>
      </c>
      <c r="V72" s="1224">
        <v>40</v>
      </c>
      <c r="W72" s="1224">
        <v>0</v>
      </c>
      <c r="X72" s="1225">
        <v>15</v>
      </c>
      <c r="Y72" s="1225">
        <v>0</v>
      </c>
      <c r="Z72" s="1225">
        <v>0</v>
      </c>
      <c r="AA72" s="1225">
        <v>0</v>
      </c>
      <c r="AB72" s="1225">
        <v>0</v>
      </c>
      <c r="AC72" s="1226">
        <v>20</v>
      </c>
      <c r="AD72" s="1226">
        <v>0</v>
      </c>
      <c r="AE72" s="1226">
        <v>0</v>
      </c>
      <c r="AF72" s="1226">
        <v>0</v>
      </c>
      <c r="AG72" s="1226">
        <v>0</v>
      </c>
      <c r="AH72" s="32">
        <v>7.8</v>
      </c>
      <c r="AI72" s="1224">
        <v>25</v>
      </c>
      <c r="AJ72" s="1224">
        <v>15</v>
      </c>
      <c r="AK72" s="1224">
        <v>0</v>
      </c>
      <c r="AL72" s="1224">
        <v>0</v>
      </c>
      <c r="AM72" s="1224">
        <v>15</v>
      </c>
      <c r="AN72" s="1224">
        <v>30</v>
      </c>
      <c r="AO72" s="1224">
        <v>0</v>
      </c>
      <c r="AP72" s="1224">
        <v>10</v>
      </c>
      <c r="AQ72" s="1224">
        <v>0</v>
      </c>
      <c r="AR72" s="1224">
        <v>0</v>
      </c>
      <c r="AS72" s="1224">
        <v>0</v>
      </c>
      <c r="AT72" s="1224">
        <v>0</v>
      </c>
      <c r="AU72" s="1224">
        <v>40</v>
      </c>
      <c r="AV72" s="1225">
        <v>15</v>
      </c>
      <c r="AW72" s="1225">
        <v>0</v>
      </c>
      <c r="AX72" s="1225">
        <v>0</v>
      </c>
      <c r="AY72" s="1225">
        <v>0</v>
      </c>
      <c r="AZ72" s="1225">
        <v>0</v>
      </c>
      <c r="BA72" s="1248">
        <v>0</v>
      </c>
      <c r="BB72" s="1225">
        <v>15</v>
      </c>
      <c r="BC72" s="1226">
        <v>20</v>
      </c>
      <c r="BD72" s="1226">
        <v>0</v>
      </c>
      <c r="BE72" s="1226">
        <v>0</v>
      </c>
      <c r="BF72" s="1249">
        <v>0</v>
      </c>
      <c r="BG72" s="1238">
        <v>0</v>
      </c>
      <c r="BH72" s="1229">
        <v>20</v>
      </c>
      <c r="BI72" s="1224">
        <v>0</v>
      </c>
      <c r="BJ72" s="1224">
        <v>0</v>
      </c>
      <c r="BL72" s="1230">
        <v>0</v>
      </c>
      <c r="BM72" s="1230">
        <v>0</v>
      </c>
      <c r="BO72" s="1229">
        <v>0</v>
      </c>
      <c r="BP72" s="1229">
        <v>0</v>
      </c>
      <c r="BR72" s="1243" t="s">
        <v>570</v>
      </c>
      <c r="BV72" s="60"/>
    </row>
    <row r="73" spans="1:82" s="88" customFormat="1" x14ac:dyDescent="0.25">
      <c r="A73" s="1246">
        <f t="shared" si="0"/>
        <v>70</v>
      </c>
      <c r="B73" s="930" t="str">
        <f>Coltura!C71</f>
        <v>E37</v>
      </c>
      <c r="C73" s="930" t="str">
        <f>Coltura!D71</f>
        <v>Orzo (pianta intera)</v>
      </c>
      <c r="D73" s="41" t="s">
        <v>645</v>
      </c>
      <c r="E73" s="88">
        <v>6.5</v>
      </c>
      <c r="F73" s="1235">
        <v>125</v>
      </c>
      <c r="G73" s="1236">
        <v>60</v>
      </c>
      <c r="H73" s="1236">
        <v>90</v>
      </c>
      <c r="I73" s="1236">
        <v>0</v>
      </c>
      <c r="J73" s="1236">
        <v>90</v>
      </c>
      <c r="K73" s="1237">
        <v>120</v>
      </c>
      <c r="L73" s="1237">
        <v>150</v>
      </c>
      <c r="M73" s="1237">
        <v>0</v>
      </c>
      <c r="N73" s="1237">
        <v>150</v>
      </c>
      <c r="O73" s="88">
        <v>5.2</v>
      </c>
      <c r="P73" s="1235">
        <v>25</v>
      </c>
      <c r="Q73" s="1235">
        <v>20</v>
      </c>
      <c r="R73" s="1235">
        <v>0</v>
      </c>
      <c r="S73" s="1235">
        <v>15</v>
      </c>
      <c r="T73" s="1235">
        <v>0</v>
      </c>
      <c r="U73" s="1235">
        <v>80</v>
      </c>
      <c r="V73" s="1235">
        <v>40</v>
      </c>
      <c r="W73" s="1235">
        <v>0</v>
      </c>
      <c r="X73" s="1236">
        <v>15</v>
      </c>
      <c r="Y73" s="1236">
        <v>0</v>
      </c>
      <c r="Z73" s="1236">
        <v>0</v>
      </c>
      <c r="AA73" s="1236">
        <v>0</v>
      </c>
      <c r="AB73" s="1236">
        <v>0</v>
      </c>
      <c r="AC73" s="1237">
        <v>20</v>
      </c>
      <c r="AD73" s="1237">
        <v>0</v>
      </c>
      <c r="AE73" s="1237">
        <v>0</v>
      </c>
      <c r="AF73" s="1237">
        <v>0</v>
      </c>
      <c r="AG73" s="1237">
        <v>0</v>
      </c>
      <c r="AH73" s="88">
        <v>7.8</v>
      </c>
      <c r="AI73" s="1235">
        <v>25</v>
      </c>
      <c r="AJ73" s="1235">
        <v>15</v>
      </c>
      <c r="AK73" s="1235">
        <v>0</v>
      </c>
      <c r="AL73" s="1235">
        <v>0</v>
      </c>
      <c r="AM73" s="1235">
        <v>15</v>
      </c>
      <c r="AN73" s="1235">
        <v>30</v>
      </c>
      <c r="AO73" s="1235">
        <v>0</v>
      </c>
      <c r="AP73" s="1235">
        <v>10</v>
      </c>
      <c r="AQ73" s="1235">
        <v>0</v>
      </c>
      <c r="AR73" s="1235">
        <v>0</v>
      </c>
      <c r="AS73" s="1235">
        <v>0</v>
      </c>
      <c r="AT73" s="1235">
        <v>0</v>
      </c>
      <c r="AU73" s="1235">
        <v>40</v>
      </c>
      <c r="AV73" s="1236">
        <v>15</v>
      </c>
      <c r="AW73" s="1236">
        <v>0</v>
      </c>
      <c r="AX73" s="1236">
        <v>0</v>
      </c>
      <c r="AY73" s="1236">
        <v>0</v>
      </c>
      <c r="AZ73" s="1236">
        <v>0</v>
      </c>
      <c r="BA73" s="1236">
        <v>0</v>
      </c>
      <c r="BB73" s="1236">
        <v>15</v>
      </c>
      <c r="BC73" s="1237">
        <v>20</v>
      </c>
      <c r="BD73" s="1237">
        <v>0</v>
      </c>
      <c r="BE73" s="1237">
        <v>0</v>
      </c>
      <c r="BF73" s="1237">
        <v>0</v>
      </c>
      <c r="BG73" s="1238">
        <v>0</v>
      </c>
      <c r="BH73" s="1239">
        <v>20</v>
      </c>
      <c r="BI73" s="1235">
        <v>0</v>
      </c>
      <c r="BJ73" s="1235">
        <v>0</v>
      </c>
      <c r="BK73" s="1235"/>
      <c r="BL73" s="1240">
        <v>0</v>
      </c>
      <c r="BM73" s="1240">
        <v>0</v>
      </c>
      <c r="BN73" s="1240"/>
      <c r="BO73" s="1239">
        <v>0</v>
      </c>
      <c r="BP73" s="1239">
        <v>0</v>
      </c>
      <c r="BQ73" s="1242"/>
      <c r="BR73" s="1243" t="s">
        <v>570</v>
      </c>
      <c r="BS73" s="1244"/>
      <c r="BV73" s="1245"/>
      <c r="BW73" s="1239"/>
      <c r="BX73" s="1239"/>
      <c r="BY73" s="1239"/>
      <c r="BZ73" s="1239"/>
      <c r="CA73" s="1244"/>
      <c r="CB73" s="1244"/>
      <c r="CC73" s="1244"/>
      <c r="CD73" s="1244"/>
    </row>
    <row r="74" spans="1:82" x14ac:dyDescent="0.25">
      <c r="A74" s="1246">
        <f t="shared" ref="A74:A137" si="1">(A73+1)</f>
        <v>71</v>
      </c>
      <c r="B74" s="930" t="str">
        <f>Coltura!C72</f>
        <v>E38</v>
      </c>
      <c r="C74" s="930" t="str">
        <f>Coltura!D72</f>
        <v>Panico</v>
      </c>
      <c r="D74" s="41" t="s">
        <v>645</v>
      </c>
      <c r="E74" s="32" t="s">
        <v>645</v>
      </c>
      <c r="F74" s="1224" t="s">
        <v>645</v>
      </c>
      <c r="AH74" s="32" t="s">
        <v>645</v>
      </c>
      <c r="BA74" s="1248"/>
      <c r="BB74" s="1225">
        <v>0</v>
      </c>
      <c r="BF74" s="1249"/>
      <c r="BG74" s="1228"/>
      <c r="BH74" s="1229">
        <v>0</v>
      </c>
      <c r="BI74" s="1224">
        <v>0</v>
      </c>
      <c r="BJ74" s="1224">
        <v>0</v>
      </c>
      <c r="BL74" s="1230">
        <v>0</v>
      </c>
      <c r="BM74" s="1230">
        <v>0</v>
      </c>
      <c r="BO74" s="1229">
        <v>0</v>
      </c>
      <c r="BP74" s="1229">
        <v>0</v>
      </c>
      <c r="BR74" s="1243" t="s">
        <v>570</v>
      </c>
      <c r="BV74" s="60"/>
    </row>
    <row r="75" spans="1:82" x14ac:dyDescent="0.25">
      <c r="A75" s="1246">
        <f t="shared" si="1"/>
        <v>72</v>
      </c>
      <c r="B75" s="930" t="str">
        <f>Coltura!C73</f>
        <v>E39</v>
      </c>
      <c r="C75" s="930" t="str">
        <f>Coltura!D73</f>
        <v>Pisello proteico</v>
      </c>
      <c r="D75" s="41" t="s">
        <v>645</v>
      </c>
      <c r="E75" s="32">
        <v>5</v>
      </c>
      <c r="F75" s="1224">
        <v>40</v>
      </c>
      <c r="G75" s="1225">
        <v>50</v>
      </c>
      <c r="H75" s="1225">
        <v>100</v>
      </c>
      <c r="I75" s="1225">
        <v>0</v>
      </c>
      <c r="J75" s="1225">
        <v>100</v>
      </c>
      <c r="K75" s="1226">
        <v>50</v>
      </c>
      <c r="L75" s="1226">
        <v>150</v>
      </c>
      <c r="M75" s="1226">
        <v>0</v>
      </c>
      <c r="N75" s="1226">
        <v>150</v>
      </c>
      <c r="O75" s="32">
        <v>4</v>
      </c>
      <c r="P75" s="1224">
        <v>10</v>
      </c>
      <c r="Q75" s="1224">
        <v>15</v>
      </c>
      <c r="R75" s="1224">
        <v>10</v>
      </c>
      <c r="S75" s="1224">
        <v>15</v>
      </c>
      <c r="T75" s="1224">
        <v>0</v>
      </c>
      <c r="U75" s="1224">
        <v>10</v>
      </c>
      <c r="V75" s="1224">
        <v>10</v>
      </c>
      <c r="W75" s="1224">
        <v>0</v>
      </c>
      <c r="X75" s="1225">
        <v>10</v>
      </c>
      <c r="Y75" s="1225">
        <v>0</v>
      </c>
      <c r="Z75" s="1225">
        <v>0</v>
      </c>
      <c r="AA75" s="1225">
        <v>0</v>
      </c>
      <c r="AB75" s="1225">
        <v>0</v>
      </c>
      <c r="AC75" s="1226">
        <v>20</v>
      </c>
      <c r="AD75" s="1226">
        <v>0</v>
      </c>
      <c r="AE75" s="1226">
        <v>0</v>
      </c>
      <c r="AF75" s="1226">
        <v>0</v>
      </c>
      <c r="AG75" s="1226">
        <v>0</v>
      </c>
      <c r="AH75" s="32">
        <v>6</v>
      </c>
      <c r="AI75" s="1224">
        <v>10</v>
      </c>
      <c r="AJ75" s="1224">
        <v>10</v>
      </c>
      <c r="AK75" s="1224">
        <v>10</v>
      </c>
      <c r="AL75" s="1224">
        <v>0</v>
      </c>
      <c r="AM75" s="1224">
        <v>15</v>
      </c>
      <c r="AN75" s="1224">
        <v>0</v>
      </c>
      <c r="AO75" s="1224">
        <v>0</v>
      </c>
      <c r="AP75" s="1224">
        <v>0</v>
      </c>
      <c r="AQ75" s="1224">
        <v>0</v>
      </c>
      <c r="AR75" s="1224">
        <v>0</v>
      </c>
      <c r="AS75" s="1224">
        <v>0</v>
      </c>
      <c r="AT75" s="1224">
        <v>0</v>
      </c>
      <c r="AU75" s="1224">
        <v>20</v>
      </c>
      <c r="AV75" s="1225">
        <v>10</v>
      </c>
      <c r="AW75" s="1225">
        <v>10</v>
      </c>
      <c r="AX75" s="1225">
        <v>0</v>
      </c>
      <c r="AY75" s="1225">
        <v>0</v>
      </c>
      <c r="AZ75" s="1225">
        <v>0</v>
      </c>
      <c r="BA75" s="1248">
        <v>0</v>
      </c>
      <c r="BB75" s="1225">
        <v>20</v>
      </c>
      <c r="BC75" s="1226">
        <v>20</v>
      </c>
      <c r="BD75" s="1226">
        <v>0</v>
      </c>
      <c r="BE75" s="1226">
        <v>0</v>
      </c>
      <c r="BF75" s="1249">
        <v>0</v>
      </c>
      <c r="BG75" s="1238">
        <v>0</v>
      </c>
      <c r="BH75" s="1229">
        <v>20</v>
      </c>
      <c r="BI75" s="1224">
        <v>0</v>
      </c>
      <c r="BJ75" s="1224">
        <v>0</v>
      </c>
      <c r="BL75" s="1230">
        <v>0</v>
      </c>
      <c r="BM75" s="1230">
        <v>0</v>
      </c>
      <c r="BO75" s="1229">
        <v>0</v>
      </c>
      <c r="BP75" s="1229">
        <v>0</v>
      </c>
      <c r="BR75" s="1243" t="s">
        <v>570</v>
      </c>
      <c r="BV75" s="60"/>
    </row>
    <row r="76" spans="1:82" x14ac:dyDescent="0.25">
      <c r="A76" s="1246">
        <f t="shared" si="1"/>
        <v>73</v>
      </c>
      <c r="B76" s="930" t="str">
        <f>Coltura!C74</f>
        <v>E40</v>
      </c>
      <c r="C76" s="930" t="str">
        <f>Coltura!D74</f>
        <v>Pisello proteico + residui</v>
      </c>
      <c r="D76" s="41" t="s">
        <v>645</v>
      </c>
      <c r="E76" s="32">
        <v>5</v>
      </c>
      <c r="F76" s="1224">
        <v>40</v>
      </c>
      <c r="G76" s="1225">
        <v>50</v>
      </c>
      <c r="H76" s="1225">
        <v>100</v>
      </c>
      <c r="I76" s="1225">
        <v>0</v>
      </c>
      <c r="J76" s="1225">
        <v>100</v>
      </c>
      <c r="K76" s="1226">
        <v>50</v>
      </c>
      <c r="L76" s="1226">
        <v>150</v>
      </c>
      <c r="M76" s="1226">
        <v>0</v>
      </c>
      <c r="N76" s="1226">
        <v>150</v>
      </c>
      <c r="O76" s="32">
        <v>4</v>
      </c>
      <c r="P76" s="1224">
        <v>10</v>
      </c>
      <c r="Q76" s="1224">
        <v>15</v>
      </c>
      <c r="R76" s="1224">
        <v>10</v>
      </c>
      <c r="S76" s="1224">
        <v>15</v>
      </c>
      <c r="T76" s="1224">
        <v>0</v>
      </c>
      <c r="U76" s="1224">
        <v>10</v>
      </c>
      <c r="V76" s="1224">
        <v>10</v>
      </c>
      <c r="W76" s="1224">
        <v>0</v>
      </c>
      <c r="X76" s="1225">
        <v>10</v>
      </c>
      <c r="Y76" s="1225">
        <v>0</v>
      </c>
      <c r="Z76" s="1225">
        <v>0</v>
      </c>
      <c r="AA76" s="1225">
        <v>0</v>
      </c>
      <c r="AB76" s="1225">
        <v>0</v>
      </c>
      <c r="AC76" s="1226">
        <v>20</v>
      </c>
      <c r="AD76" s="1226">
        <v>0</v>
      </c>
      <c r="AE76" s="1226">
        <v>0</v>
      </c>
      <c r="AF76" s="1226">
        <v>0</v>
      </c>
      <c r="AG76" s="1226">
        <v>0</v>
      </c>
      <c r="AH76" s="32">
        <v>6</v>
      </c>
      <c r="AI76" s="1224">
        <v>10</v>
      </c>
      <c r="AJ76" s="1224">
        <v>10</v>
      </c>
      <c r="AK76" s="1224">
        <v>10</v>
      </c>
      <c r="AL76" s="1224">
        <v>0</v>
      </c>
      <c r="AM76" s="1224">
        <v>15</v>
      </c>
      <c r="AN76" s="1224">
        <v>0</v>
      </c>
      <c r="AO76" s="1224">
        <v>0</v>
      </c>
      <c r="AP76" s="1224">
        <v>0</v>
      </c>
      <c r="AQ76" s="1224">
        <v>0</v>
      </c>
      <c r="AR76" s="1224">
        <v>0</v>
      </c>
      <c r="AS76" s="1224">
        <v>0</v>
      </c>
      <c r="AT76" s="1224">
        <v>0</v>
      </c>
      <c r="AU76" s="1224">
        <v>20</v>
      </c>
      <c r="AV76" s="1225">
        <v>10</v>
      </c>
      <c r="AW76" s="1225">
        <v>10</v>
      </c>
      <c r="AX76" s="1225">
        <v>0</v>
      </c>
      <c r="AY76" s="1225">
        <v>0</v>
      </c>
      <c r="AZ76" s="1225">
        <v>0</v>
      </c>
      <c r="BA76" s="1248">
        <v>0</v>
      </c>
      <c r="BB76" s="1225">
        <v>20</v>
      </c>
      <c r="BC76" s="1226">
        <v>20</v>
      </c>
      <c r="BD76" s="1226">
        <v>0</v>
      </c>
      <c r="BE76" s="1226">
        <v>0</v>
      </c>
      <c r="BF76" s="1249">
        <v>0</v>
      </c>
      <c r="BG76" s="1238">
        <v>0</v>
      </c>
      <c r="BH76" s="1229">
        <v>20</v>
      </c>
      <c r="BI76" s="1224">
        <v>0</v>
      </c>
      <c r="BJ76" s="1224">
        <v>0</v>
      </c>
      <c r="BL76" s="1230">
        <v>0</v>
      </c>
      <c r="BM76" s="1230">
        <v>0</v>
      </c>
      <c r="BO76" s="1229">
        <v>0</v>
      </c>
      <c r="BP76" s="1229">
        <v>0</v>
      </c>
      <c r="BR76" s="1243" t="s">
        <v>570</v>
      </c>
      <c r="BV76" s="60"/>
    </row>
    <row r="77" spans="1:82" x14ac:dyDescent="0.25">
      <c r="A77" s="1246">
        <f t="shared" si="1"/>
        <v>74</v>
      </c>
      <c r="B77" s="930" t="str">
        <f>Coltura!C75</f>
        <v>E41</v>
      </c>
      <c r="C77" s="930" t="str">
        <f>Coltura!D75</f>
        <v>Rafano (da sovescio)</v>
      </c>
      <c r="D77" s="41" t="s">
        <v>645</v>
      </c>
      <c r="E77" s="32" t="s">
        <v>645</v>
      </c>
      <c r="F77" s="1224" t="s">
        <v>645</v>
      </c>
      <c r="AH77" s="32" t="s">
        <v>645</v>
      </c>
      <c r="BA77" s="1248"/>
      <c r="BB77" s="1225">
        <v>0</v>
      </c>
      <c r="BF77" s="1249"/>
      <c r="BG77" s="1228"/>
      <c r="BH77" s="1229">
        <v>0</v>
      </c>
      <c r="BI77" s="1224">
        <v>0</v>
      </c>
      <c r="BJ77" s="1224">
        <v>0</v>
      </c>
      <c r="BL77" s="1230">
        <v>0</v>
      </c>
      <c r="BM77" s="1230">
        <v>0</v>
      </c>
      <c r="BO77" s="1229">
        <v>0</v>
      </c>
      <c r="BP77" s="1229">
        <v>0</v>
      </c>
      <c r="BR77" s="1243" t="s">
        <v>570</v>
      </c>
      <c r="BV77" s="60"/>
    </row>
    <row r="78" spans="1:82" x14ac:dyDescent="0.25">
      <c r="A78" s="1246">
        <f t="shared" si="1"/>
        <v>75</v>
      </c>
      <c r="B78" s="930" t="str">
        <f>Coltura!C76</f>
        <v>E42</v>
      </c>
      <c r="C78" s="930" t="str">
        <f>Coltura!D76</f>
        <v>Riso (granella)</v>
      </c>
      <c r="D78" s="41" t="s">
        <v>645</v>
      </c>
      <c r="E78" s="32">
        <v>7</v>
      </c>
      <c r="F78" s="1224">
        <v>110</v>
      </c>
      <c r="G78" s="1225">
        <v>50</v>
      </c>
      <c r="H78" s="1225">
        <v>100</v>
      </c>
      <c r="I78" s="1225">
        <v>0</v>
      </c>
      <c r="J78" s="1225">
        <v>100</v>
      </c>
      <c r="K78" s="1226">
        <v>60</v>
      </c>
      <c r="L78" s="1226">
        <v>90</v>
      </c>
      <c r="M78" s="1226">
        <v>0</v>
      </c>
      <c r="N78" s="1226">
        <v>90</v>
      </c>
      <c r="O78" s="32">
        <v>5.6</v>
      </c>
      <c r="P78" s="1224">
        <v>25</v>
      </c>
      <c r="Q78" s="1224">
        <v>20</v>
      </c>
      <c r="R78" s="1224">
        <v>0</v>
      </c>
      <c r="S78" s="1224">
        <v>15</v>
      </c>
      <c r="T78" s="1224">
        <v>15</v>
      </c>
      <c r="U78" s="1224">
        <v>0</v>
      </c>
      <c r="V78" s="1224">
        <v>0</v>
      </c>
      <c r="W78" s="1224">
        <v>0</v>
      </c>
      <c r="X78" s="1225">
        <v>15</v>
      </c>
      <c r="Y78" s="1225">
        <v>0</v>
      </c>
      <c r="Z78" s="1225">
        <v>0</v>
      </c>
      <c r="AA78" s="1225">
        <v>0</v>
      </c>
      <c r="AB78" s="1225">
        <v>0</v>
      </c>
      <c r="AC78" s="1226">
        <v>25</v>
      </c>
      <c r="AD78" s="1226">
        <v>0</v>
      </c>
      <c r="AE78" s="1226">
        <v>0</v>
      </c>
      <c r="AF78" s="1226">
        <v>0</v>
      </c>
      <c r="AG78" s="1226">
        <v>0</v>
      </c>
      <c r="AH78" s="32">
        <v>8.4</v>
      </c>
      <c r="AI78" s="1224">
        <v>25</v>
      </c>
      <c r="AJ78" s="1224">
        <v>15</v>
      </c>
      <c r="AK78" s="1224">
        <v>0</v>
      </c>
      <c r="AL78" s="1224">
        <v>0</v>
      </c>
      <c r="AM78" s="1224">
        <v>15</v>
      </c>
      <c r="AN78" s="1224">
        <v>0</v>
      </c>
      <c r="AO78" s="1224">
        <v>0</v>
      </c>
      <c r="AP78" s="1224">
        <v>0</v>
      </c>
      <c r="AQ78" s="1224">
        <v>0</v>
      </c>
      <c r="AR78" s="1224">
        <v>0</v>
      </c>
      <c r="AS78" s="1224">
        <v>0</v>
      </c>
      <c r="AT78" s="1224">
        <v>0</v>
      </c>
      <c r="AU78" s="1224">
        <v>40</v>
      </c>
      <c r="AV78" s="1225">
        <v>15</v>
      </c>
      <c r="AW78" s="1225">
        <v>0</v>
      </c>
      <c r="AX78" s="1225">
        <v>0</v>
      </c>
      <c r="AY78" s="1225">
        <v>0</v>
      </c>
      <c r="AZ78" s="1225">
        <v>0</v>
      </c>
      <c r="BA78" s="1248">
        <v>0</v>
      </c>
      <c r="BB78" s="1225">
        <v>15</v>
      </c>
      <c r="BC78" s="1226">
        <v>25</v>
      </c>
      <c r="BD78" s="1226">
        <v>0</v>
      </c>
      <c r="BE78" s="1226">
        <v>0</v>
      </c>
      <c r="BF78" s="1249">
        <v>0</v>
      </c>
      <c r="BG78" s="1238">
        <v>0</v>
      </c>
      <c r="BH78" s="1229">
        <v>25</v>
      </c>
      <c r="BI78" s="1224">
        <v>0</v>
      </c>
      <c r="BJ78" s="1224">
        <v>0</v>
      </c>
      <c r="BL78" s="1230">
        <v>0</v>
      </c>
      <c r="BM78" s="1230">
        <v>0</v>
      </c>
      <c r="BO78" s="1229">
        <v>0</v>
      </c>
      <c r="BP78" s="1229">
        <v>0</v>
      </c>
      <c r="BR78" s="1243" t="s">
        <v>570</v>
      </c>
      <c r="BV78" s="60"/>
    </row>
    <row r="79" spans="1:82" x14ac:dyDescent="0.25">
      <c r="A79" s="1246">
        <f t="shared" si="1"/>
        <v>76</v>
      </c>
      <c r="B79" s="930" t="str">
        <f>Coltura!C77</f>
        <v>E43</v>
      </c>
      <c r="C79" s="930" t="str">
        <f>Coltura!D77</f>
        <v>Riso (granella+paglia)</v>
      </c>
      <c r="D79" s="41" t="s">
        <v>645</v>
      </c>
      <c r="E79" s="32">
        <v>7</v>
      </c>
      <c r="F79" s="1224">
        <v>110</v>
      </c>
      <c r="G79" s="1225">
        <v>50</v>
      </c>
      <c r="H79" s="1225">
        <v>100</v>
      </c>
      <c r="I79" s="1225">
        <v>0</v>
      </c>
      <c r="J79" s="1225">
        <v>100</v>
      </c>
      <c r="K79" s="1226">
        <v>120</v>
      </c>
      <c r="L79" s="1226">
        <v>180</v>
      </c>
      <c r="M79" s="1226">
        <v>0</v>
      </c>
      <c r="N79" s="1226">
        <v>180</v>
      </c>
      <c r="O79" s="32">
        <v>5.6</v>
      </c>
      <c r="P79" s="1224">
        <v>25</v>
      </c>
      <c r="Q79" s="1224">
        <v>20</v>
      </c>
      <c r="R79" s="1224">
        <v>0</v>
      </c>
      <c r="S79" s="1224">
        <v>15</v>
      </c>
      <c r="T79" s="1224">
        <v>15</v>
      </c>
      <c r="U79" s="1224">
        <v>0</v>
      </c>
      <c r="V79" s="1224">
        <v>0</v>
      </c>
      <c r="W79" s="1224">
        <v>0</v>
      </c>
      <c r="X79" s="1225">
        <v>15</v>
      </c>
      <c r="Y79" s="1225">
        <v>0</v>
      </c>
      <c r="Z79" s="1225">
        <v>0</v>
      </c>
      <c r="AA79" s="1225">
        <v>0</v>
      </c>
      <c r="AB79" s="1225">
        <v>0</v>
      </c>
      <c r="AC79" s="1226">
        <v>25</v>
      </c>
      <c r="AD79" s="1226">
        <v>0</v>
      </c>
      <c r="AE79" s="1226">
        <v>0</v>
      </c>
      <c r="AF79" s="1226">
        <v>0</v>
      </c>
      <c r="AG79" s="1226">
        <v>0</v>
      </c>
      <c r="AH79" s="32">
        <v>8.4</v>
      </c>
      <c r="AI79" s="1224">
        <v>25</v>
      </c>
      <c r="AJ79" s="1224">
        <v>15</v>
      </c>
      <c r="AK79" s="1224">
        <v>0</v>
      </c>
      <c r="AL79" s="1224">
        <v>0</v>
      </c>
      <c r="AM79" s="1224">
        <v>15</v>
      </c>
      <c r="AN79" s="1224">
        <v>0</v>
      </c>
      <c r="AO79" s="1224">
        <v>0</v>
      </c>
      <c r="AP79" s="1224">
        <v>0</v>
      </c>
      <c r="AQ79" s="1224">
        <v>0</v>
      </c>
      <c r="AR79" s="1224">
        <v>0</v>
      </c>
      <c r="AS79" s="1224">
        <v>0</v>
      </c>
      <c r="AT79" s="1224">
        <v>0</v>
      </c>
      <c r="AU79" s="1224">
        <v>40</v>
      </c>
      <c r="AV79" s="1225">
        <v>15</v>
      </c>
      <c r="AW79" s="1225">
        <v>0</v>
      </c>
      <c r="AX79" s="1225">
        <v>0</v>
      </c>
      <c r="AY79" s="1225">
        <v>0</v>
      </c>
      <c r="AZ79" s="1225">
        <v>0</v>
      </c>
      <c r="BA79" s="1248">
        <v>0</v>
      </c>
      <c r="BB79" s="1225">
        <v>15</v>
      </c>
      <c r="BC79" s="1226">
        <v>25</v>
      </c>
      <c r="BD79" s="1226">
        <v>0</v>
      </c>
      <c r="BE79" s="1226">
        <v>0</v>
      </c>
      <c r="BF79" s="1249">
        <v>0</v>
      </c>
      <c r="BG79" s="1238">
        <v>0</v>
      </c>
      <c r="BH79" s="1229">
        <v>25</v>
      </c>
      <c r="BI79" s="1224">
        <v>0</v>
      </c>
      <c r="BJ79" s="1224">
        <v>0</v>
      </c>
      <c r="BL79" s="1230">
        <v>0</v>
      </c>
      <c r="BM79" s="1230">
        <v>0</v>
      </c>
      <c r="BO79" s="1229">
        <v>0</v>
      </c>
      <c r="BP79" s="1229">
        <v>0</v>
      </c>
      <c r="BR79" s="1243" t="s">
        <v>570</v>
      </c>
      <c r="BV79" s="60"/>
    </row>
    <row r="80" spans="1:82" x14ac:dyDescent="0.25">
      <c r="A80" s="1246">
        <f t="shared" si="1"/>
        <v>77</v>
      </c>
      <c r="B80" s="930" t="str">
        <f>Coltura!C78</f>
        <v>E44</v>
      </c>
      <c r="C80" s="930" t="str">
        <f>Coltura!D78</f>
        <v>Segale (granella)</v>
      </c>
      <c r="D80" s="41" t="s">
        <v>645</v>
      </c>
      <c r="E80" s="32">
        <v>4</v>
      </c>
      <c r="F80" s="1224">
        <v>100</v>
      </c>
      <c r="G80" s="1225">
        <v>50</v>
      </c>
      <c r="H80" s="1225">
        <v>100</v>
      </c>
      <c r="I80" s="1225">
        <v>0</v>
      </c>
      <c r="J80" s="1225">
        <v>100</v>
      </c>
      <c r="K80" s="1226">
        <v>50</v>
      </c>
      <c r="L80" s="1226">
        <v>100</v>
      </c>
      <c r="M80" s="1226">
        <v>0</v>
      </c>
      <c r="N80" s="1226">
        <v>100</v>
      </c>
      <c r="O80" s="32">
        <v>3</v>
      </c>
      <c r="P80" s="1224">
        <v>30</v>
      </c>
      <c r="Q80" s="1224">
        <v>20</v>
      </c>
      <c r="R80" s="1224">
        <v>0</v>
      </c>
      <c r="S80" s="1224">
        <v>15</v>
      </c>
      <c r="T80" s="1224">
        <v>15</v>
      </c>
      <c r="U80" s="1224">
        <v>80</v>
      </c>
      <c r="V80" s="1224">
        <v>40</v>
      </c>
      <c r="W80" s="1224">
        <v>0</v>
      </c>
      <c r="X80" s="1225">
        <v>12</v>
      </c>
      <c r="Y80" s="1225">
        <v>0</v>
      </c>
      <c r="Z80" s="1225">
        <v>0</v>
      </c>
      <c r="AA80" s="1225">
        <v>0</v>
      </c>
      <c r="AB80" s="1225">
        <v>0</v>
      </c>
      <c r="AC80" s="1226">
        <v>30</v>
      </c>
      <c r="AD80" s="1226">
        <v>0</v>
      </c>
      <c r="AE80" s="1226">
        <v>0</v>
      </c>
      <c r="AF80" s="1226">
        <v>0</v>
      </c>
      <c r="AG80" s="1226">
        <v>0</v>
      </c>
      <c r="AH80" s="32">
        <v>5</v>
      </c>
      <c r="AI80" s="1224">
        <v>30</v>
      </c>
      <c r="AJ80" s="1224">
        <v>15</v>
      </c>
      <c r="AK80" s="1224">
        <v>0</v>
      </c>
      <c r="AL80" s="1224">
        <v>0</v>
      </c>
      <c r="AM80" s="1224">
        <v>15</v>
      </c>
      <c r="AN80" s="1224">
        <v>30</v>
      </c>
      <c r="AO80" s="1224">
        <v>0</v>
      </c>
      <c r="AP80" s="1224">
        <v>10</v>
      </c>
      <c r="AQ80" s="1224">
        <v>0</v>
      </c>
      <c r="AR80" s="1224">
        <v>0</v>
      </c>
      <c r="AS80" s="1224">
        <v>0</v>
      </c>
      <c r="AT80" s="1224">
        <v>0</v>
      </c>
      <c r="AU80" s="1224">
        <v>50</v>
      </c>
      <c r="AV80" s="1225">
        <v>12</v>
      </c>
      <c r="AW80" s="1225">
        <v>0</v>
      </c>
      <c r="AX80" s="1225">
        <v>0</v>
      </c>
      <c r="AY80" s="1225">
        <v>0</v>
      </c>
      <c r="AZ80" s="1225">
        <v>0</v>
      </c>
      <c r="BA80" s="1248">
        <v>0</v>
      </c>
      <c r="BB80" s="1225">
        <v>12</v>
      </c>
      <c r="BC80" s="1226">
        <v>30</v>
      </c>
      <c r="BD80" s="1226">
        <v>0</v>
      </c>
      <c r="BE80" s="1226">
        <v>0</v>
      </c>
      <c r="BF80" s="1249">
        <v>0</v>
      </c>
      <c r="BG80" s="1238">
        <v>0</v>
      </c>
      <c r="BH80" s="1229">
        <v>30</v>
      </c>
      <c r="BI80" s="1224">
        <v>0</v>
      </c>
      <c r="BJ80" s="1224">
        <v>0</v>
      </c>
      <c r="BL80" s="1230">
        <v>0</v>
      </c>
      <c r="BM80" s="1230">
        <v>0</v>
      </c>
      <c r="BO80" s="1229">
        <v>0</v>
      </c>
      <c r="BP80" s="1229">
        <v>0</v>
      </c>
      <c r="BR80" s="1243" t="s">
        <v>570</v>
      </c>
      <c r="BV80" s="60"/>
    </row>
    <row r="81" spans="1:82" s="88" customFormat="1" x14ac:dyDescent="0.25">
      <c r="A81" s="1246">
        <f t="shared" si="1"/>
        <v>78</v>
      </c>
      <c r="B81" s="930" t="str">
        <f>Coltura!C79</f>
        <v>E45</v>
      </c>
      <c r="C81" s="930" t="str">
        <f>Coltura!D79</f>
        <v>Segale pianta intera</v>
      </c>
      <c r="D81" s="41" t="s">
        <v>645</v>
      </c>
      <c r="E81" s="88">
        <v>4</v>
      </c>
      <c r="F81" s="1235">
        <v>100</v>
      </c>
      <c r="G81" s="1236">
        <v>50</v>
      </c>
      <c r="H81" s="1236">
        <v>100</v>
      </c>
      <c r="I81" s="1236">
        <v>0</v>
      </c>
      <c r="J81" s="1236">
        <v>100</v>
      </c>
      <c r="K81" s="1237">
        <v>100</v>
      </c>
      <c r="L81" s="1237">
        <v>150</v>
      </c>
      <c r="M81" s="1237">
        <v>0</v>
      </c>
      <c r="N81" s="1237">
        <v>150</v>
      </c>
      <c r="O81" s="88">
        <v>3</v>
      </c>
      <c r="P81" s="1235">
        <v>30</v>
      </c>
      <c r="Q81" s="1235">
        <v>20</v>
      </c>
      <c r="R81" s="1235">
        <v>0</v>
      </c>
      <c r="S81" s="1235">
        <v>15</v>
      </c>
      <c r="T81" s="1235">
        <v>15</v>
      </c>
      <c r="U81" s="1235">
        <v>80</v>
      </c>
      <c r="V81" s="1235">
        <v>40</v>
      </c>
      <c r="W81" s="1235">
        <v>0</v>
      </c>
      <c r="X81" s="1236">
        <v>12</v>
      </c>
      <c r="Y81" s="1236">
        <v>0</v>
      </c>
      <c r="Z81" s="1236">
        <v>0</v>
      </c>
      <c r="AA81" s="1236">
        <v>0</v>
      </c>
      <c r="AB81" s="1236">
        <v>0</v>
      </c>
      <c r="AC81" s="1237">
        <v>30</v>
      </c>
      <c r="AD81" s="1237">
        <v>0</v>
      </c>
      <c r="AE81" s="1237">
        <v>0</v>
      </c>
      <c r="AF81" s="1237">
        <v>0</v>
      </c>
      <c r="AG81" s="1237">
        <v>0</v>
      </c>
      <c r="AH81" s="88">
        <v>5</v>
      </c>
      <c r="AI81" s="1235">
        <v>30</v>
      </c>
      <c r="AJ81" s="1235">
        <v>15</v>
      </c>
      <c r="AK81" s="1235">
        <v>0</v>
      </c>
      <c r="AL81" s="1235">
        <v>0</v>
      </c>
      <c r="AM81" s="1235">
        <v>15</v>
      </c>
      <c r="AN81" s="1235">
        <v>30</v>
      </c>
      <c r="AO81" s="1235">
        <v>0</v>
      </c>
      <c r="AP81" s="1235">
        <v>10</v>
      </c>
      <c r="AQ81" s="1235">
        <v>0</v>
      </c>
      <c r="AR81" s="1235">
        <v>0</v>
      </c>
      <c r="AS81" s="1235">
        <v>0</v>
      </c>
      <c r="AT81" s="1235">
        <v>0</v>
      </c>
      <c r="AU81" s="1235">
        <v>50</v>
      </c>
      <c r="AV81" s="1236">
        <v>12</v>
      </c>
      <c r="AW81" s="1236">
        <v>0</v>
      </c>
      <c r="AX81" s="1236">
        <v>0</v>
      </c>
      <c r="AY81" s="1236">
        <v>0</v>
      </c>
      <c r="AZ81" s="1236">
        <v>0</v>
      </c>
      <c r="BA81" s="1236">
        <v>0</v>
      </c>
      <c r="BB81" s="1236">
        <v>12</v>
      </c>
      <c r="BC81" s="1237">
        <v>30</v>
      </c>
      <c r="BD81" s="1237">
        <v>0</v>
      </c>
      <c r="BE81" s="1237">
        <v>0</v>
      </c>
      <c r="BF81" s="1237">
        <v>0</v>
      </c>
      <c r="BG81" s="1238">
        <v>0</v>
      </c>
      <c r="BH81" s="1239">
        <v>30</v>
      </c>
      <c r="BI81" s="1235">
        <v>0</v>
      </c>
      <c r="BJ81" s="1235">
        <v>0</v>
      </c>
      <c r="BK81" s="1235"/>
      <c r="BL81" s="1240">
        <v>0</v>
      </c>
      <c r="BM81" s="1240">
        <v>0</v>
      </c>
      <c r="BN81" s="1240"/>
      <c r="BO81" s="1239">
        <v>0</v>
      </c>
      <c r="BP81" s="1239">
        <v>0</v>
      </c>
      <c r="BQ81" s="1242"/>
      <c r="BR81" s="1243" t="s">
        <v>570</v>
      </c>
      <c r="BS81" s="1244"/>
      <c r="BV81" s="1245"/>
      <c r="BW81" s="1239"/>
      <c r="BX81" s="1239"/>
      <c r="BY81" s="1239"/>
      <c r="BZ81" s="1239"/>
      <c r="CA81" s="1244"/>
      <c r="CB81" s="1244"/>
      <c r="CC81" s="1244"/>
      <c r="CD81" s="1244"/>
    </row>
    <row r="82" spans="1:82" x14ac:dyDescent="0.25">
      <c r="A82" s="1246">
        <f t="shared" si="1"/>
        <v>79</v>
      </c>
      <c r="B82" s="930" t="str">
        <f>Coltura!C80</f>
        <v>E46</v>
      </c>
      <c r="C82" s="930" t="str">
        <f>Coltura!D80</f>
        <v>Senape indiana</v>
      </c>
      <c r="D82" s="41" t="s">
        <v>645</v>
      </c>
      <c r="E82" s="32" t="s">
        <v>645</v>
      </c>
      <c r="F82" s="1224" t="s">
        <v>645</v>
      </c>
      <c r="AH82" s="32" t="s">
        <v>645</v>
      </c>
      <c r="BA82" s="1248"/>
      <c r="BB82" s="1225">
        <v>0</v>
      </c>
      <c r="BF82" s="1249"/>
      <c r="BG82" s="1228"/>
      <c r="BH82" s="1229">
        <v>0</v>
      </c>
      <c r="BI82" s="1224">
        <v>0</v>
      </c>
      <c r="BJ82" s="1224">
        <v>0</v>
      </c>
      <c r="BL82" s="1230">
        <v>0</v>
      </c>
      <c r="BM82" s="1230">
        <v>0</v>
      </c>
      <c r="BO82" s="1229">
        <v>0</v>
      </c>
      <c r="BP82" s="1229">
        <v>0</v>
      </c>
      <c r="BR82" s="1243" t="s">
        <v>570</v>
      </c>
      <c r="BV82" s="60"/>
    </row>
    <row r="83" spans="1:82" x14ac:dyDescent="0.25">
      <c r="A83" s="1246">
        <f t="shared" si="1"/>
        <v>80</v>
      </c>
      <c r="B83" s="930" t="str">
        <f>Coltura!C81</f>
        <v>E47</v>
      </c>
      <c r="C83" s="930" t="str">
        <f>Coltura!D81</f>
        <v>Soia (granella)</v>
      </c>
      <c r="D83" s="41" t="s">
        <v>645</v>
      </c>
      <c r="E83" s="32">
        <v>3.5</v>
      </c>
      <c r="F83" s="1224">
        <v>0</v>
      </c>
      <c r="G83" s="1225">
        <v>50</v>
      </c>
      <c r="H83" s="1225">
        <v>100</v>
      </c>
      <c r="I83" s="1225">
        <v>0</v>
      </c>
      <c r="J83" s="1225">
        <v>100</v>
      </c>
      <c r="K83" s="1226">
        <v>80</v>
      </c>
      <c r="L83" s="1226">
        <v>120</v>
      </c>
      <c r="M83" s="1226">
        <v>0</v>
      </c>
      <c r="N83" s="1226">
        <v>120</v>
      </c>
      <c r="O83" s="32">
        <v>2.8</v>
      </c>
      <c r="P83" s="1224">
        <v>0</v>
      </c>
      <c r="Q83" s="1224">
        <v>0</v>
      </c>
      <c r="R83" s="1224">
        <v>0</v>
      </c>
      <c r="S83" s="1224">
        <v>0</v>
      </c>
      <c r="T83" s="1224">
        <v>0</v>
      </c>
      <c r="U83" s="1224">
        <v>0</v>
      </c>
      <c r="V83" s="1224">
        <v>0</v>
      </c>
      <c r="W83" s="1224">
        <v>0</v>
      </c>
      <c r="X83" s="1225">
        <v>10</v>
      </c>
      <c r="Y83" s="1225">
        <v>0</v>
      </c>
      <c r="Z83" s="1225">
        <v>0</v>
      </c>
      <c r="AA83" s="1225">
        <v>0</v>
      </c>
      <c r="AB83" s="1225">
        <v>0</v>
      </c>
      <c r="AC83" s="1226">
        <v>20</v>
      </c>
      <c r="AD83" s="1226">
        <v>0</v>
      </c>
      <c r="AE83" s="1226">
        <v>0</v>
      </c>
      <c r="AF83" s="1226">
        <v>0</v>
      </c>
      <c r="AG83" s="1226">
        <v>0</v>
      </c>
      <c r="AH83" s="32">
        <v>4.2</v>
      </c>
      <c r="AI83" s="1224">
        <v>0</v>
      </c>
      <c r="AJ83" s="1224">
        <v>0</v>
      </c>
      <c r="AK83" s="1224">
        <v>0</v>
      </c>
      <c r="AL83" s="1224">
        <v>0</v>
      </c>
      <c r="AM83" s="1224">
        <v>0</v>
      </c>
      <c r="AN83" s="1224">
        <v>0</v>
      </c>
      <c r="AO83" s="1224">
        <v>120</v>
      </c>
      <c r="AP83" s="1224">
        <v>0</v>
      </c>
      <c r="AQ83" s="1224">
        <v>0</v>
      </c>
      <c r="AR83" s="1224">
        <v>0</v>
      </c>
      <c r="AS83" s="1224">
        <v>0</v>
      </c>
      <c r="AT83" s="1224">
        <v>0</v>
      </c>
      <c r="AU83" s="1224">
        <v>120</v>
      </c>
      <c r="AV83" s="1225">
        <v>10</v>
      </c>
      <c r="AW83" s="1225">
        <v>0</v>
      </c>
      <c r="AX83" s="1225">
        <v>0</v>
      </c>
      <c r="AY83" s="1225">
        <v>0</v>
      </c>
      <c r="AZ83" s="1225">
        <v>0</v>
      </c>
      <c r="BA83" s="1248">
        <v>0</v>
      </c>
      <c r="BB83" s="1225">
        <v>10</v>
      </c>
      <c r="BC83" s="1226">
        <v>20</v>
      </c>
      <c r="BD83" s="1226">
        <v>0</v>
      </c>
      <c r="BE83" s="1226">
        <v>0</v>
      </c>
      <c r="BF83" s="1249">
        <v>0</v>
      </c>
      <c r="BG83" s="1238">
        <v>0</v>
      </c>
      <c r="BH83" s="1229">
        <v>20</v>
      </c>
      <c r="BI83" s="1224">
        <v>0</v>
      </c>
      <c r="BJ83" s="1224">
        <v>0</v>
      </c>
      <c r="BL83" s="1230">
        <v>0</v>
      </c>
      <c r="BM83" s="1230">
        <v>0</v>
      </c>
      <c r="BO83" s="1229">
        <v>0</v>
      </c>
      <c r="BP83" s="1229">
        <v>0</v>
      </c>
      <c r="BR83" s="1243" t="s">
        <v>570</v>
      </c>
      <c r="BV83" s="60"/>
    </row>
    <row r="84" spans="1:82" s="88" customFormat="1" x14ac:dyDescent="0.25">
      <c r="A84" s="1246">
        <f t="shared" si="1"/>
        <v>81</v>
      </c>
      <c r="B84" s="930" t="str">
        <f>Coltura!C82</f>
        <v>E48</v>
      </c>
      <c r="C84" s="930" t="str">
        <f>Coltura!D82</f>
        <v>Soia (pianta intera)</v>
      </c>
      <c r="D84" s="41" t="s">
        <v>645</v>
      </c>
      <c r="E84" s="88">
        <v>3.5</v>
      </c>
      <c r="F84" s="1235">
        <v>0</v>
      </c>
      <c r="G84" s="1236">
        <v>50</v>
      </c>
      <c r="H84" s="1236">
        <v>100</v>
      </c>
      <c r="I84" s="1236">
        <v>0</v>
      </c>
      <c r="J84" s="1236">
        <v>100</v>
      </c>
      <c r="K84" s="1237">
        <v>80</v>
      </c>
      <c r="L84" s="1237">
        <v>120</v>
      </c>
      <c r="M84" s="1237">
        <v>0</v>
      </c>
      <c r="N84" s="1237">
        <v>120</v>
      </c>
      <c r="O84" s="88">
        <v>2.8</v>
      </c>
      <c r="P84" s="1235">
        <v>0</v>
      </c>
      <c r="Q84" s="1235">
        <v>0</v>
      </c>
      <c r="R84" s="1235">
        <v>0</v>
      </c>
      <c r="S84" s="1235">
        <v>0</v>
      </c>
      <c r="T84" s="1235">
        <v>0</v>
      </c>
      <c r="U84" s="1235">
        <v>0</v>
      </c>
      <c r="V84" s="1235">
        <v>0</v>
      </c>
      <c r="W84" s="1235">
        <v>0</v>
      </c>
      <c r="X84" s="1236">
        <v>10</v>
      </c>
      <c r="Y84" s="1236">
        <v>0</v>
      </c>
      <c r="Z84" s="1236">
        <v>0</v>
      </c>
      <c r="AA84" s="1236">
        <v>0</v>
      </c>
      <c r="AB84" s="1236">
        <v>0</v>
      </c>
      <c r="AC84" s="1237">
        <v>20</v>
      </c>
      <c r="AD84" s="1237">
        <v>0</v>
      </c>
      <c r="AE84" s="1237">
        <v>0</v>
      </c>
      <c r="AF84" s="1237">
        <v>0</v>
      </c>
      <c r="AG84" s="1237">
        <v>0</v>
      </c>
      <c r="AH84" s="88">
        <v>4.2</v>
      </c>
      <c r="AI84" s="1235">
        <v>0</v>
      </c>
      <c r="AJ84" s="1235">
        <v>0</v>
      </c>
      <c r="AK84" s="1235">
        <v>0</v>
      </c>
      <c r="AL84" s="1235">
        <v>0</v>
      </c>
      <c r="AM84" s="1235">
        <v>0</v>
      </c>
      <c r="AN84" s="1235">
        <v>0</v>
      </c>
      <c r="AO84" s="1235">
        <v>120</v>
      </c>
      <c r="AP84" s="1235">
        <v>0</v>
      </c>
      <c r="AQ84" s="1235">
        <v>0</v>
      </c>
      <c r="AR84" s="1235">
        <v>0</v>
      </c>
      <c r="AS84" s="1235">
        <v>0</v>
      </c>
      <c r="AT84" s="1235">
        <v>0</v>
      </c>
      <c r="AU84" s="1235">
        <v>120</v>
      </c>
      <c r="AV84" s="1236">
        <v>10</v>
      </c>
      <c r="AW84" s="1236">
        <v>0</v>
      </c>
      <c r="AX84" s="1236">
        <v>0</v>
      </c>
      <c r="AY84" s="1236">
        <v>0</v>
      </c>
      <c r="AZ84" s="1236">
        <v>0</v>
      </c>
      <c r="BA84" s="1236">
        <v>0</v>
      </c>
      <c r="BB84" s="1236">
        <v>10</v>
      </c>
      <c r="BC84" s="1237">
        <v>20</v>
      </c>
      <c r="BD84" s="1237">
        <v>0</v>
      </c>
      <c r="BE84" s="1237">
        <v>0</v>
      </c>
      <c r="BF84" s="1237">
        <v>0</v>
      </c>
      <c r="BG84" s="1238">
        <v>0</v>
      </c>
      <c r="BH84" s="1239">
        <v>20</v>
      </c>
      <c r="BI84" s="1235">
        <v>0</v>
      </c>
      <c r="BJ84" s="1235">
        <v>0</v>
      </c>
      <c r="BK84" s="1235"/>
      <c r="BL84" s="1240">
        <v>0</v>
      </c>
      <c r="BM84" s="1240">
        <v>0</v>
      </c>
      <c r="BN84" s="1240"/>
      <c r="BO84" s="1239">
        <v>0</v>
      </c>
      <c r="BP84" s="1239">
        <v>0</v>
      </c>
      <c r="BQ84" s="1242"/>
      <c r="BR84" s="1243" t="s">
        <v>570</v>
      </c>
      <c r="BS84" s="1244"/>
      <c r="BV84" s="1245"/>
      <c r="BW84" s="1239"/>
      <c r="BX84" s="1239"/>
      <c r="BY84" s="1239"/>
      <c r="BZ84" s="1239"/>
      <c r="CA84" s="1244"/>
      <c r="CB84" s="1244"/>
      <c r="CC84" s="1244"/>
      <c r="CD84" s="1244"/>
    </row>
    <row r="85" spans="1:82" x14ac:dyDescent="0.25">
      <c r="A85" s="1246">
        <f t="shared" si="1"/>
        <v>82</v>
      </c>
      <c r="B85" s="930" t="str">
        <f>Coltura!C83</f>
        <v>E49</v>
      </c>
      <c r="C85" s="930" t="str">
        <f>Coltura!D83</f>
        <v>Sorgo da foraggio</v>
      </c>
      <c r="D85" s="41" t="s">
        <v>645</v>
      </c>
      <c r="E85" s="88" t="s">
        <v>645</v>
      </c>
      <c r="F85" s="1235" t="s">
        <v>645</v>
      </c>
      <c r="G85" s="1236"/>
      <c r="H85" s="1236"/>
      <c r="I85" s="1236"/>
      <c r="J85" s="1236"/>
      <c r="K85" s="1237"/>
      <c r="L85" s="1237"/>
      <c r="M85" s="1237"/>
      <c r="N85" s="1237"/>
      <c r="O85" s="88"/>
      <c r="P85" s="1235"/>
      <c r="Q85" s="1235">
        <v>20</v>
      </c>
      <c r="R85" s="1235"/>
      <c r="S85" s="1235"/>
      <c r="T85" s="1235"/>
      <c r="U85" s="1235"/>
      <c r="V85" s="1235"/>
      <c r="W85" s="1235"/>
      <c r="X85" s="1236"/>
      <c r="Y85" s="1236"/>
      <c r="Z85" s="1236"/>
      <c r="AA85" s="1236"/>
      <c r="AB85" s="1236"/>
      <c r="AC85" s="1237"/>
      <c r="AD85" s="1237"/>
      <c r="AE85" s="1237"/>
      <c r="AF85" s="1237"/>
      <c r="AG85" s="1237"/>
      <c r="AH85" s="88" t="s">
        <v>645</v>
      </c>
      <c r="AI85" s="1235"/>
      <c r="AJ85" s="1235"/>
      <c r="AK85" s="1235"/>
      <c r="AL85" s="1235"/>
      <c r="AM85" s="1235"/>
      <c r="AN85" s="1235"/>
      <c r="AO85" s="1235"/>
      <c r="AP85" s="1235"/>
      <c r="AQ85" s="1235"/>
      <c r="AR85" s="1235"/>
      <c r="AS85" s="1235"/>
      <c r="AT85" s="1235"/>
      <c r="AU85" s="1235"/>
      <c r="AV85" s="1236"/>
      <c r="AW85" s="1236"/>
      <c r="AX85" s="1236"/>
      <c r="AY85" s="1236"/>
      <c r="AZ85" s="1236"/>
      <c r="BA85" s="1236"/>
      <c r="BB85" s="1236">
        <v>0</v>
      </c>
      <c r="BC85" s="1237"/>
      <c r="BD85" s="1237"/>
      <c r="BE85" s="1237"/>
      <c r="BF85" s="1237"/>
      <c r="BG85" s="1228"/>
      <c r="BH85" s="1229">
        <v>0</v>
      </c>
      <c r="BI85" s="1224">
        <v>0</v>
      </c>
      <c r="BJ85" s="1224">
        <v>0</v>
      </c>
      <c r="BL85" s="1230">
        <v>0</v>
      </c>
      <c r="BM85" s="1230">
        <v>0</v>
      </c>
      <c r="BO85" s="1229">
        <v>0</v>
      </c>
      <c r="BP85" s="1229">
        <v>0</v>
      </c>
      <c r="BR85" s="1243" t="s">
        <v>570</v>
      </c>
      <c r="BV85" s="60"/>
    </row>
    <row r="86" spans="1:82" x14ac:dyDescent="0.25">
      <c r="A86" s="1246">
        <f t="shared" si="1"/>
        <v>83</v>
      </c>
      <c r="B86" s="930" t="str">
        <f>Coltura!C84</f>
        <v>E50</v>
      </c>
      <c r="C86" s="930" t="str">
        <f>Coltura!D84</f>
        <v>Sorgo da granella  (solo granella)</v>
      </c>
      <c r="D86" s="41" t="s">
        <v>645</v>
      </c>
      <c r="E86" s="32">
        <v>7.5</v>
      </c>
      <c r="F86" s="1224">
        <v>160</v>
      </c>
      <c r="G86" s="1225">
        <v>50</v>
      </c>
      <c r="H86" s="1225">
        <v>80</v>
      </c>
      <c r="I86" s="1225">
        <v>0</v>
      </c>
      <c r="J86" s="1225">
        <v>80</v>
      </c>
      <c r="K86" s="1226">
        <v>50</v>
      </c>
      <c r="L86" s="1226">
        <v>100</v>
      </c>
      <c r="M86" s="1226">
        <v>0</v>
      </c>
      <c r="N86" s="1226">
        <v>100</v>
      </c>
      <c r="O86" s="32">
        <v>6</v>
      </c>
      <c r="P86" s="1224">
        <v>25</v>
      </c>
      <c r="Q86" s="1224">
        <v>20</v>
      </c>
      <c r="R86" s="1224">
        <v>0</v>
      </c>
      <c r="S86" s="1224">
        <v>15</v>
      </c>
      <c r="T86" s="1224">
        <v>0</v>
      </c>
      <c r="U86" s="1224">
        <v>80</v>
      </c>
      <c r="V86" s="1224">
        <v>40</v>
      </c>
      <c r="W86" s="1224">
        <v>0</v>
      </c>
      <c r="X86" s="1225">
        <v>15</v>
      </c>
      <c r="Y86" s="1225">
        <v>0</v>
      </c>
      <c r="Z86" s="1225">
        <v>0</v>
      </c>
      <c r="AA86" s="1225">
        <v>0</v>
      </c>
      <c r="AB86" s="1225">
        <v>0</v>
      </c>
      <c r="AC86" s="1226">
        <v>10</v>
      </c>
      <c r="AD86" s="1226">
        <v>0</v>
      </c>
      <c r="AE86" s="1226">
        <v>0</v>
      </c>
      <c r="AF86" s="1226">
        <v>0</v>
      </c>
      <c r="AG86" s="1226">
        <v>0</v>
      </c>
      <c r="AH86" s="32">
        <v>9</v>
      </c>
      <c r="AI86" s="1224">
        <v>25</v>
      </c>
      <c r="AJ86" s="1224">
        <v>15</v>
      </c>
      <c r="AK86" s="1224">
        <v>0</v>
      </c>
      <c r="AL86" s="1224">
        <v>0</v>
      </c>
      <c r="AM86" s="1224">
        <v>15</v>
      </c>
      <c r="AN86" s="1224">
        <v>30</v>
      </c>
      <c r="AO86" s="1224">
        <v>0</v>
      </c>
      <c r="AP86" s="1224">
        <v>10</v>
      </c>
      <c r="AQ86" s="1224">
        <v>0</v>
      </c>
      <c r="AR86" s="1224">
        <v>0</v>
      </c>
      <c r="AS86" s="1224">
        <v>0</v>
      </c>
      <c r="AT86" s="1224">
        <v>0</v>
      </c>
      <c r="AU86" s="1224">
        <v>30</v>
      </c>
      <c r="AV86" s="1225">
        <v>15</v>
      </c>
      <c r="AW86" s="1225">
        <v>0</v>
      </c>
      <c r="AX86" s="1225">
        <v>0</v>
      </c>
      <c r="AY86" s="1225">
        <v>0</v>
      </c>
      <c r="AZ86" s="1225">
        <v>0</v>
      </c>
      <c r="BA86" s="1248">
        <v>0</v>
      </c>
      <c r="BB86" s="1225">
        <v>15</v>
      </c>
      <c r="BC86" s="1226">
        <v>10</v>
      </c>
      <c r="BD86" s="1226">
        <v>0</v>
      </c>
      <c r="BE86" s="1226">
        <v>0</v>
      </c>
      <c r="BF86" s="1249">
        <v>0</v>
      </c>
      <c r="BG86" s="1238">
        <v>0</v>
      </c>
      <c r="BH86" s="1229">
        <v>10</v>
      </c>
      <c r="BI86" s="1224">
        <v>0</v>
      </c>
      <c r="BJ86" s="1224">
        <v>0</v>
      </c>
      <c r="BL86" s="1230">
        <v>0</v>
      </c>
      <c r="BM86" s="1230">
        <v>0</v>
      </c>
      <c r="BO86" s="1229">
        <v>0</v>
      </c>
      <c r="BP86" s="1229">
        <v>0</v>
      </c>
      <c r="BR86" s="1243" t="s">
        <v>570</v>
      </c>
      <c r="BV86" s="60"/>
    </row>
    <row r="87" spans="1:82" x14ac:dyDescent="0.25">
      <c r="A87" s="1246">
        <f t="shared" si="1"/>
        <v>84</v>
      </c>
      <c r="B87" s="930" t="str">
        <f>Coltura!C85</f>
        <v>E51</v>
      </c>
      <c r="C87" s="930" t="str">
        <f>Coltura!D85</f>
        <v>Sorgo da granella (pianta intera)</v>
      </c>
      <c r="D87" s="41" t="s">
        <v>645</v>
      </c>
      <c r="E87" s="32">
        <v>7.5</v>
      </c>
      <c r="F87" s="1224">
        <v>160</v>
      </c>
      <c r="G87" s="1225">
        <v>50</v>
      </c>
      <c r="H87" s="1225">
        <v>80</v>
      </c>
      <c r="I87" s="1225">
        <v>0</v>
      </c>
      <c r="J87" s="1225">
        <v>80</v>
      </c>
      <c r="K87" s="1226">
        <v>50</v>
      </c>
      <c r="L87" s="1226">
        <v>100</v>
      </c>
      <c r="M87" s="1226">
        <v>0</v>
      </c>
      <c r="N87" s="1226">
        <v>100</v>
      </c>
      <c r="O87" s="32">
        <v>6</v>
      </c>
      <c r="P87" s="1224">
        <v>25</v>
      </c>
      <c r="Q87" s="1224">
        <v>20</v>
      </c>
      <c r="R87" s="1224">
        <v>0</v>
      </c>
      <c r="S87" s="1224">
        <v>15</v>
      </c>
      <c r="T87" s="1224">
        <v>0</v>
      </c>
      <c r="U87" s="1224">
        <v>80</v>
      </c>
      <c r="V87" s="1224">
        <v>40</v>
      </c>
      <c r="W87" s="1224">
        <v>0</v>
      </c>
      <c r="X87" s="1225">
        <v>15</v>
      </c>
      <c r="Y87" s="1225">
        <v>0</v>
      </c>
      <c r="Z87" s="1225">
        <v>0</v>
      </c>
      <c r="AA87" s="1225">
        <v>0</v>
      </c>
      <c r="AB87" s="1225">
        <v>0</v>
      </c>
      <c r="AC87" s="1226">
        <v>10</v>
      </c>
      <c r="AD87" s="1226">
        <v>0</v>
      </c>
      <c r="AE87" s="1226">
        <v>0</v>
      </c>
      <c r="AF87" s="1226">
        <v>0</v>
      </c>
      <c r="AG87" s="1226">
        <v>0</v>
      </c>
      <c r="AH87" s="32">
        <v>9</v>
      </c>
      <c r="AI87" s="1224">
        <v>25</v>
      </c>
      <c r="AJ87" s="1224">
        <v>15</v>
      </c>
      <c r="AK87" s="1224">
        <v>0</v>
      </c>
      <c r="AL87" s="1224">
        <v>0</v>
      </c>
      <c r="AM87" s="1224">
        <v>15</v>
      </c>
      <c r="AN87" s="1224">
        <v>30</v>
      </c>
      <c r="AO87" s="1224">
        <v>0</v>
      </c>
      <c r="AP87" s="1224">
        <v>10</v>
      </c>
      <c r="AQ87" s="1224">
        <v>0</v>
      </c>
      <c r="AR87" s="1224">
        <v>0</v>
      </c>
      <c r="AS87" s="1224">
        <v>0</v>
      </c>
      <c r="AT87" s="1224">
        <v>0</v>
      </c>
      <c r="AU87" s="1224">
        <v>30</v>
      </c>
      <c r="AV87" s="1225">
        <v>15</v>
      </c>
      <c r="AW87" s="1225">
        <v>0</v>
      </c>
      <c r="AX87" s="1225">
        <v>0</v>
      </c>
      <c r="AY87" s="1225">
        <v>0</v>
      </c>
      <c r="AZ87" s="1225">
        <v>0</v>
      </c>
      <c r="BA87" s="1248">
        <v>0</v>
      </c>
      <c r="BB87" s="1225">
        <v>15</v>
      </c>
      <c r="BC87" s="1226">
        <v>10</v>
      </c>
      <c r="BD87" s="1226">
        <v>0</v>
      </c>
      <c r="BE87" s="1226">
        <v>0</v>
      </c>
      <c r="BF87" s="1249">
        <v>0</v>
      </c>
      <c r="BG87" s="1238">
        <v>0</v>
      </c>
      <c r="BH87" s="1229">
        <v>10</v>
      </c>
      <c r="BI87" s="1224">
        <v>0</v>
      </c>
      <c r="BJ87" s="1224">
        <v>0</v>
      </c>
      <c r="BL87" s="1230">
        <v>0</v>
      </c>
      <c r="BM87" s="1230">
        <v>0</v>
      </c>
      <c r="BO87" s="1229">
        <v>0</v>
      </c>
      <c r="BP87" s="1229">
        <v>0</v>
      </c>
      <c r="BR87" s="1243" t="s">
        <v>570</v>
      </c>
      <c r="BV87" s="60"/>
    </row>
    <row r="88" spans="1:82" x14ac:dyDescent="0.25">
      <c r="A88" s="1246">
        <f t="shared" si="1"/>
        <v>85</v>
      </c>
      <c r="B88" s="930" t="str">
        <f>Coltura!C86</f>
        <v>E52</v>
      </c>
      <c r="C88" s="930" t="str">
        <f>Coltura!D86</f>
        <v>Tabacco Bright</v>
      </c>
      <c r="D88" s="41" t="s">
        <v>645</v>
      </c>
      <c r="E88" s="32" t="s">
        <v>645</v>
      </c>
      <c r="F88" s="1224" t="s">
        <v>645</v>
      </c>
      <c r="AH88" s="32" t="s">
        <v>645</v>
      </c>
      <c r="BA88" s="1248"/>
      <c r="BB88" s="1225">
        <v>0</v>
      </c>
      <c r="BF88" s="1249"/>
      <c r="BG88" s="1228"/>
      <c r="BH88" s="1229">
        <v>0</v>
      </c>
      <c r="BI88" s="1224">
        <v>0</v>
      </c>
      <c r="BJ88" s="1224">
        <v>0</v>
      </c>
      <c r="BL88" s="1230">
        <v>0</v>
      </c>
      <c r="BM88" s="1230">
        <v>0</v>
      </c>
      <c r="BO88" s="1229">
        <v>0</v>
      </c>
      <c r="BP88" s="1229">
        <v>0</v>
      </c>
      <c r="BR88" s="1243" t="s">
        <v>570</v>
      </c>
      <c r="BV88" s="60"/>
    </row>
    <row r="89" spans="1:82" x14ac:dyDescent="0.25">
      <c r="A89" s="1246">
        <f t="shared" si="1"/>
        <v>86</v>
      </c>
      <c r="B89" s="930" t="str">
        <f>Coltura!C87</f>
        <v>E53</v>
      </c>
      <c r="C89" s="930" t="str">
        <f>Coltura!D87</f>
        <v>Tabacco Bright pianta intera</v>
      </c>
      <c r="D89" s="41" t="s">
        <v>645</v>
      </c>
      <c r="E89" s="32" t="s">
        <v>645</v>
      </c>
      <c r="F89" s="1224" t="s">
        <v>645</v>
      </c>
      <c r="AH89" s="32" t="s">
        <v>645</v>
      </c>
      <c r="BA89" s="1248"/>
      <c r="BB89" s="1225">
        <v>0</v>
      </c>
      <c r="BF89" s="1249"/>
      <c r="BG89" s="1228"/>
      <c r="BH89" s="1229">
        <v>0</v>
      </c>
      <c r="BI89" s="1224">
        <v>0</v>
      </c>
      <c r="BJ89" s="1224">
        <v>0</v>
      </c>
      <c r="BL89" s="1230">
        <v>0</v>
      </c>
      <c r="BM89" s="1230">
        <v>0</v>
      </c>
      <c r="BO89" s="1229">
        <v>0</v>
      </c>
      <c r="BP89" s="1229">
        <v>0</v>
      </c>
      <c r="BR89" s="1243" t="s">
        <v>570</v>
      </c>
      <c r="BV89" s="60"/>
    </row>
    <row r="90" spans="1:82" x14ac:dyDescent="0.25">
      <c r="A90" s="1246">
        <f t="shared" si="1"/>
        <v>87</v>
      </c>
      <c r="B90" s="930" t="str">
        <f>Coltura!C88</f>
        <v>E54</v>
      </c>
      <c r="C90" s="930" t="str">
        <f>Coltura!D88</f>
        <v>Tabacco Burley</v>
      </c>
      <c r="D90" s="41" t="s">
        <v>645</v>
      </c>
      <c r="E90" s="32" t="s">
        <v>645</v>
      </c>
      <c r="F90" s="1224" t="s">
        <v>645</v>
      </c>
      <c r="AH90" s="32" t="s">
        <v>645</v>
      </c>
      <c r="BA90" s="1248"/>
      <c r="BB90" s="1225">
        <v>0</v>
      </c>
      <c r="BF90" s="1249"/>
      <c r="BG90" s="1228"/>
      <c r="BH90" s="1229">
        <v>0</v>
      </c>
      <c r="BI90" s="1224">
        <v>0</v>
      </c>
      <c r="BJ90" s="1224">
        <v>0</v>
      </c>
      <c r="BL90" s="1230">
        <v>0</v>
      </c>
      <c r="BM90" s="1230">
        <v>0</v>
      </c>
      <c r="BO90" s="1229">
        <v>0</v>
      </c>
      <c r="BP90" s="1229">
        <v>0</v>
      </c>
      <c r="BR90" s="1243" t="s">
        <v>570</v>
      </c>
      <c r="BV90" s="60"/>
    </row>
    <row r="91" spans="1:82" x14ac:dyDescent="0.25">
      <c r="A91" s="1246">
        <f t="shared" si="1"/>
        <v>88</v>
      </c>
      <c r="B91" s="930" t="str">
        <f>Coltura!C89</f>
        <v>E55</v>
      </c>
      <c r="C91" s="930" t="str">
        <f>Coltura!D89</f>
        <v>Tabacco Burley pianta intera</v>
      </c>
      <c r="D91" s="41" t="s">
        <v>645</v>
      </c>
      <c r="E91" s="32" t="s">
        <v>645</v>
      </c>
      <c r="F91" s="1224" t="s">
        <v>645</v>
      </c>
      <c r="AH91" s="32" t="s">
        <v>645</v>
      </c>
      <c r="BA91" s="1248"/>
      <c r="BB91" s="1225">
        <v>0</v>
      </c>
      <c r="BF91" s="1249"/>
      <c r="BG91" s="1228"/>
      <c r="BH91" s="1229">
        <v>0</v>
      </c>
      <c r="BI91" s="1224">
        <v>0</v>
      </c>
      <c r="BJ91" s="1224">
        <v>0</v>
      </c>
      <c r="BL91" s="1230">
        <v>0</v>
      </c>
      <c r="BM91" s="1230">
        <v>0</v>
      </c>
      <c r="BO91" s="1229">
        <v>0</v>
      </c>
      <c r="BP91" s="1229">
        <v>0</v>
      </c>
      <c r="BR91" s="1243" t="s">
        <v>570</v>
      </c>
      <c r="BV91" s="60"/>
    </row>
    <row r="92" spans="1:82" x14ac:dyDescent="0.25">
      <c r="A92" s="1246">
        <f t="shared" si="1"/>
        <v>89</v>
      </c>
      <c r="B92" s="930" t="str">
        <f>Coltura!C90</f>
        <v>E56</v>
      </c>
      <c r="C92" s="930" t="str">
        <f>Coltura!D90</f>
        <v>Triticale</v>
      </c>
      <c r="D92" s="41" t="s">
        <v>645</v>
      </c>
      <c r="E92" s="32">
        <v>7.5</v>
      </c>
      <c r="F92" s="1224">
        <v>140</v>
      </c>
      <c r="G92" s="1225">
        <v>50</v>
      </c>
      <c r="H92" s="1225">
        <v>100</v>
      </c>
      <c r="I92" s="1225">
        <v>0</v>
      </c>
      <c r="J92" s="1225">
        <v>100</v>
      </c>
      <c r="K92" s="1226">
        <v>75</v>
      </c>
      <c r="L92" s="1226">
        <v>125</v>
      </c>
      <c r="M92" s="1226">
        <v>0</v>
      </c>
      <c r="N92" s="1226">
        <v>125</v>
      </c>
      <c r="O92" s="32">
        <v>6.5</v>
      </c>
      <c r="P92" s="1224">
        <v>30</v>
      </c>
      <c r="Q92" s="1224">
        <v>20</v>
      </c>
      <c r="R92" s="1224">
        <v>0</v>
      </c>
      <c r="S92" s="1224">
        <v>15</v>
      </c>
      <c r="T92" s="1224">
        <v>15</v>
      </c>
      <c r="U92" s="1224">
        <v>80</v>
      </c>
      <c r="V92" s="1224">
        <v>40</v>
      </c>
      <c r="W92" s="1224">
        <v>0</v>
      </c>
      <c r="X92" s="1225">
        <v>12</v>
      </c>
      <c r="Y92" s="1225">
        <v>0</v>
      </c>
      <c r="Z92" s="1225">
        <v>0</v>
      </c>
      <c r="AA92" s="1225">
        <v>0</v>
      </c>
      <c r="AB92" s="1225">
        <v>0</v>
      </c>
      <c r="AC92" s="1226">
        <v>30</v>
      </c>
      <c r="AD92" s="1226">
        <v>0</v>
      </c>
      <c r="AE92" s="1226">
        <v>0</v>
      </c>
      <c r="AF92" s="1226">
        <v>0</v>
      </c>
      <c r="AG92" s="1226">
        <v>0</v>
      </c>
      <c r="AH92" s="32">
        <v>8.5</v>
      </c>
      <c r="AI92" s="1224">
        <v>30</v>
      </c>
      <c r="AJ92" s="1224">
        <v>15</v>
      </c>
      <c r="AK92" s="1224">
        <v>0</v>
      </c>
      <c r="AL92" s="1224">
        <v>0</v>
      </c>
      <c r="AM92" s="1224">
        <v>15</v>
      </c>
      <c r="AN92" s="1224">
        <v>30</v>
      </c>
      <c r="AO92" s="1224">
        <v>0</v>
      </c>
      <c r="AP92" s="1224">
        <v>10</v>
      </c>
      <c r="AQ92" s="1224">
        <v>0</v>
      </c>
      <c r="AR92" s="1224">
        <v>0</v>
      </c>
      <c r="AS92" s="1224">
        <v>0</v>
      </c>
      <c r="AT92" s="1224">
        <v>0</v>
      </c>
      <c r="AU92" s="1224">
        <v>50</v>
      </c>
      <c r="AV92" s="1225">
        <v>12</v>
      </c>
      <c r="AW92" s="1225">
        <v>0</v>
      </c>
      <c r="AX92" s="1225">
        <v>0</v>
      </c>
      <c r="AY92" s="1225">
        <v>0</v>
      </c>
      <c r="AZ92" s="1225">
        <v>0</v>
      </c>
      <c r="BA92" s="1248">
        <v>0</v>
      </c>
      <c r="BB92" s="1225">
        <v>12</v>
      </c>
      <c r="BC92" s="1226">
        <v>30</v>
      </c>
      <c r="BD92" s="1226">
        <v>0</v>
      </c>
      <c r="BE92" s="1226">
        <v>0</v>
      </c>
      <c r="BF92" s="1249">
        <v>0</v>
      </c>
      <c r="BG92" s="1238">
        <v>0</v>
      </c>
      <c r="BH92" s="1229">
        <v>30</v>
      </c>
      <c r="BI92" s="1224">
        <v>0</v>
      </c>
      <c r="BJ92" s="1224">
        <v>0</v>
      </c>
      <c r="BL92" s="1230">
        <v>0</v>
      </c>
      <c r="BM92" s="1230">
        <v>0</v>
      </c>
      <c r="BO92" s="1229">
        <v>0</v>
      </c>
      <c r="BP92" s="1229">
        <v>0</v>
      </c>
      <c r="BR92" s="1243" t="s">
        <v>570</v>
      </c>
      <c r="BV92" s="60"/>
    </row>
    <row r="93" spans="1:82" x14ac:dyDescent="0.25">
      <c r="A93" s="1246">
        <f t="shared" si="1"/>
        <v>90</v>
      </c>
      <c r="B93" s="930" t="str">
        <f>Coltura!C91</f>
        <v>E57</v>
      </c>
      <c r="C93" s="930" t="str">
        <f>Coltura!D91</f>
        <v>Triticale pianta intera</v>
      </c>
      <c r="D93" s="41" t="s">
        <v>645</v>
      </c>
      <c r="E93" s="32">
        <v>7.5</v>
      </c>
      <c r="F93" s="1224">
        <v>140</v>
      </c>
      <c r="G93" s="1225">
        <v>50</v>
      </c>
      <c r="H93" s="1225">
        <v>100</v>
      </c>
      <c r="I93" s="1225">
        <v>0</v>
      </c>
      <c r="J93" s="1225">
        <v>100</v>
      </c>
      <c r="K93" s="1226">
        <v>125</v>
      </c>
      <c r="L93" s="1226">
        <v>175</v>
      </c>
      <c r="M93" s="1226">
        <v>0</v>
      </c>
      <c r="N93" s="1226">
        <v>175</v>
      </c>
      <c r="O93" s="32">
        <v>6.5</v>
      </c>
      <c r="P93" s="1224">
        <v>30</v>
      </c>
      <c r="Q93" s="1224">
        <v>20</v>
      </c>
      <c r="R93" s="1224">
        <v>0</v>
      </c>
      <c r="S93" s="1224">
        <v>15</v>
      </c>
      <c r="T93" s="1224">
        <v>15</v>
      </c>
      <c r="U93" s="1224">
        <v>80</v>
      </c>
      <c r="V93" s="1224">
        <v>40</v>
      </c>
      <c r="W93" s="1224">
        <v>0</v>
      </c>
      <c r="X93" s="1225">
        <v>12</v>
      </c>
      <c r="Y93" s="1225">
        <v>0</v>
      </c>
      <c r="Z93" s="1225">
        <v>0</v>
      </c>
      <c r="AA93" s="1225">
        <v>0</v>
      </c>
      <c r="AB93" s="1225">
        <v>0</v>
      </c>
      <c r="AC93" s="1226">
        <v>30</v>
      </c>
      <c r="AD93" s="1226">
        <v>0</v>
      </c>
      <c r="AE93" s="1226">
        <v>0</v>
      </c>
      <c r="AF93" s="1226">
        <v>0</v>
      </c>
      <c r="AG93" s="1226">
        <v>0</v>
      </c>
      <c r="AH93" s="32">
        <v>8.5</v>
      </c>
      <c r="AI93" s="1224">
        <v>30</v>
      </c>
      <c r="AJ93" s="1224">
        <v>15</v>
      </c>
      <c r="AK93" s="1224">
        <v>0</v>
      </c>
      <c r="AL93" s="1224">
        <v>0</v>
      </c>
      <c r="AM93" s="1224">
        <v>15</v>
      </c>
      <c r="AN93" s="1224">
        <v>30</v>
      </c>
      <c r="AO93" s="1224">
        <v>0</v>
      </c>
      <c r="AP93" s="1224">
        <v>10</v>
      </c>
      <c r="AQ93" s="1224">
        <v>0</v>
      </c>
      <c r="AR93" s="1224">
        <v>0</v>
      </c>
      <c r="AS93" s="1224">
        <v>0</v>
      </c>
      <c r="AT93" s="1224">
        <v>0</v>
      </c>
      <c r="AU93" s="1224">
        <v>50</v>
      </c>
      <c r="AV93" s="1225">
        <v>12</v>
      </c>
      <c r="AW93" s="1225">
        <v>0</v>
      </c>
      <c r="AX93" s="1225">
        <v>0</v>
      </c>
      <c r="AY93" s="1225">
        <v>0</v>
      </c>
      <c r="AZ93" s="1225">
        <v>0</v>
      </c>
      <c r="BA93" s="1248">
        <v>0</v>
      </c>
      <c r="BB93" s="1225">
        <v>12</v>
      </c>
      <c r="BC93" s="1226">
        <v>30</v>
      </c>
      <c r="BD93" s="1226">
        <v>0</v>
      </c>
      <c r="BE93" s="1226">
        <v>0</v>
      </c>
      <c r="BF93" s="1249">
        <v>0</v>
      </c>
      <c r="BG93" s="1238">
        <v>0</v>
      </c>
      <c r="BH93" s="1229">
        <v>30</v>
      </c>
      <c r="BI93" s="1224">
        <v>0</v>
      </c>
      <c r="BJ93" s="1224">
        <v>0</v>
      </c>
      <c r="BL93" s="1230">
        <v>0</v>
      </c>
      <c r="BM93" s="1230">
        <v>0</v>
      </c>
      <c r="BO93" s="1229">
        <v>0</v>
      </c>
      <c r="BP93" s="1229">
        <v>0</v>
      </c>
      <c r="BR93" s="1243" t="s">
        <v>570</v>
      </c>
      <c r="BV93" s="60"/>
    </row>
    <row r="94" spans="1:82" s="88" customFormat="1" x14ac:dyDescent="0.25">
      <c r="A94" s="1246">
        <f t="shared" si="1"/>
        <v>91</v>
      </c>
      <c r="B94" s="930" t="str">
        <f>Coltura!C92</f>
        <v>F1</v>
      </c>
      <c r="C94" s="930" t="str">
        <f>Coltura!D92</f>
        <v>Avena insilata</v>
      </c>
      <c r="D94" s="41" t="s">
        <v>645</v>
      </c>
      <c r="E94" s="88" t="s">
        <v>645</v>
      </c>
      <c r="F94" s="1235" t="s">
        <v>645</v>
      </c>
      <c r="G94" s="1236"/>
      <c r="H94" s="1236"/>
      <c r="I94" s="1236"/>
      <c r="J94" s="1236"/>
      <c r="K94" s="1237"/>
      <c r="L94" s="1237"/>
      <c r="M94" s="1237"/>
      <c r="N94" s="1237"/>
      <c r="P94" s="1235"/>
      <c r="Q94" s="1235"/>
      <c r="R94" s="1235"/>
      <c r="S94" s="1235"/>
      <c r="T94" s="1235"/>
      <c r="U94" s="1235"/>
      <c r="V94" s="1235"/>
      <c r="W94" s="1235"/>
      <c r="X94" s="1236"/>
      <c r="Y94" s="1236"/>
      <c r="Z94" s="1236"/>
      <c r="AA94" s="1236"/>
      <c r="AB94" s="1236"/>
      <c r="AC94" s="1237"/>
      <c r="AD94" s="1237"/>
      <c r="AE94" s="1237"/>
      <c r="AF94" s="1237"/>
      <c r="AG94" s="1237"/>
      <c r="AH94" s="88" t="s">
        <v>645</v>
      </c>
      <c r="AI94" s="1235"/>
      <c r="AJ94" s="1235"/>
      <c r="AK94" s="1235"/>
      <c r="AL94" s="1235"/>
      <c r="AM94" s="1235"/>
      <c r="AN94" s="1235"/>
      <c r="AO94" s="1235"/>
      <c r="AP94" s="1235"/>
      <c r="AQ94" s="1235"/>
      <c r="AR94" s="1235"/>
      <c r="AS94" s="1235"/>
      <c r="AT94" s="1235"/>
      <c r="AU94" s="1235"/>
      <c r="AV94" s="1236"/>
      <c r="AW94" s="1236"/>
      <c r="AX94" s="1236"/>
      <c r="AY94" s="1236"/>
      <c r="AZ94" s="1236"/>
      <c r="BA94" s="1236"/>
      <c r="BB94" s="1236">
        <v>0</v>
      </c>
      <c r="BC94" s="1237"/>
      <c r="BD94" s="1237"/>
      <c r="BE94" s="1237"/>
      <c r="BF94" s="1237"/>
      <c r="BG94" s="1228"/>
      <c r="BH94" s="1239">
        <v>0</v>
      </c>
      <c r="BI94" s="1235">
        <v>0</v>
      </c>
      <c r="BJ94" s="1235">
        <v>0</v>
      </c>
      <c r="BK94" s="1235"/>
      <c r="BL94" s="1240">
        <v>0</v>
      </c>
      <c r="BM94" s="1240">
        <v>0</v>
      </c>
      <c r="BN94" s="1240"/>
      <c r="BO94" s="1239">
        <v>0</v>
      </c>
      <c r="BP94" s="1239">
        <v>0</v>
      </c>
      <c r="BQ94" s="1242"/>
      <c r="BR94" s="1243" t="s">
        <v>570</v>
      </c>
      <c r="BS94" s="1244"/>
      <c r="BV94" s="1245"/>
      <c r="BW94" s="1239"/>
      <c r="BX94" s="1239"/>
      <c r="BY94" s="1239"/>
      <c r="BZ94" s="1239"/>
      <c r="CA94" s="1244"/>
      <c r="CB94" s="1244"/>
      <c r="CC94" s="1244"/>
      <c r="CD94" s="1244"/>
    </row>
    <row r="95" spans="1:82" s="88" customFormat="1" x14ac:dyDescent="0.25">
      <c r="A95" s="1246">
        <f t="shared" si="1"/>
        <v>92</v>
      </c>
      <c r="B95" s="930" t="str">
        <f>Coltura!C93</f>
        <v>F2</v>
      </c>
      <c r="C95" s="930" t="str">
        <f>Coltura!D93</f>
        <v>Colza insilato</v>
      </c>
      <c r="D95" s="41" t="s">
        <v>645</v>
      </c>
      <c r="E95" s="88" t="s">
        <v>645</v>
      </c>
      <c r="F95" s="1235" t="s">
        <v>645</v>
      </c>
      <c r="G95" s="1236"/>
      <c r="H95" s="1236"/>
      <c r="I95" s="1236"/>
      <c r="J95" s="1236"/>
      <c r="K95" s="1237"/>
      <c r="L95" s="1237"/>
      <c r="M95" s="1237"/>
      <c r="N95" s="1237"/>
      <c r="P95" s="1235"/>
      <c r="Q95" s="1235"/>
      <c r="R95" s="1235"/>
      <c r="S95" s="1235"/>
      <c r="T95" s="1235"/>
      <c r="U95" s="1235"/>
      <c r="V95" s="1235"/>
      <c r="W95" s="1235"/>
      <c r="X95" s="1236"/>
      <c r="Y95" s="1236"/>
      <c r="Z95" s="1236"/>
      <c r="AA95" s="1236"/>
      <c r="AB95" s="1236"/>
      <c r="AC95" s="1237"/>
      <c r="AD95" s="1237"/>
      <c r="AE95" s="1237"/>
      <c r="AF95" s="1237"/>
      <c r="AG95" s="1237"/>
      <c r="AH95" s="88" t="s">
        <v>645</v>
      </c>
      <c r="AI95" s="1235"/>
      <c r="AJ95" s="1235"/>
      <c r="AK95" s="1235"/>
      <c r="AL95" s="1235"/>
      <c r="AM95" s="1235"/>
      <c r="AN95" s="1235"/>
      <c r="AO95" s="1235"/>
      <c r="AP95" s="1235"/>
      <c r="AQ95" s="1235"/>
      <c r="AR95" s="1235"/>
      <c r="AS95" s="1235"/>
      <c r="AT95" s="1235"/>
      <c r="AU95" s="1235"/>
      <c r="AV95" s="1236"/>
      <c r="AW95" s="1236"/>
      <c r="AX95" s="1236"/>
      <c r="AY95" s="1236"/>
      <c r="AZ95" s="1236"/>
      <c r="BA95" s="1236"/>
      <c r="BB95" s="1236">
        <v>0</v>
      </c>
      <c r="BC95" s="1237"/>
      <c r="BD95" s="1237"/>
      <c r="BE95" s="1237"/>
      <c r="BF95" s="1237"/>
      <c r="BG95" s="1228"/>
      <c r="BH95" s="1239">
        <v>0</v>
      </c>
      <c r="BI95" s="1235">
        <v>0</v>
      </c>
      <c r="BJ95" s="1235">
        <v>0</v>
      </c>
      <c r="BK95" s="1235"/>
      <c r="BL95" s="1240">
        <v>0</v>
      </c>
      <c r="BM95" s="1240">
        <v>0</v>
      </c>
      <c r="BN95" s="1240"/>
      <c r="BO95" s="1239">
        <v>0</v>
      </c>
      <c r="BP95" s="1239">
        <v>0</v>
      </c>
      <c r="BQ95" s="1242"/>
      <c r="BR95" s="1243" t="s">
        <v>570</v>
      </c>
      <c r="BS95" s="1244"/>
      <c r="BV95" s="1245"/>
      <c r="BW95" s="1239"/>
      <c r="BX95" s="1239"/>
      <c r="BY95" s="1239"/>
      <c r="BZ95" s="1239"/>
      <c r="CA95" s="1244"/>
      <c r="CB95" s="1244"/>
      <c r="CC95" s="1244"/>
      <c r="CD95" s="1244"/>
    </row>
    <row r="96" spans="1:82" x14ac:dyDescent="0.25">
      <c r="A96" s="1246">
        <f t="shared" si="1"/>
        <v>93</v>
      </c>
      <c r="B96" s="930" t="str">
        <f>Coltura!C94</f>
        <v>F3</v>
      </c>
      <c r="C96" s="930" t="str">
        <f>Coltura!D94</f>
        <v>Erba mazzolina</v>
      </c>
      <c r="D96" s="41" t="s">
        <v>645</v>
      </c>
      <c r="E96" s="32">
        <v>12.5</v>
      </c>
      <c r="F96" s="1224">
        <v>200</v>
      </c>
      <c r="G96" s="1225">
        <v>75</v>
      </c>
      <c r="H96" s="1225">
        <v>100</v>
      </c>
      <c r="I96" s="1225">
        <v>0</v>
      </c>
      <c r="J96" s="1225">
        <v>100</v>
      </c>
      <c r="K96" s="1226">
        <v>150</v>
      </c>
      <c r="L96" s="1226">
        <v>200</v>
      </c>
      <c r="M96" s="1226">
        <v>0</v>
      </c>
      <c r="N96" s="1226">
        <v>200</v>
      </c>
      <c r="O96" s="32">
        <v>11</v>
      </c>
      <c r="P96" s="1224">
        <v>40</v>
      </c>
      <c r="Q96" s="1224">
        <v>20</v>
      </c>
      <c r="R96" s="1224">
        <v>0</v>
      </c>
      <c r="S96" s="1224">
        <v>15</v>
      </c>
      <c r="T96" s="1224">
        <v>0</v>
      </c>
      <c r="U96" s="1224">
        <v>0</v>
      </c>
      <c r="V96" s="1224">
        <v>0</v>
      </c>
      <c r="W96" s="1224">
        <v>0</v>
      </c>
      <c r="X96" s="1225">
        <v>15</v>
      </c>
      <c r="Y96" s="1225">
        <v>0</v>
      </c>
      <c r="Z96" s="1225">
        <v>0</v>
      </c>
      <c r="AA96" s="1225">
        <v>0</v>
      </c>
      <c r="AB96" s="1225">
        <v>0</v>
      </c>
      <c r="AC96" s="1226">
        <v>50</v>
      </c>
      <c r="AD96" s="1226">
        <v>0</v>
      </c>
      <c r="AE96" s="1226">
        <v>0</v>
      </c>
      <c r="AF96" s="1226">
        <v>0</v>
      </c>
      <c r="AG96" s="1226">
        <v>0</v>
      </c>
      <c r="AH96" s="32">
        <v>15</v>
      </c>
      <c r="AI96" s="1224">
        <v>40</v>
      </c>
      <c r="AJ96" s="1224">
        <v>15</v>
      </c>
      <c r="AK96" s="1224">
        <v>0</v>
      </c>
      <c r="AL96" s="1224">
        <v>0</v>
      </c>
      <c r="AM96" s="1224">
        <v>20</v>
      </c>
      <c r="AN96" s="1224">
        <v>0</v>
      </c>
      <c r="AO96" s="1224">
        <v>0</v>
      </c>
      <c r="AP96" s="1224">
        <v>10</v>
      </c>
      <c r="AQ96" s="1224">
        <v>0</v>
      </c>
      <c r="AR96" s="1224">
        <v>0</v>
      </c>
      <c r="AS96" s="1224">
        <v>0</v>
      </c>
      <c r="AT96" s="1224">
        <v>0</v>
      </c>
      <c r="AU96" s="1224">
        <v>50</v>
      </c>
      <c r="AV96" s="1225">
        <v>15</v>
      </c>
      <c r="AW96" s="1225">
        <v>0</v>
      </c>
      <c r="AX96" s="1225">
        <v>0</v>
      </c>
      <c r="AY96" s="1225">
        <v>0</v>
      </c>
      <c r="AZ96" s="1225">
        <v>0</v>
      </c>
      <c r="BA96" s="1248">
        <v>0</v>
      </c>
      <c r="BB96" s="1225">
        <v>15</v>
      </c>
      <c r="BC96" s="1226">
        <v>50</v>
      </c>
      <c r="BD96" s="1226">
        <v>0</v>
      </c>
      <c r="BE96" s="1226">
        <v>0</v>
      </c>
      <c r="BF96" s="1249">
        <v>0</v>
      </c>
      <c r="BG96" s="1238">
        <v>0</v>
      </c>
      <c r="BH96" s="1229">
        <v>50</v>
      </c>
      <c r="BI96" s="1224">
        <v>0</v>
      </c>
      <c r="BJ96" s="1224">
        <v>0</v>
      </c>
      <c r="BL96" s="1230">
        <v>0</v>
      </c>
      <c r="BM96" s="1230">
        <v>0</v>
      </c>
      <c r="BO96" s="1229">
        <v>0</v>
      </c>
      <c r="BP96" s="1229">
        <v>0</v>
      </c>
      <c r="BR96" s="1243" t="s">
        <v>570</v>
      </c>
      <c r="BV96" s="60"/>
    </row>
    <row r="97" spans="1:74" x14ac:dyDescent="0.25">
      <c r="A97" s="1246">
        <f t="shared" si="1"/>
        <v>94</v>
      </c>
      <c r="B97" s="930" t="str">
        <f>Coltura!C95</f>
        <v>F4</v>
      </c>
      <c r="C97" s="930" t="str">
        <f>Coltura!D95</f>
        <v>Erba medica</v>
      </c>
      <c r="D97" s="41" t="s">
        <v>645</v>
      </c>
      <c r="E97" s="32">
        <v>12.5</v>
      </c>
      <c r="F97" s="1224">
        <v>0</v>
      </c>
      <c r="G97" s="1225">
        <v>60</v>
      </c>
      <c r="H97" s="1225">
        <v>100</v>
      </c>
      <c r="I97" s="1225">
        <v>0</v>
      </c>
      <c r="J97" s="1225">
        <v>100</v>
      </c>
      <c r="K97" s="1226">
        <v>150</v>
      </c>
      <c r="L97" s="1226">
        <v>200</v>
      </c>
      <c r="M97" s="1226">
        <v>0</v>
      </c>
      <c r="N97" s="1226">
        <v>200</v>
      </c>
      <c r="O97" s="32">
        <v>11</v>
      </c>
      <c r="P97" s="1224">
        <v>0</v>
      </c>
      <c r="Q97" s="1224">
        <v>0</v>
      </c>
      <c r="R97" s="1224">
        <v>0</v>
      </c>
      <c r="S97" s="1224">
        <v>0</v>
      </c>
      <c r="T97" s="1224">
        <v>0</v>
      </c>
      <c r="U97" s="1224">
        <v>0</v>
      </c>
      <c r="V97" s="1224">
        <v>0</v>
      </c>
      <c r="W97" s="1224">
        <v>0</v>
      </c>
      <c r="X97" s="1225">
        <v>15</v>
      </c>
      <c r="Y97" s="1225">
        <v>0</v>
      </c>
      <c r="Z97" s="1225">
        <v>0</v>
      </c>
      <c r="AA97" s="1225">
        <v>0</v>
      </c>
      <c r="AB97" s="1225">
        <v>0</v>
      </c>
      <c r="AC97" s="1226">
        <v>50</v>
      </c>
      <c r="AD97" s="1226">
        <v>0</v>
      </c>
      <c r="AE97" s="1226">
        <v>0</v>
      </c>
      <c r="AF97" s="1226">
        <v>0</v>
      </c>
      <c r="AG97" s="1226">
        <v>0</v>
      </c>
      <c r="AH97" s="32">
        <v>15</v>
      </c>
      <c r="AI97" s="1224">
        <v>0</v>
      </c>
      <c r="AJ97" s="1224">
        <v>0</v>
      </c>
      <c r="AK97" s="1224">
        <v>0</v>
      </c>
      <c r="AL97" s="1224">
        <v>0</v>
      </c>
      <c r="AM97" s="1224">
        <v>0</v>
      </c>
      <c r="AN97" s="1224">
        <v>0</v>
      </c>
      <c r="AO97" s="1224">
        <v>0</v>
      </c>
      <c r="AP97" s="1224">
        <v>0</v>
      </c>
      <c r="AQ97" s="1224">
        <v>0</v>
      </c>
      <c r="AR97" s="1224">
        <v>0</v>
      </c>
      <c r="AS97" s="1224">
        <v>100</v>
      </c>
      <c r="AT97" s="1224">
        <v>0</v>
      </c>
      <c r="AU97" s="1224">
        <v>100</v>
      </c>
      <c r="AV97" s="1225">
        <v>15</v>
      </c>
      <c r="AW97" s="1225">
        <v>0</v>
      </c>
      <c r="AX97" s="1225">
        <v>0</v>
      </c>
      <c r="AY97" s="1225">
        <v>0</v>
      </c>
      <c r="AZ97" s="1225">
        <v>0</v>
      </c>
      <c r="BA97" s="1248">
        <v>0</v>
      </c>
      <c r="BB97" s="1225">
        <v>15</v>
      </c>
      <c r="BC97" s="1226">
        <v>50</v>
      </c>
      <c r="BD97" s="1226">
        <v>0</v>
      </c>
      <c r="BE97" s="1226">
        <v>0</v>
      </c>
      <c r="BF97" s="1249">
        <v>0</v>
      </c>
      <c r="BG97" s="1238">
        <v>0</v>
      </c>
      <c r="BH97" s="1229">
        <v>50</v>
      </c>
      <c r="BI97" s="1224">
        <v>0</v>
      </c>
      <c r="BJ97" s="1224">
        <v>0</v>
      </c>
      <c r="BL97" s="1230">
        <v>0</v>
      </c>
      <c r="BM97" s="1230">
        <v>0</v>
      </c>
      <c r="BO97" s="1229">
        <v>0</v>
      </c>
      <c r="BP97" s="1229">
        <v>0</v>
      </c>
      <c r="BR97" s="1243" t="s">
        <v>1229</v>
      </c>
      <c r="BV97" s="60"/>
    </row>
    <row r="98" spans="1:74" x14ac:dyDescent="0.25">
      <c r="A98" s="1246">
        <f t="shared" si="1"/>
        <v>95</v>
      </c>
      <c r="B98" s="930" t="str">
        <f>Coltura!C96</f>
        <v>F5</v>
      </c>
      <c r="C98" s="930" t="str">
        <f>Coltura!D96</f>
        <v>Erbai aut prim. Di cer. O cruc.</v>
      </c>
      <c r="D98" s="41" t="s">
        <v>645</v>
      </c>
      <c r="E98" s="32" t="s">
        <v>645</v>
      </c>
      <c r="F98" s="1224" t="s">
        <v>645</v>
      </c>
      <c r="AH98" s="32" t="s">
        <v>645</v>
      </c>
      <c r="BA98" s="1248"/>
      <c r="BB98" s="1225">
        <v>0</v>
      </c>
      <c r="BF98" s="1249"/>
      <c r="BG98" s="1228"/>
      <c r="BH98" s="1229">
        <v>0</v>
      </c>
      <c r="BI98" s="1224">
        <v>0</v>
      </c>
      <c r="BJ98" s="1224">
        <v>0</v>
      </c>
      <c r="BL98" s="1230">
        <v>0</v>
      </c>
      <c r="BM98" s="1230">
        <v>0</v>
      </c>
      <c r="BO98" s="1229">
        <v>0</v>
      </c>
      <c r="BP98" s="1229">
        <v>0</v>
      </c>
      <c r="BR98" s="1243" t="s">
        <v>570</v>
      </c>
      <c r="BV98" s="60"/>
    </row>
    <row r="99" spans="1:74" x14ac:dyDescent="0.25">
      <c r="A99" s="1246">
        <f t="shared" si="1"/>
        <v>96</v>
      </c>
      <c r="B99" s="930" t="str">
        <f>Coltura!C97</f>
        <v>F6</v>
      </c>
      <c r="C99" s="930" t="str">
        <f>Coltura!D97</f>
        <v>Erbai aut prim. Di leguminose</v>
      </c>
      <c r="D99" s="41" t="s">
        <v>645</v>
      </c>
      <c r="E99" s="32" t="s">
        <v>645</v>
      </c>
      <c r="F99" s="1224" t="s">
        <v>645</v>
      </c>
      <c r="AH99" s="32" t="s">
        <v>645</v>
      </c>
      <c r="BA99" s="1248"/>
      <c r="BB99" s="1225">
        <v>0</v>
      </c>
      <c r="BF99" s="1249"/>
      <c r="BG99" s="1228"/>
      <c r="BH99" s="1229">
        <v>0</v>
      </c>
      <c r="BI99" s="1224">
        <v>0</v>
      </c>
      <c r="BJ99" s="1224">
        <v>0</v>
      </c>
      <c r="BL99" s="1230">
        <v>0</v>
      </c>
      <c r="BM99" s="1230">
        <v>0</v>
      </c>
      <c r="BO99" s="1229">
        <v>0</v>
      </c>
      <c r="BP99" s="1229">
        <v>0</v>
      </c>
      <c r="BR99" s="1243" t="s">
        <v>570</v>
      </c>
      <c r="BV99" s="60"/>
    </row>
    <row r="100" spans="1:74" x14ac:dyDescent="0.25">
      <c r="A100" s="1246">
        <f t="shared" si="1"/>
        <v>97</v>
      </c>
      <c r="B100" s="930" t="str">
        <f>Coltura!C98</f>
        <v>F7</v>
      </c>
      <c r="C100" s="930" t="str">
        <f>Coltura!D98</f>
        <v>Erbai biennali o Prati avv. di Graminacee</v>
      </c>
      <c r="D100" s="41" t="s">
        <v>645</v>
      </c>
      <c r="E100" s="32" t="s">
        <v>645</v>
      </c>
      <c r="F100" s="1224" t="s">
        <v>645</v>
      </c>
      <c r="AH100" s="32" t="s">
        <v>645</v>
      </c>
      <c r="BA100" s="1248"/>
      <c r="BB100" s="1225">
        <v>0</v>
      </c>
      <c r="BF100" s="1249"/>
      <c r="BG100" s="1228"/>
      <c r="BH100" s="1229">
        <v>0</v>
      </c>
      <c r="BI100" s="1224">
        <v>0</v>
      </c>
      <c r="BJ100" s="1224">
        <v>0</v>
      </c>
      <c r="BL100" s="1230">
        <v>0</v>
      </c>
      <c r="BM100" s="1230">
        <v>0</v>
      </c>
      <c r="BO100" s="1229">
        <v>0</v>
      </c>
      <c r="BP100" s="1229">
        <v>0</v>
      </c>
      <c r="BR100" s="1243" t="s">
        <v>570</v>
      </c>
      <c r="BV100" s="60"/>
    </row>
    <row r="101" spans="1:74" x14ac:dyDescent="0.25">
      <c r="A101" s="1246">
        <f t="shared" si="1"/>
        <v>98</v>
      </c>
      <c r="B101" s="930" t="str">
        <f>Coltura!C99</f>
        <v>F8</v>
      </c>
      <c r="C101" s="930" t="str">
        <f>Coltura!D99</f>
        <v>Erbai biennali misti o Prati avv. Polifita</v>
      </c>
      <c r="D101" s="41" t="s">
        <v>645</v>
      </c>
      <c r="E101" s="32" t="s">
        <v>645</v>
      </c>
      <c r="F101" s="1224" t="s">
        <v>645</v>
      </c>
      <c r="AH101" s="32" t="s">
        <v>645</v>
      </c>
      <c r="BA101" s="1248"/>
      <c r="BB101" s="1225">
        <v>0</v>
      </c>
      <c r="BF101" s="1249"/>
      <c r="BG101" s="1228"/>
      <c r="BH101" s="1229">
        <v>0</v>
      </c>
      <c r="BI101" s="1224">
        <v>0</v>
      </c>
      <c r="BJ101" s="1224">
        <v>0</v>
      </c>
      <c r="BL101" s="1230">
        <v>0</v>
      </c>
      <c r="BM101" s="1230">
        <v>0</v>
      </c>
      <c r="BO101" s="1229">
        <v>0</v>
      </c>
      <c r="BP101" s="1229">
        <v>0</v>
      </c>
      <c r="BR101" s="1243" t="s">
        <v>570</v>
      </c>
      <c r="BV101" s="60"/>
    </row>
    <row r="102" spans="1:74" x14ac:dyDescent="0.25">
      <c r="A102" s="1246">
        <f t="shared" si="1"/>
        <v>99</v>
      </c>
      <c r="B102" s="930" t="str">
        <f>Coltura!C100</f>
        <v>F9</v>
      </c>
      <c r="C102" s="930" t="str">
        <f>Coltura!D100</f>
        <v>Farro insilato</v>
      </c>
      <c r="D102" s="41" t="s">
        <v>645</v>
      </c>
      <c r="E102" s="32" t="s">
        <v>645</v>
      </c>
      <c r="F102" s="1224" t="s">
        <v>645</v>
      </c>
      <c r="AH102" s="32" t="s">
        <v>645</v>
      </c>
      <c r="BA102" s="1248"/>
      <c r="BB102" s="1225">
        <v>0</v>
      </c>
      <c r="BF102" s="1249"/>
      <c r="BG102" s="1228"/>
      <c r="BH102" s="1229">
        <v>0</v>
      </c>
      <c r="BI102" s="1224">
        <v>0</v>
      </c>
      <c r="BJ102" s="1224">
        <v>0</v>
      </c>
      <c r="BL102" s="1230">
        <v>0</v>
      </c>
      <c r="BM102" s="1230">
        <v>0</v>
      </c>
      <c r="BO102" s="1229">
        <v>0</v>
      </c>
      <c r="BP102" s="1229">
        <v>0</v>
      </c>
      <c r="BR102" s="1243" t="s">
        <v>570</v>
      </c>
      <c r="BV102" s="60"/>
    </row>
    <row r="103" spans="1:74" x14ac:dyDescent="0.25">
      <c r="A103" s="1246">
        <f t="shared" si="1"/>
        <v>100</v>
      </c>
      <c r="B103" s="930" t="str">
        <f>Coltura!C101</f>
        <v>F10</v>
      </c>
      <c r="C103" s="930" t="str">
        <f>Coltura!D101</f>
        <v>Festuca arundinacea</v>
      </c>
      <c r="D103" s="41" t="s">
        <v>645</v>
      </c>
      <c r="E103" s="32">
        <v>12.5</v>
      </c>
      <c r="F103" s="1224">
        <v>200</v>
      </c>
      <c r="G103" s="1225">
        <v>75</v>
      </c>
      <c r="H103" s="1225">
        <v>100</v>
      </c>
      <c r="I103" s="1225">
        <v>0</v>
      </c>
      <c r="J103" s="1225">
        <v>100</v>
      </c>
      <c r="K103" s="1226">
        <v>150</v>
      </c>
      <c r="L103" s="1226">
        <v>200</v>
      </c>
      <c r="M103" s="1226">
        <v>0</v>
      </c>
      <c r="N103" s="1226">
        <v>200</v>
      </c>
      <c r="O103" s="32">
        <v>11</v>
      </c>
      <c r="P103" s="1224">
        <v>40</v>
      </c>
      <c r="Q103" s="1224">
        <v>20</v>
      </c>
      <c r="R103" s="1224">
        <v>0</v>
      </c>
      <c r="S103" s="1224">
        <v>15</v>
      </c>
      <c r="T103" s="1224">
        <v>0</v>
      </c>
      <c r="U103" s="1224">
        <v>0</v>
      </c>
      <c r="V103" s="1224">
        <v>0</v>
      </c>
      <c r="W103" s="1224">
        <v>0</v>
      </c>
      <c r="X103" s="1225">
        <v>15</v>
      </c>
      <c r="Y103" s="1225">
        <v>0</v>
      </c>
      <c r="Z103" s="1225">
        <v>0</v>
      </c>
      <c r="AA103" s="1225">
        <v>0</v>
      </c>
      <c r="AB103" s="1225">
        <v>0</v>
      </c>
      <c r="AC103" s="1226">
        <v>50</v>
      </c>
      <c r="AD103" s="1226">
        <v>0</v>
      </c>
      <c r="AE103" s="1226">
        <v>0</v>
      </c>
      <c r="AF103" s="1226">
        <v>0</v>
      </c>
      <c r="AG103" s="1226">
        <v>0</v>
      </c>
      <c r="AH103" s="32">
        <v>15</v>
      </c>
      <c r="AI103" s="1224">
        <v>40</v>
      </c>
      <c r="AJ103" s="1224">
        <v>15</v>
      </c>
      <c r="AK103" s="1224">
        <v>0</v>
      </c>
      <c r="AL103" s="1224">
        <v>0</v>
      </c>
      <c r="AM103" s="1224">
        <v>20</v>
      </c>
      <c r="AN103" s="1224">
        <v>0</v>
      </c>
      <c r="AO103" s="1224">
        <v>0</v>
      </c>
      <c r="AP103" s="1224">
        <v>10</v>
      </c>
      <c r="AQ103" s="1224">
        <v>0</v>
      </c>
      <c r="AR103" s="1224">
        <v>0</v>
      </c>
      <c r="AS103" s="1224">
        <v>0</v>
      </c>
      <c r="AT103" s="1224">
        <v>0</v>
      </c>
      <c r="AU103" s="1224">
        <v>50</v>
      </c>
      <c r="AV103" s="1225">
        <v>15</v>
      </c>
      <c r="AW103" s="1225">
        <v>0</v>
      </c>
      <c r="AX103" s="1225">
        <v>0</v>
      </c>
      <c r="AY103" s="1225">
        <v>0</v>
      </c>
      <c r="AZ103" s="1225">
        <v>0</v>
      </c>
      <c r="BA103" s="1248">
        <v>0</v>
      </c>
      <c r="BB103" s="1225">
        <v>15</v>
      </c>
      <c r="BC103" s="1226">
        <v>50</v>
      </c>
      <c r="BD103" s="1226">
        <v>0</v>
      </c>
      <c r="BE103" s="1226">
        <v>0</v>
      </c>
      <c r="BF103" s="1249">
        <v>0</v>
      </c>
      <c r="BG103" s="1238">
        <v>0</v>
      </c>
      <c r="BH103" s="1229">
        <v>50</v>
      </c>
      <c r="BI103" s="1224">
        <v>0</v>
      </c>
      <c r="BJ103" s="1224">
        <v>0</v>
      </c>
      <c r="BL103" s="1230">
        <v>0</v>
      </c>
      <c r="BM103" s="1230">
        <v>0</v>
      </c>
      <c r="BO103" s="1229">
        <v>0</v>
      </c>
      <c r="BP103" s="1229">
        <v>0</v>
      </c>
      <c r="BR103" s="1243" t="s">
        <v>570</v>
      </c>
      <c r="BV103" s="60"/>
    </row>
    <row r="104" spans="1:74" x14ac:dyDescent="0.25">
      <c r="A104" s="1246">
        <f t="shared" si="1"/>
        <v>101</v>
      </c>
      <c r="B104" s="930" t="str">
        <f>Coltura!C102</f>
        <v>F11</v>
      </c>
      <c r="C104" s="930" t="str">
        <f>Coltura!D102</f>
        <v>Fleolo (coda di topo)</v>
      </c>
      <c r="D104" s="41" t="s">
        <v>645</v>
      </c>
      <c r="E104" s="32" t="s">
        <v>645</v>
      </c>
      <c r="F104" s="1224" t="s">
        <v>645</v>
      </c>
      <c r="AH104" s="32" t="s">
        <v>645</v>
      </c>
      <c r="BA104" s="1248"/>
      <c r="BB104" s="1225">
        <v>0</v>
      </c>
      <c r="BF104" s="1249"/>
      <c r="BG104" s="1228"/>
      <c r="BH104" s="1229">
        <v>0</v>
      </c>
      <c r="BI104" s="1224">
        <v>0</v>
      </c>
      <c r="BJ104" s="1224">
        <v>0</v>
      </c>
      <c r="BL104" s="1230">
        <v>0</v>
      </c>
      <c r="BM104" s="1230">
        <v>0</v>
      </c>
      <c r="BO104" s="1229">
        <v>0</v>
      </c>
      <c r="BP104" s="1229">
        <v>0</v>
      </c>
      <c r="BR104" s="1243" t="s">
        <v>570</v>
      </c>
      <c r="BV104" s="60"/>
    </row>
    <row r="105" spans="1:74" x14ac:dyDescent="0.25">
      <c r="A105" s="1246">
        <f t="shared" si="1"/>
        <v>102</v>
      </c>
      <c r="B105" s="930" t="str">
        <f>Coltura!C103</f>
        <v>F12</v>
      </c>
      <c r="C105" s="930" t="str">
        <f>Coltura!D103</f>
        <v>Grano duro  insilato</v>
      </c>
      <c r="D105" s="41" t="s">
        <v>645</v>
      </c>
      <c r="E105" s="32" t="s">
        <v>645</v>
      </c>
      <c r="F105" s="1224" t="s">
        <v>645</v>
      </c>
      <c r="AH105" s="32" t="s">
        <v>645</v>
      </c>
      <c r="BA105" s="1248"/>
      <c r="BB105" s="1225">
        <v>0</v>
      </c>
      <c r="BF105" s="1249"/>
      <c r="BG105" s="1228"/>
      <c r="BH105" s="1229">
        <v>0</v>
      </c>
      <c r="BI105" s="1224">
        <v>0</v>
      </c>
      <c r="BJ105" s="1224">
        <v>0</v>
      </c>
      <c r="BL105" s="1230">
        <v>0</v>
      </c>
      <c r="BM105" s="1230">
        <v>0</v>
      </c>
      <c r="BO105" s="1229">
        <v>0</v>
      </c>
      <c r="BP105" s="1229">
        <v>0</v>
      </c>
      <c r="BR105" s="1243" t="s">
        <v>570</v>
      </c>
      <c r="BV105" s="60"/>
    </row>
    <row r="106" spans="1:74" x14ac:dyDescent="0.25">
      <c r="A106" s="1246">
        <f t="shared" si="1"/>
        <v>103</v>
      </c>
      <c r="B106" s="930" t="str">
        <f>Coltura!C104</f>
        <v>F13</v>
      </c>
      <c r="C106" s="930" t="str">
        <f>Coltura!D104</f>
        <v>Grano tenero  insilato</v>
      </c>
      <c r="D106" s="41" t="s">
        <v>645</v>
      </c>
      <c r="E106" s="32" t="s">
        <v>645</v>
      </c>
      <c r="F106" s="1224" t="s">
        <v>645</v>
      </c>
      <c r="AH106" s="32" t="s">
        <v>645</v>
      </c>
      <c r="BA106" s="1248"/>
      <c r="BB106" s="1225">
        <v>0</v>
      </c>
      <c r="BF106" s="1249"/>
      <c r="BG106" s="1228"/>
      <c r="BH106" s="1229">
        <v>0</v>
      </c>
      <c r="BI106" s="1224">
        <v>0</v>
      </c>
      <c r="BJ106" s="1224">
        <v>0</v>
      </c>
      <c r="BL106" s="1230">
        <v>0</v>
      </c>
      <c r="BM106" s="1230">
        <v>0</v>
      </c>
      <c r="BO106" s="1229">
        <v>0</v>
      </c>
      <c r="BP106" s="1229">
        <v>0</v>
      </c>
      <c r="BR106" s="1243" t="s">
        <v>570</v>
      </c>
      <c r="BV106" s="60"/>
    </row>
    <row r="107" spans="1:74" x14ac:dyDescent="0.25">
      <c r="A107" s="1246">
        <f t="shared" si="1"/>
        <v>104</v>
      </c>
      <c r="B107" s="930" t="str">
        <f>Coltura!C105</f>
        <v>F14</v>
      </c>
      <c r="C107" s="930" t="str">
        <f>Coltura!D105</f>
        <v>Loglio da insilare</v>
      </c>
      <c r="D107" s="41" t="s">
        <v>645</v>
      </c>
      <c r="E107" s="32" t="s">
        <v>645</v>
      </c>
      <c r="F107" s="1224" t="s">
        <v>645</v>
      </c>
      <c r="AH107" s="32" t="s">
        <v>645</v>
      </c>
      <c r="BA107" s="1248"/>
      <c r="BB107" s="1225">
        <v>0</v>
      </c>
      <c r="BF107" s="1249"/>
      <c r="BG107" s="1228"/>
      <c r="BH107" s="1229">
        <v>0</v>
      </c>
      <c r="BI107" s="1224">
        <v>0</v>
      </c>
      <c r="BJ107" s="1224">
        <v>0</v>
      </c>
      <c r="BL107" s="1230">
        <v>0</v>
      </c>
      <c r="BM107" s="1230">
        <v>0</v>
      </c>
      <c r="BO107" s="1229">
        <v>0</v>
      </c>
      <c r="BP107" s="1229">
        <v>0</v>
      </c>
      <c r="BR107" s="1243" t="s">
        <v>570</v>
      </c>
      <c r="BV107" s="60"/>
    </row>
    <row r="108" spans="1:74" x14ac:dyDescent="0.25">
      <c r="A108" s="1246">
        <f t="shared" si="1"/>
        <v>105</v>
      </c>
      <c r="B108" s="930" t="str">
        <f>Coltura!C106</f>
        <v>F15</v>
      </c>
      <c r="C108" s="930" t="str">
        <f>Coltura!D106</f>
        <v>Loiessa</v>
      </c>
      <c r="D108" s="41" t="s">
        <v>645</v>
      </c>
      <c r="E108" s="32" t="s">
        <v>645</v>
      </c>
      <c r="F108" s="1224" t="s">
        <v>645</v>
      </c>
      <c r="AH108" s="32" t="s">
        <v>645</v>
      </c>
      <c r="BA108" s="1248"/>
      <c r="BB108" s="1225">
        <v>0</v>
      </c>
      <c r="BF108" s="1249"/>
      <c r="BG108" s="1228"/>
      <c r="BH108" s="1229">
        <v>0</v>
      </c>
      <c r="BI108" s="1224">
        <v>0</v>
      </c>
      <c r="BJ108" s="1224">
        <v>0</v>
      </c>
      <c r="BL108" s="1230">
        <v>0</v>
      </c>
      <c r="BM108" s="1230">
        <v>0</v>
      </c>
      <c r="BO108" s="1229">
        <v>0</v>
      </c>
      <c r="BP108" s="1229">
        <v>0</v>
      </c>
      <c r="BR108" s="1243" t="s">
        <v>570</v>
      </c>
      <c r="BV108" s="60"/>
    </row>
    <row r="109" spans="1:74" x14ac:dyDescent="0.25">
      <c r="A109" s="1246">
        <f t="shared" si="1"/>
        <v>106</v>
      </c>
      <c r="B109" s="930" t="str">
        <f>Coltura!C107</f>
        <v>F16</v>
      </c>
      <c r="C109" s="930" t="str">
        <f>Coltura!D107</f>
        <v>Loietto perenne</v>
      </c>
      <c r="D109" s="41" t="s">
        <v>645</v>
      </c>
      <c r="E109" s="32" t="s">
        <v>645</v>
      </c>
      <c r="F109" s="1224" t="s">
        <v>645</v>
      </c>
      <c r="AH109" s="32" t="s">
        <v>645</v>
      </c>
      <c r="BA109" s="1248"/>
      <c r="BB109" s="1225">
        <v>0</v>
      </c>
      <c r="BF109" s="1249"/>
      <c r="BG109" s="1228"/>
      <c r="BH109" s="1229">
        <v>0</v>
      </c>
      <c r="BI109" s="1224">
        <v>0</v>
      </c>
      <c r="BJ109" s="1224">
        <v>0</v>
      </c>
      <c r="BL109" s="1230">
        <v>0</v>
      </c>
      <c r="BM109" s="1230">
        <v>0</v>
      </c>
      <c r="BO109" s="1229">
        <v>0</v>
      </c>
      <c r="BP109" s="1229">
        <v>0</v>
      </c>
      <c r="BR109" s="1243" t="s">
        <v>570</v>
      </c>
      <c r="BV109" s="60"/>
    </row>
    <row r="110" spans="1:74" x14ac:dyDescent="0.25">
      <c r="A110" s="1246">
        <f t="shared" si="1"/>
        <v>107</v>
      </c>
      <c r="B110" s="930" t="str">
        <f>Coltura!C108</f>
        <v>F17</v>
      </c>
      <c r="C110" s="930" t="str">
        <f>Coltura!D108</f>
        <v>Orzo insilato</v>
      </c>
      <c r="D110" s="41" t="s">
        <v>645</v>
      </c>
      <c r="E110" s="32" t="s">
        <v>645</v>
      </c>
      <c r="F110" s="1224" t="s">
        <v>645</v>
      </c>
      <c r="AH110" s="32" t="s">
        <v>645</v>
      </c>
      <c r="BA110" s="1248"/>
      <c r="BB110" s="1225">
        <v>0</v>
      </c>
      <c r="BF110" s="1249"/>
      <c r="BG110" s="1228"/>
      <c r="BH110" s="1229">
        <v>0</v>
      </c>
      <c r="BI110" s="1224">
        <v>0</v>
      </c>
      <c r="BJ110" s="1224">
        <v>0</v>
      </c>
      <c r="BL110" s="1230">
        <v>0</v>
      </c>
      <c r="BM110" s="1230">
        <v>0</v>
      </c>
      <c r="BO110" s="1229">
        <v>0</v>
      </c>
      <c r="BP110" s="1229">
        <v>0</v>
      </c>
      <c r="BR110" s="1243" t="s">
        <v>570</v>
      </c>
      <c r="BV110" s="60"/>
    </row>
    <row r="111" spans="1:74" x14ac:dyDescent="0.25">
      <c r="A111" s="1246">
        <f t="shared" si="1"/>
        <v>108</v>
      </c>
      <c r="B111" s="930" t="str">
        <f>Coltura!C109</f>
        <v>F18</v>
      </c>
      <c r="C111" s="930" t="str">
        <f>Coltura!D109</f>
        <v>Prati di graminacee</v>
      </c>
      <c r="D111" s="41" t="s">
        <v>645</v>
      </c>
      <c r="E111" s="32" t="s">
        <v>645</v>
      </c>
      <c r="F111" s="1224" t="s">
        <v>645</v>
      </c>
      <c r="AH111" s="32" t="s">
        <v>645</v>
      </c>
      <c r="BA111" s="1248"/>
      <c r="BB111" s="1225">
        <v>0</v>
      </c>
      <c r="BF111" s="1249"/>
      <c r="BG111" s="1228"/>
      <c r="BH111" s="1229">
        <v>0</v>
      </c>
      <c r="BI111" s="1224">
        <v>0</v>
      </c>
      <c r="BJ111" s="1224">
        <v>0</v>
      </c>
      <c r="BL111" s="1230">
        <v>0</v>
      </c>
      <c r="BM111" s="1230">
        <v>0</v>
      </c>
      <c r="BO111" s="1229">
        <v>0</v>
      </c>
      <c r="BP111" s="1229">
        <v>0</v>
      </c>
      <c r="BR111" s="1243" t="s">
        <v>570</v>
      </c>
      <c r="BV111" s="60"/>
    </row>
    <row r="112" spans="1:74" x14ac:dyDescent="0.25">
      <c r="A112" s="1246">
        <f t="shared" si="1"/>
        <v>109</v>
      </c>
      <c r="B112" s="930" t="str">
        <f>Coltura!C110</f>
        <v>F19</v>
      </c>
      <c r="C112" s="930" t="str">
        <f>Coltura!D110</f>
        <v>Prati di trifoglio</v>
      </c>
      <c r="D112" s="41" t="s">
        <v>645</v>
      </c>
      <c r="E112" s="32" t="s">
        <v>645</v>
      </c>
      <c r="F112" s="1224" t="s">
        <v>645</v>
      </c>
      <c r="AH112" s="32" t="s">
        <v>645</v>
      </c>
      <c r="BA112" s="1248"/>
      <c r="BB112" s="1225">
        <v>0</v>
      </c>
      <c r="BF112" s="1249"/>
      <c r="BG112" s="1228"/>
      <c r="BH112" s="1229">
        <v>0</v>
      </c>
      <c r="BI112" s="1224">
        <v>0</v>
      </c>
      <c r="BJ112" s="1224">
        <v>0</v>
      </c>
      <c r="BL112" s="1230">
        <v>0</v>
      </c>
      <c r="BM112" s="1230">
        <v>0</v>
      </c>
      <c r="BO112" s="1229">
        <v>0</v>
      </c>
      <c r="BP112" s="1229">
        <v>0</v>
      </c>
      <c r="BR112" s="1243" t="s">
        <v>570</v>
      </c>
      <c r="BV112" s="60"/>
    </row>
    <row r="113" spans="1:82" x14ac:dyDescent="0.25">
      <c r="A113" s="1246">
        <f t="shared" si="1"/>
        <v>110</v>
      </c>
      <c r="B113" s="930" t="str">
        <f>Coltura!C111</f>
        <v>F20</v>
      </c>
      <c r="C113" s="1169" t="str">
        <f>Coltura!D111</f>
        <v>Prati di leguminose in purezza - Trifoglio</v>
      </c>
      <c r="D113" s="41" t="s">
        <v>645</v>
      </c>
      <c r="E113" s="32">
        <f>+AVERAGE(5,12)</f>
        <v>8.5</v>
      </c>
      <c r="F113" s="1224">
        <v>0</v>
      </c>
      <c r="G113" s="1225">
        <v>80</v>
      </c>
      <c r="H113" s="1225">
        <v>120</v>
      </c>
      <c r="I113" s="1225">
        <v>50</v>
      </c>
      <c r="J113" s="1225">
        <v>120</v>
      </c>
      <c r="K113" s="1226">
        <v>70</v>
      </c>
      <c r="L113" s="1226">
        <v>90</v>
      </c>
      <c r="M113" s="1226">
        <v>40</v>
      </c>
      <c r="N113" s="1226">
        <v>90</v>
      </c>
      <c r="O113" s="32">
        <v>5</v>
      </c>
      <c r="P113" s="1224">
        <v>0</v>
      </c>
      <c r="Q113" s="1224">
        <v>0</v>
      </c>
      <c r="R113" s="1224">
        <v>0</v>
      </c>
      <c r="S113" s="1224">
        <v>0</v>
      </c>
      <c r="T113" s="1224">
        <v>0</v>
      </c>
      <c r="U113" s="1224">
        <v>0</v>
      </c>
      <c r="V113" s="1224">
        <v>0</v>
      </c>
      <c r="W113" s="1224">
        <v>0</v>
      </c>
      <c r="X113" s="1225">
        <v>10</v>
      </c>
      <c r="Y113" s="1225">
        <v>0</v>
      </c>
      <c r="Z113" s="1225">
        <v>0</v>
      </c>
      <c r="AA113" s="1225">
        <v>0</v>
      </c>
      <c r="AB113" s="1225">
        <v>0</v>
      </c>
      <c r="AC113" s="1226">
        <v>20</v>
      </c>
      <c r="AD113" s="1226">
        <v>0</v>
      </c>
      <c r="AE113" s="1226">
        <v>0</v>
      </c>
      <c r="AF113" s="1226">
        <v>0</v>
      </c>
      <c r="AG113" s="1226">
        <v>0</v>
      </c>
      <c r="AH113" s="32">
        <v>12</v>
      </c>
      <c r="AI113" s="1224">
        <v>0</v>
      </c>
      <c r="AJ113" s="1224">
        <v>0</v>
      </c>
      <c r="AK113" s="1224">
        <v>0</v>
      </c>
      <c r="AL113" s="1224">
        <v>0</v>
      </c>
      <c r="AM113" s="1224">
        <v>0</v>
      </c>
      <c r="AN113" s="1224">
        <v>0</v>
      </c>
      <c r="AO113" s="1224">
        <v>0</v>
      </c>
      <c r="AP113" s="1224">
        <v>0</v>
      </c>
      <c r="AQ113" s="1224">
        <v>0</v>
      </c>
      <c r="AR113" s="1224">
        <v>0</v>
      </c>
      <c r="AS113" s="1224">
        <v>0</v>
      </c>
      <c r="AT113" s="1224">
        <v>0</v>
      </c>
      <c r="AU113" s="1224">
        <v>0</v>
      </c>
      <c r="AV113" s="1225">
        <v>10</v>
      </c>
      <c r="AW113" s="1225">
        <v>0</v>
      </c>
      <c r="AX113" s="1225">
        <v>0</v>
      </c>
      <c r="AY113" s="1225">
        <v>0</v>
      </c>
      <c r="AZ113" s="1225">
        <v>0</v>
      </c>
      <c r="BA113" s="1248">
        <v>0</v>
      </c>
      <c r="BB113" s="1225">
        <v>10</v>
      </c>
      <c r="BC113" s="1226">
        <v>20</v>
      </c>
      <c r="BD113" s="1226">
        <v>0</v>
      </c>
      <c r="BE113" s="1226">
        <v>0</v>
      </c>
      <c r="BF113" s="1249">
        <v>0</v>
      </c>
      <c r="BG113" s="1228">
        <v>0</v>
      </c>
      <c r="BH113" s="1229">
        <v>20</v>
      </c>
      <c r="BI113" s="1224">
        <v>0</v>
      </c>
      <c r="BJ113" s="1224">
        <v>0</v>
      </c>
      <c r="BK113" s="1224">
        <v>0</v>
      </c>
      <c r="BL113" s="1230">
        <v>0</v>
      </c>
      <c r="BM113" s="1230">
        <v>0</v>
      </c>
      <c r="BN113" s="1230">
        <v>0</v>
      </c>
      <c r="BO113" s="1229">
        <v>0</v>
      </c>
      <c r="BP113" s="1229">
        <v>0</v>
      </c>
      <c r="BQ113" s="1231">
        <v>0</v>
      </c>
      <c r="BR113" s="1243" t="s">
        <v>570</v>
      </c>
      <c r="BV113" s="60"/>
    </row>
    <row r="114" spans="1:82" x14ac:dyDescent="0.25">
      <c r="A114" s="1246">
        <f t="shared" si="1"/>
        <v>111</v>
      </c>
      <c r="B114" s="930" t="str">
        <f>Coltura!C112</f>
        <v>F21</v>
      </c>
      <c r="C114" s="1169" t="str">
        <f>Coltura!D112</f>
        <v>Prati di leguminose in purezza - Ginestrino</v>
      </c>
      <c r="D114" s="41" t="s">
        <v>645</v>
      </c>
      <c r="E114" s="32">
        <f>+AVERAGE(4,10)</f>
        <v>7</v>
      </c>
      <c r="F114" s="1224">
        <v>0</v>
      </c>
      <c r="G114" s="1225">
        <v>40</v>
      </c>
      <c r="H114" s="1225">
        <v>80</v>
      </c>
      <c r="I114" s="1225">
        <v>20</v>
      </c>
      <c r="J114" s="1225">
        <v>80</v>
      </c>
      <c r="K114" s="1226">
        <v>30</v>
      </c>
      <c r="L114" s="1226">
        <v>50</v>
      </c>
      <c r="M114" s="1226">
        <v>0</v>
      </c>
      <c r="N114" s="1226">
        <v>50</v>
      </c>
      <c r="O114" s="32">
        <v>4</v>
      </c>
      <c r="P114" s="1224">
        <v>0</v>
      </c>
      <c r="Q114" s="1224">
        <v>0</v>
      </c>
      <c r="R114" s="1224">
        <v>0</v>
      </c>
      <c r="S114" s="1224">
        <v>0</v>
      </c>
      <c r="T114" s="1224">
        <v>0</v>
      </c>
      <c r="U114" s="1224">
        <v>0</v>
      </c>
      <c r="V114" s="1224">
        <v>0</v>
      </c>
      <c r="W114" s="1224">
        <v>0</v>
      </c>
      <c r="X114" s="1225">
        <v>10</v>
      </c>
      <c r="Y114" s="1225">
        <v>0</v>
      </c>
      <c r="Z114" s="1225">
        <v>0</v>
      </c>
      <c r="AA114" s="1225">
        <v>0</v>
      </c>
      <c r="AB114" s="1225">
        <v>0</v>
      </c>
      <c r="AC114" s="1226">
        <v>20</v>
      </c>
      <c r="AD114" s="1226">
        <v>0</v>
      </c>
      <c r="AE114" s="1226">
        <v>0</v>
      </c>
      <c r="AF114" s="1226">
        <v>0</v>
      </c>
      <c r="AG114" s="1226">
        <v>0</v>
      </c>
      <c r="AH114" s="32">
        <v>10</v>
      </c>
      <c r="AI114" s="1224">
        <v>0</v>
      </c>
      <c r="AJ114" s="1224">
        <v>0</v>
      </c>
      <c r="AK114" s="1224">
        <v>0</v>
      </c>
      <c r="AL114" s="1224">
        <v>0</v>
      </c>
      <c r="AM114" s="1224">
        <v>0</v>
      </c>
      <c r="AN114" s="1224">
        <v>0</v>
      </c>
      <c r="AO114" s="1224">
        <v>0</v>
      </c>
      <c r="AP114" s="1224">
        <v>0</v>
      </c>
      <c r="AQ114" s="1224">
        <v>0</v>
      </c>
      <c r="AR114" s="1224">
        <v>0</v>
      </c>
      <c r="AS114" s="1224">
        <v>0</v>
      </c>
      <c r="AT114" s="1224">
        <v>0</v>
      </c>
      <c r="AU114" s="1224">
        <v>0</v>
      </c>
      <c r="AV114" s="1225">
        <v>20</v>
      </c>
      <c r="AW114" s="1225">
        <v>0</v>
      </c>
      <c r="AX114" s="1225">
        <v>0</v>
      </c>
      <c r="AY114" s="1225">
        <v>0</v>
      </c>
      <c r="AZ114" s="1225">
        <v>0</v>
      </c>
      <c r="BA114" s="1248">
        <v>0</v>
      </c>
      <c r="BB114" s="1225">
        <v>20</v>
      </c>
      <c r="BC114" s="1226">
        <v>20</v>
      </c>
      <c r="BD114" s="1226">
        <v>0</v>
      </c>
      <c r="BE114" s="1226">
        <v>0</v>
      </c>
      <c r="BF114" s="1249">
        <v>0</v>
      </c>
      <c r="BG114" s="1228">
        <v>0</v>
      </c>
      <c r="BH114" s="1229">
        <v>20</v>
      </c>
      <c r="BI114" s="1224">
        <v>0</v>
      </c>
      <c r="BJ114" s="1224">
        <v>0</v>
      </c>
      <c r="BK114" s="1224">
        <v>0</v>
      </c>
      <c r="BL114" s="1230">
        <v>0</v>
      </c>
      <c r="BM114" s="1230">
        <v>0</v>
      </c>
      <c r="BN114" s="1230">
        <v>0</v>
      </c>
      <c r="BO114" s="1229">
        <v>0</v>
      </c>
      <c r="BP114" s="1229">
        <v>0</v>
      </c>
      <c r="BQ114" s="1231">
        <v>0</v>
      </c>
      <c r="BR114" s="1243" t="s">
        <v>570</v>
      </c>
      <c r="BV114" s="60"/>
    </row>
    <row r="115" spans="1:82" x14ac:dyDescent="0.25">
      <c r="A115" s="1246">
        <f t="shared" si="1"/>
        <v>112</v>
      </c>
      <c r="B115" s="930" t="str">
        <f>Coltura!C113</f>
        <v>F22</v>
      </c>
      <c r="C115" s="1169" t="str">
        <f>Coltura!D113</f>
        <v>Prati di leguminose in purezza - Sulla</v>
      </c>
      <c r="D115" s="41" t="s">
        <v>645</v>
      </c>
      <c r="E115" s="32">
        <f>+AVERAGE(6,10)</f>
        <v>8</v>
      </c>
      <c r="F115" s="1224">
        <v>0</v>
      </c>
      <c r="G115" s="1225">
        <v>60</v>
      </c>
      <c r="H115" s="1225">
        <v>100</v>
      </c>
      <c r="I115" s="1225">
        <v>50</v>
      </c>
      <c r="J115" s="1225">
        <v>100</v>
      </c>
      <c r="K115" s="1226">
        <v>50</v>
      </c>
      <c r="L115" s="1226">
        <v>70</v>
      </c>
      <c r="M115" s="1226">
        <v>40</v>
      </c>
      <c r="N115" s="1226">
        <v>70</v>
      </c>
      <c r="O115" s="32">
        <v>6</v>
      </c>
      <c r="P115" s="1224">
        <v>0</v>
      </c>
      <c r="Q115" s="1224">
        <v>0</v>
      </c>
      <c r="R115" s="1224">
        <v>0</v>
      </c>
      <c r="S115" s="1224">
        <v>0</v>
      </c>
      <c r="T115" s="1224">
        <v>0</v>
      </c>
      <c r="U115" s="1224">
        <v>0</v>
      </c>
      <c r="V115" s="1224">
        <v>0</v>
      </c>
      <c r="W115" s="1224">
        <v>0</v>
      </c>
      <c r="X115" s="1225">
        <v>10</v>
      </c>
      <c r="Y115" s="1225">
        <v>0</v>
      </c>
      <c r="Z115" s="1225">
        <v>0</v>
      </c>
      <c r="AA115" s="1225">
        <v>0</v>
      </c>
      <c r="AB115" s="1225">
        <v>0</v>
      </c>
      <c r="AC115" s="1226">
        <v>20</v>
      </c>
      <c r="AD115" s="1226">
        <v>0</v>
      </c>
      <c r="AE115" s="1226">
        <v>0</v>
      </c>
      <c r="AF115" s="1226">
        <v>0</v>
      </c>
      <c r="AG115" s="1226">
        <v>0</v>
      </c>
      <c r="AH115" s="32">
        <v>10</v>
      </c>
      <c r="AI115" s="1224">
        <v>0</v>
      </c>
      <c r="AJ115" s="1224">
        <v>0</v>
      </c>
      <c r="AK115" s="1224">
        <v>0</v>
      </c>
      <c r="AL115" s="1224">
        <v>0</v>
      </c>
      <c r="AM115" s="1224">
        <v>0</v>
      </c>
      <c r="AN115" s="1224">
        <v>0</v>
      </c>
      <c r="AO115" s="1224">
        <v>0</v>
      </c>
      <c r="AP115" s="1224">
        <v>0</v>
      </c>
      <c r="AQ115" s="1224">
        <v>0</v>
      </c>
      <c r="AR115" s="1224">
        <v>0</v>
      </c>
      <c r="AS115" s="1224">
        <v>0</v>
      </c>
      <c r="AT115" s="1224">
        <v>0</v>
      </c>
      <c r="AU115" s="1224">
        <v>0</v>
      </c>
      <c r="AV115" s="1225">
        <v>10</v>
      </c>
      <c r="AW115" s="1225">
        <v>0</v>
      </c>
      <c r="AX115" s="1225">
        <v>0</v>
      </c>
      <c r="AY115" s="1225">
        <v>0</v>
      </c>
      <c r="AZ115" s="1225">
        <v>0</v>
      </c>
      <c r="BA115" s="1248">
        <v>0</v>
      </c>
      <c r="BB115" s="1225">
        <v>10</v>
      </c>
      <c r="BC115" s="1226">
        <v>20</v>
      </c>
      <c r="BD115" s="1226">
        <v>0</v>
      </c>
      <c r="BE115" s="1226">
        <v>0</v>
      </c>
      <c r="BF115" s="1249">
        <v>0</v>
      </c>
      <c r="BG115" s="1228">
        <v>0</v>
      </c>
      <c r="BH115" s="1229">
        <v>20</v>
      </c>
      <c r="BI115" s="1224">
        <v>0</v>
      </c>
      <c r="BJ115" s="1224">
        <v>0</v>
      </c>
      <c r="BK115" s="1224">
        <v>0</v>
      </c>
      <c r="BL115" s="1230">
        <v>0</v>
      </c>
      <c r="BM115" s="1230">
        <v>0</v>
      </c>
      <c r="BN115" s="1230">
        <v>0</v>
      </c>
      <c r="BO115" s="1229">
        <v>0</v>
      </c>
      <c r="BP115" s="1229">
        <v>0</v>
      </c>
      <c r="BQ115" s="1231">
        <v>0</v>
      </c>
      <c r="BR115" s="1243" t="s">
        <v>1788</v>
      </c>
      <c r="BV115" s="60"/>
    </row>
    <row r="116" spans="1:82" x14ac:dyDescent="0.25">
      <c r="A116" s="1246">
        <f t="shared" si="1"/>
        <v>113</v>
      </c>
      <c r="B116" s="930" t="str">
        <f>Coltura!C114</f>
        <v>F23</v>
      </c>
      <c r="C116" s="1169" t="str">
        <f>Coltura!D114</f>
        <v>Prati di leguminose in purezza - Lupinella</v>
      </c>
      <c r="D116" s="823" t="s">
        <v>645</v>
      </c>
      <c r="E116" s="32">
        <f>++AVERAGE(5,8)</f>
        <v>6.5</v>
      </c>
      <c r="F116" s="1224">
        <v>0</v>
      </c>
      <c r="G116" s="1225">
        <v>80</v>
      </c>
      <c r="H116" s="1225">
        <v>120</v>
      </c>
      <c r="I116" s="1225">
        <v>50</v>
      </c>
      <c r="J116" s="1225">
        <v>120</v>
      </c>
      <c r="K116" s="1226">
        <v>70</v>
      </c>
      <c r="L116" s="1226">
        <v>90</v>
      </c>
      <c r="M116" s="1226">
        <v>40</v>
      </c>
      <c r="N116" s="1226">
        <v>90</v>
      </c>
      <c r="O116" s="32">
        <v>5</v>
      </c>
      <c r="P116" s="1224">
        <v>0</v>
      </c>
      <c r="Q116" s="1224">
        <v>0</v>
      </c>
      <c r="R116" s="1224">
        <v>0</v>
      </c>
      <c r="S116" s="1224">
        <v>0</v>
      </c>
      <c r="T116" s="1224">
        <v>0</v>
      </c>
      <c r="U116" s="1224">
        <v>0</v>
      </c>
      <c r="V116" s="1224">
        <v>0</v>
      </c>
      <c r="W116" s="1224">
        <v>0</v>
      </c>
      <c r="X116" s="1225">
        <v>10</v>
      </c>
      <c r="Y116" s="1225">
        <v>0</v>
      </c>
      <c r="Z116" s="1225">
        <v>0</v>
      </c>
      <c r="AA116" s="1225">
        <v>0</v>
      </c>
      <c r="AB116" s="1225">
        <v>0</v>
      </c>
      <c r="AC116" s="1226">
        <v>20</v>
      </c>
      <c r="AD116" s="1226">
        <v>0</v>
      </c>
      <c r="AE116" s="1226">
        <v>0</v>
      </c>
      <c r="AF116" s="1226">
        <v>0</v>
      </c>
      <c r="AG116" s="1226">
        <v>0</v>
      </c>
      <c r="AH116" s="32">
        <v>8</v>
      </c>
      <c r="AI116" s="1224">
        <v>0</v>
      </c>
      <c r="AJ116" s="1224">
        <v>0</v>
      </c>
      <c r="AK116" s="1224">
        <v>0</v>
      </c>
      <c r="AL116" s="1224">
        <v>0</v>
      </c>
      <c r="AM116" s="1224">
        <v>0</v>
      </c>
      <c r="AN116" s="1224">
        <v>0</v>
      </c>
      <c r="AO116" s="1224">
        <v>0</v>
      </c>
      <c r="AP116" s="1224">
        <v>0</v>
      </c>
      <c r="AQ116" s="1224">
        <v>0</v>
      </c>
      <c r="AR116" s="1224">
        <v>0</v>
      </c>
      <c r="AS116" s="1224">
        <v>0</v>
      </c>
      <c r="AT116" s="1224">
        <v>0</v>
      </c>
      <c r="AU116" s="1224">
        <v>0</v>
      </c>
      <c r="AV116" s="1225">
        <v>10</v>
      </c>
      <c r="AW116" s="1225">
        <v>0</v>
      </c>
      <c r="AX116" s="1225">
        <v>0</v>
      </c>
      <c r="AY116" s="1225">
        <v>0</v>
      </c>
      <c r="AZ116" s="1225">
        <v>0</v>
      </c>
      <c r="BA116" s="1225">
        <v>0</v>
      </c>
      <c r="BB116" s="1225">
        <v>10</v>
      </c>
      <c r="BC116" s="1226">
        <v>20</v>
      </c>
      <c r="BD116" s="1226">
        <v>0</v>
      </c>
      <c r="BE116" s="1226">
        <v>0</v>
      </c>
      <c r="BF116" s="1226">
        <v>0</v>
      </c>
      <c r="BG116" s="1228">
        <v>0</v>
      </c>
      <c r="BH116" s="1229">
        <v>20</v>
      </c>
      <c r="BI116" s="1224">
        <v>0</v>
      </c>
      <c r="BJ116" s="1224">
        <v>0</v>
      </c>
      <c r="BK116" s="1224">
        <v>0</v>
      </c>
      <c r="BL116" s="1230">
        <v>0</v>
      </c>
      <c r="BM116" s="1230">
        <v>0</v>
      </c>
      <c r="BN116" s="1230">
        <v>0</v>
      </c>
      <c r="BO116" s="1229">
        <v>0</v>
      </c>
      <c r="BP116" s="1229">
        <v>0</v>
      </c>
      <c r="BR116" s="1251" t="s">
        <v>570</v>
      </c>
      <c r="BV116" s="60"/>
    </row>
    <row r="117" spans="1:82" s="88" customFormat="1" x14ac:dyDescent="0.25">
      <c r="A117" s="1246">
        <f t="shared" si="1"/>
        <v>114</v>
      </c>
      <c r="B117" s="930" t="str">
        <f>Coltura!C115</f>
        <v>F24</v>
      </c>
      <c r="C117" s="930" t="str">
        <f>Coltura!D115</f>
        <v>Prati pascoli in collina</v>
      </c>
      <c r="D117" s="41" t="s">
        <v>645</v>
      </c>
      <c r="E117" s="88" t="s">
        <v>645</v>
      </c>
      <c r="F117" s="1235" t="s">
        <v>645</v>
      </c>
      <c r="G117" s="1236"/>
      <c r="H117" s="1236"/>
      <c r="I117" s="1236"/>
      <c r="J117" s="1236"/>
      <c r="K117" s="1237"/>
      <c r="L117" s="1237"/>
      <c r="M117" s="1237"/>
      <c r="N117" s="1237"/>
      <c r="P117" s="1235"/>
      <c r="Q117" s="1235"/>
      <c r="R117" s="1235"/>
      <c r="S117" s="1235"/>
      <c r="T117" s="1235"/>
      <c r="U117" s="1235"/>
      <c r="V117" s="1235"/>
      <c r="W117" s="1235"/>
      <c r="X117" s="1236"/>
      <c r="Y117" s="1236"/>
      <c r="Z117" s="1236"/>
      <c r="AA117" s="1236"/>
      <c r="AB117" s="1236"/>
      <c r="AC117" s="1237"/>
      <c r="AD117" s="1237"/>
      <c r="AE117" s="1237"/>
      <c r="AF117" s="1237"/>
      <c r="AG117" s="1237"/>
      <c r="AH117" s="88" t="s">
        <v>645</v>
      </c>
      <c r="AI117" s="1235"/>
      <c r="AJ117" s="1235"/>
      <c r="AK117" s="1235"/>
      <c r="AL117" s="1235"/>
      <c r="AM117" s="1235"/>
      <c r="AN117" s="1235"/>
      <c r="AO117" s="1235"/>
      <c r="AP117" s="1235"/>
      <c r="AQ117" s="1235"/>
      <c r="AR117" s="1235"/>
      <c r="AS117" s="1235"/>
      <c r="AT117" s="1235"/>
      <c r="AU117" s="1235"/>
      <c r="AV117" s="1236"/>
      <c r="AW117" s="1236"/>
      <c r="AX117" s="1236"/>
      <c r="AY117" s="1236"/>
      <c r="AZ117" s="1236"/>
      <c r="BA117" s="1236"/>
      <c r="BB117" s="1236">
        <v>0</v>
      </c>
      <c r="BC117" s="1237"/>
      <c r="BD117" s="1237"/>
      <c r="BE117" s="1237"/>
      <c r="BF117" s="1237"/>
      <c r="BG117" s="1228"/>
      <c r="BH117" s="1239">
        <v>0</v>
      </c>
      <c r="BI117" s="1235">
        <v>0</v>
      </c>
      <c r="BJ117" s="1235">
        <v>0</v>
      </c>
      <c r="BK117" s="1235"/>
      <c r="BL117" s="1240">
        <v>0</v>
      </c>
      <c r="BM117" s="1240">
        <v>0</v>
      </c>
      <c r="BN117" s="1240"/>
      <c r="BO117" s="1239">
        <v>0</v>
      </c>
      <c r="BP117" s="1239">
        <v>0</v>
      </c>
      <c r="BQ117" s="1242"/>
      <c r="BR117" s="1243" t="s">
        <v>570</v>
      </c>
      <c r="BS117" s="1244"/>
      <c r="BV117" s="1245"/>
      <c r="BW117" s="1239"/>
      <c r="BX117" s="1239"/>
      <c r="BY117" s="1239"/>
      <c r="BZ117" s="1239"/>
      <c r="CA117" s="1244"/>
      <c r="CB117" s="1244"/>
      <c r="CC117" s="1244"/>
      <c r="CD117" s="1244"/>
    </row>
    <row r="118" spans="1:82" x14ac:dyDescent="0.25">
      <c r="A118" s="1246">
        <f t="shared" si="1"/>
        <v>115</v>
      </c>
      <c r="B118" s="930" t="str">
        <f>Coltura!C116</f>
        <v>F25</v>
      </c>
      <c r="C118" s="930" t="str">
        <f>Coltura!D116</f>
        <v>Prati polifiti &gt;50% leguminose</v>
      </c>
      <c r="D118" s="41" t="s">
        <v>645</v>
      </c>
      <c r="E118" s="32" t="s">
        <v>645</v>
      </c>
      <c r="F118" s="1224" t="s">
        <v>645</v>
      </c>
      <c r="AH118" s="32" t="s">
        <v>645</v>
      </c>
      <c r="BA118" s="1248"/>
      <c r="BB118" s="1225">
        <v>0</v>
      </c>
      <c r="BF118" s="1249"/>
      <c r="BG118" s="1228"/>
      <c r="BH118" s="1229">
        <v>0</v>
      </c>
      <c r="BI118" s="1224">
        <v>0</v>
      </c>
      <c r="BJ118" s="1224">
        <v>0</v>
      </c>
      <c r="BL118" s="1230">
        <v>0</v>
      </c>
      <c r="BM118" s="1230">
        <v>0</v>
      </c>
      <c r="BO118" s="1229">
        <v>0</v>
      </c>
      <c r="BP118" s="1229">
        <v>0</v>
      </c>
      <c r="BR118" s="1243" t="s">
        <v>570</v>
      </c>
      <c r="BV118" s="60"/>
    </row>
    <row r="119" spans="1:82" x14ac:dyDescent="0.25">
      <c r="A119" s="1246">
        <f t="shared" si="1"/>
        <v>116</v>
      </c>
      <c r="B119" s="930" t="str">
        <f>Coltura!C117</f>
        <v>F26</v>
      </c>
      <c r="C119" s="930" t="str">
        <f>Coltura!D117</f>
        <v>Prati polifiti</v>
      </c>
      <c r="D119" s="41" t="s">
        <v>645</v>
      </c>
      <c r="E119" s="32">
        <v>8.5</v>
      </c>
      <c r="F119" s="1224">
        <v>155</v>
      </c>
      <c r="G119" s="1225">
        <v>50</v>
      </c>
      <c r="H119" s="1225">
        <v>100</v>
      </c>
      <c r="I119" s="1225">
        <v>0</v>
      </c>
      <c r="J119" s="1225">
        <v>100</v>
      </c>
      <c r="K119" s="1226">
        <v>150</v>
      </c>
      <c r="L119" s="1226">
        <v>200</v>
      </c>
      <c r="M119" s="1226">
        <v>0</v>
      </c>
      <c r="N119" s="1226">
        <v>200</v>
      </c>
      <c r="O119" s="32">
        <v>7</v>
      </c>
      <c r="P119" s="1224">
        <v>30</v>
      </c>
      <c r="Q119" s="1224">
        <v>20</v>
      </c>
      <c r="R119" s="1224">
        <v>0</v>
      </c>
      <c r="S119" s="1224">
        <v>15</v>
      </c>
      <c r="T119" s="1224">
        <v>0</v>
      </c>
      <c r="U119" s="1224">
        <v>0</v>
      </c>
      <c r="V119" s="1224">
        <v>0</v>
      </c>
      <c r="W119" s="1224">
        <v>0</v>
      </c>
      <c r="X119" s="1225">
        <v>15</v>
      </c>
      <c r="Y119" s="1225">
        <v>0</v>
      </c>
      <c r="Z119" s="1225">
        <v>0</v>
      </c>
      <c r="AA119" s="1225">
        <v>0</v>
      </c>
      <c r="AB119" s="1225">
        <v>0</v>
      </c>
      <c r="AC119" s="1226">
        <v>40</v>
      </c>
      <c r="AD119" s="1226">
        <v>0</v>
      </c>
      <c r="AE119" s="1226">
        <v>0</v>
      </c>
      <c r="AF119" s="1226">
        <v>0</v>
      </c>
      <c r="AG119" s="1226">
        <v>0</v>
      </c>
      <c r="AH119" s="32">
        <v>10</v>
      </c>
      <c r="AI119" s="1224">
        <v>30</v>
      </c>
      <c r="AJ119" s="1224">
        <v>15</v>
      </c>
      <c r="AK119" s="1224">
        <v>0</v>
      </c>
      <c r="AL119" s="1224">
        <v>0</v>
      </c>
      <c r="AM119" s="1224">
        <v>20</v>
      </c>
      <c r="AN119" s="1224">
        <v>0</v>
      </c>
      <c r="AO119" s="1224">
        <v>0</v>
      </c>
      <c r="AP119" s="1224">
        <v>10</v>
      </c>
      <c r="AQ119" s="1224">
        <v>0</v>
      </c>
      <c r="AR119" s="1224">
        <v>0</v>
      </c>
      <c r="AS119" s="1224">
        <v>0</v>
      </c>
      <c r="AT119" s="1224">
        <v>0</v>
      </c>
      <c r="AU119" s="1224">
        <v>45</v>
      </c>
      <c r="AV119" s="1225">
        <v>15</v>
      </c>
      <c r="AW119" s="1225">
        <v>0</v>
      </c>
      <c r="AX119" s="1225">
        <v>0</v>
      </c>
      <c r="AY119" s="1225">
        <v>0</v>
      </c>
      <c r="AZ119" s="1225">
        <v>0</v>
      </c>
      <c r="BA119" s="1248">
        <v>0</v>
      </c>
      <c r="BB119" s="1225">
        <v>15</v>
      </c>
      <c r="BC119" s="1226">
        <v>40</v>
      </c>
      <c r="BD119" s="1226">
        <v>0</v>
      </c>
      <c r="BE119" s="1226">
        <v>0</v>
      </c>
      <c r="BF119" s="1249">
        <v>0</v>
      </c>
      <c r="BG119" s="1238">
        <v>0</v>
      </c>
      <c r="BH119" s="1229">
        <v>40</v>
      </c>
      <c r="BI119" s="1224">
        <v>0</v>
      </c>
      <c r="BJ119" s="1224">
        <v>0</v>
      </c>
      <c r="BL119" s="1230">
        <v>0</v>
      </c>
      <c r="BM119" s="1230">
        <v>0</v>
      </c>
      <c r="BO119" s="1229">
        <v>0</v>
      </c>
      <c r="BP119" s="1229">
        <v>0</v>
      </c>
      <c r="BR119" s="1243" t="s">
        <v>570</v>
      </c>
      <c r="BV119" s="60"/>
    </row>
    <row r="120" spans="1:82" x14ac:dyDescent="0.25">
      <c r="A120" s="1246">
        <f t="shared" si="1"/>
        <v>117</v>
      </c>
      <c r="B120" s="930" t="str">
        <f>Coltura!C118</f>
        <v>F27</v>
      </c>
      <c r="C120" s="930" t="str">
        <f>Coltura!D118</f>
        <v>Prati stabili in pianura</v>
      </c>
      <c r="D120" s="41" t="s">
        <v>645</v>
      </c>
      <c r="E120" s="32">
        <v>13</v>
      </c>
      <c r="F120" s="1224">
        <v>140</v>
      </c>
      <c r="G120" s="1225">
        <v>80</v>
      </c>
      <c r="H120" s="1225">
        <v>80</v>
      </c>
      <c r="I120" s="1225">
        <v>0</v>
      </c>
      <c r="J120" s="1225">
        <v>0</v>
      </c>
      <c r="K120" s="1226">
        <v>300</v>
      </c>
      <c r="L120" s="1226">
        <v>300</v>
      </c>
      <c r="M120" s="1226">
        <v>0</v>
      </c>
      <c r="N120" s="1226">
        <v>300</v>
      </c>
      <c r="O120" s="32">
        <v>10.4</v>
      </c>
      <c r="P120" s="1224">
        <v>0</v>
      </c>
      <c r="Q120" s="1224">
        <v>20</v>
      </c>
      <c r="R120" s="1224">
        <v>0</v>
      </c>
      <c r="S120" s="1224">
        <v>0</v>
      </c>
      <c r="T120" s="1224">
        <v>0</v>
      </c>
      <c r="U120" s="1224">
        <v>0</v>
      </c>
      <c r="V120" s="1224">
        <v>0</v>
      </c>
      <c r="W120" s="1224">
        <v>0</v>
      </c>
      <c r="X120" s="1225">
        <v>20</v>
      </c>
      <c r="Y120" s="1225">
        <v>0</v>
      </c>
      <c r="Z120" s="1225">
        <v>0</v>
      </c>
      <c r="AA120" s="1225">
        <v>0</v>
      </c>
      <c r="AB120" s="1225">
        <v>0</v>
      </c>
      <c r="AC120" s="1226">
        <v>50</v>
      </c>
      <c r="AD120" s="1226">
        <v>0</v>
      </c>
      <c r="AE120" s="1226">
        <v>0</v>
      </c>
      <c r="AF120" s="1226">
        <v>0</v>
      </c>
      <c r="AG120" s="1226">
        <v>0</v>
      </c>
      <c r="AH120" s="32">
        <v>15.6</v>
      </c>
      <c r="AI120" s="1224">
        <v>0</v>
      </c>
      <c r="AJ120" s="1224">
        <v>0</v>
      </c>
      <c r="AK120" s="1224">
        <v>0</v>
      </c>
      <c r="AL120" s="1224">
        <v>0</v>
      </c>
      <c r="AM120" s="1224">
        <v>20</v>
      </c>
      <c r="AN120" s="1224">
        <v>0</v>
      </c>
      <c r="AO120" s="1224">
        <v>0</v>
      </c>
      <c r="AP120" s="1224">
        <v>0</v>
      </c>
      <c r="AQ120" s="1224">
        <v>0</v>
      </c>
      <c r="AR120" s="1224">
        <v>0</v>
      </c>
      <c r="AS120" s="1224">
        <v>0</v>
      </c>
      <c r="AT120" s="1224">
        <v>0</v>
      </c>
      <c r="AU120" s="1224">
        <v>20</v>
      </c>
      <c r="AV120" s="1225">
        <v>20</v>
      </c>
      <c r="AW120" s="1225">
        <v>0</v>
      </c>
      <c r="AX120" s="1225">
        <v>0</v>
      </c>
      <c r="AY120" s="1225">
        <v>0</v>
      </c>
      <c r="AZ120" s="1225">
        <v>0</v>
      </c>
      <c r="BA120" s="1248">
        <v>0</v>
      </c>
      <c r="BB120" s="1225">
        <v>20</v>
      </c>
      <c r="BC120" s="1226">
        <v>50</v>
      </c>
      <c r="BD120" s="1226">
        <v>0</v>
      </c>
      <c r="BE120" s="1226">
        <v>0</v>
      </c>
      <c r="BF120" s="1249">
        <v>0</v>
      </c>
      <c r="BG120" s="1238">
        <v>0</v>
      </c>
      <c r="BH120" s="1229">
        <v>50</v>
      </c>
      <c r="BI120" s="1224">
        <v>0</v>
      </c>
      <c r="BJ120" s="1224">
        <v>0</v>
      </c>
      <c r="BL120" s="1230">
        <v>0</v>
      </c>
      <c r="BM120" s="1230">
        <v>0</v>
      </c>
      <c r="BO120" s="1229">
        <v>0</v>
      </c>
      <c r="BP120" s="1229">
        <v>0</v>
      </c>
      <c r="BR120" s="1243" t="s">
        <v>570</v>
      </c>
      <c r="BV120" s="60"/>
    </row>
    <row r="121" spans="1:82" x14ac:dyDescent="0.25">
      <c r="A121" s="1246">
        <f t="shared" si="1"/>
        <v>118</v>
      </c>
      <c r="B121" s="930" t="str">
        <f>Coltura!C119</f>
        <v>F28</v>
      </c>
      <c r="C121" s="930" t="str">
        <f>Coltura!D119</f>
        <v>Prato misto</v>
      </c>
      <c r="D121" s="41" t="s">
        <v>645</v>
      </c>
      <c r="E121" s="32" t="s">
        <v>645</v>
      </c>
      <c r="F121" s="1224" t="s">
        <v>645</v>
      </c>
      <c r="AH121" s="32" t="s">
        <v>645</v>
      </c>
      <c r="BA121" s="1248"/>
      <c r="BB121" s="1225">
        <v>0</v>
      </c>
      <c r="BF121" s="1249"/>
      <c r="BG121" s="1228"/>
      <c r="BH121" s="1229">
        <v>0</v>
      </c>
      <c r="BI121" s="1224">
        <v>0</v>
      </c>
      <c r="BJ121" s="1224">
        <v>0</v>
      </c>
      <c r="BL121" s="1230">
        <v>0</v>
      </c>
      <c r="BM121" s="1230">
        <v>0</v>
      </c>
      <c r="BO121" s="1229">
        <v>0</v>
      </c>
      <c r="BP121" s="1229">
        <v>0</v>
      </c>
      <c r="BR121" s="1243" t="s">
        <v>570</v>
      </c>
      <c r="BV121" s="60"/>
    </row>
    <row r="122" spans="1:82" s="88" customFormat="1" x14ac:dyDescent="0.25">
      <c r="A122" s="1246">
        <f t="shared" si="1"/>
        <v>119</v>
      </c>
      <c r="B122" s="930" t="str">
        <f>Coltura!C120</f>
        <v>F29</v>
      </c>
      <c r="C122" s="930" t="str">
        <f>Coltura!D120</f>
        <v>Segale insilato</v>
      </c>
      <c r="D122" s="41" t="s">
        <v>645</v>
      </c>
      <c r="E122" s="88" t="s">
        <v>645</v>
      </c>
      <c r="F122" s="1235" t="s">
        <v>645</v>
      </c>
      <c r="G122" s="1236"/>
      <c r="H122" s="1236"/>
      <c r="I122" s="1236"/>
      <c r="J122" s="1236"/>
      <c r="K122" s="1237"/>
      <c r="L122" s="1237"/>
      <c r="M122" s="1237"/>
      <c r="N122" s="1237"/>
      <c r="P122" s="1235"/>
      <c r="Q122" s="1235"/>
      <c r="R122" s="1235"/>
      <c r="S122" s="1235"/>
      <c r="T122" s="1235"/>
      <c r="U122" s="1235"/>
      <c r="V122" s="1235"/>
      <c r="W122" s="1235"/>
      <c r="X122" s="1236"/>
      <c r="Y122" s="1236"/>
      <c r="Z122" s="1236"/>
      <c r="AA122" s="1236"/>
      <c r="AB122" s="1236"/>
      <c r="AC122" s="1237"/>
      <c r="AD122" s="1237"/>
      <c r="AE122" s="1237"/>
      <c r="AF122" s="1237"/>
      <c r="AG122" s="1237"/>
      <c r="AH122" s="88" t="s">
        <v>645</v>
      </c>
      <c r="AI122" s="1235"/>
      <c r="AJ122" s="1235"/>
      <c r="AK122" s="1235"/>
      <c r="AL122" s="1235"/>
      <c r="AM122" s="1235"/>
      <c r="AN122" s="1235"/>
      <c r="AO122" s="1235"/>
      <c r="AP122" s="1235"/>
      <c r="AQ122" s="1235"/>
      <c r="AR122" s="1235"/>
      <c r="AS122" s="1235"/>
      <c r="AT122" s="1235"/>
      <c r="AU122" s="1235"/>
      <c r="AV122" s="1236"/>
      <c r="AW122" s="1236"/>
      <c r="AX122" s="1236"/>
      <c r="AY122" s="1236"/>
      <c r="AZ122" s="1236"/>
      <c r="BA122" s="1236"/>
      <c r="BB122" s="1236">
        <v>0</v>
      </c>
      <c r="BC122" s="1237"/>
      <c r="BD122" s="1237"/>
      <c r="BE122" s="1237"/>
      <c r="BF122" s="1237"/>
      <c r="BG122" s="1228"/>
      <c r="BH122" s="1239">
        <v>0</v>
      </c>
      <c r="BI122" s="1235">
        <v>0</v>
      </c>
      <c r="BJ122" s="1235">
        <v>0</v>
      </c>
      <c r="BK122" s="1235"/>
      <c r="BL122" s="1240">
        <v>0</v>
      </c>
      <c r="BM122" s="1240">
        <v>0</v>
      </c>
      <c r="BN122" s="1240"/>
      <c r="BO122" s="1239">
        <v>0</v>
      </c>
      <c r="BP122" s="1239">
        <v>0</v>
      </c>
      <c r="BQ122" s="1242"/>
      <c r="BR122" s="1243" t="s">
        <v>570</v>
      </c>
      <c r="BS122" s="1244"/>
      <c r="BV122" s="1245"/>
      <c r="BW122" s="1239"/>
      <c r="BX122" s="1239"/>
      <c r="BY122" s="1239"/>
      <c r="BZ122" s="1239"/>
      <c r="CA122" s="1244"/>
      <c r="CB122" s="1244"/>
      <c r="CC122" s="1244"/>
      <c r="CD122" s="1244"/>
    </row>
    <row r="123" spans="1:82" s="88" customFormat="1" x14ac:dyDescent="0.25">
      <c r="A123" s="1246">
        <f t="shared" si="1"/>
        <v>120</v>
      </c>
      <c r="B123" s="930" t="str">
        <f>Coltura!C121</f>
        <v>F30</v>
      </c>
      <c r="C123" s="930" t="str">
        <f>Coltura!D121</f>
        <v>Triticale insilato</v>
      </c>
      <c r="D123" s="41" t="s">
        <v>645</v>
      </c>
      <c r="E123" s="88" t="s">
        <v>645</v>
      </c>
      <c r="F123" s="1235" t="s">
        <v>645</v>
      </c>
      <c r="G123" s="1236"/>
      <c r="H123" s="1236"/>
      <c r="I123" s="1236"/>
      <c r="J123" s="1236"/>
      <c r="K123" s="1237"/>
      <c r="L123" s="1237"/>
      <c r="M123" s="1237"/>
      <c r="N123" s="1237"/>
      <c r="P123" s="1235"/>
      <c r="Q123" s="1235"/>
      <c r="R123" s="1235"/>
      <c r="S123" s="1235"/>
      <c r="T123" s="1235"/>
      <c r="U123" s="1235"/>
      <c r="V123" s="1235"/>
      <c r="W123" s="1235"/>
      <c r="X123" s="1236"/>
      <c r="Y123" s="1236"/>
      <c r="Z123" s="1236"/>
      <c r="AA123" s="1236"/>
      <c r="AB123" s="1236"/>
      <c r="AC123" s="1237"/>
      <c r="AD123" s="1237"/>
      <c r="AE123" s="1237"/>
      <c r="AF123" s="1237"/>
      <c r="AG123" s="1237"/>
      <c r="AH123" s="88" t="s">
        <v>645</v>
      </c>
      <c r="AI123" s="1235"/>
      <c r="AJ123" s="1235"/>
      <c r="AK123" s="1235"/>
      <c r="AL123" s="1235"/>
      <c r="AM123" s="1235"/>
      <c r="AN123" s="1235"/>
      <c r="AO123" s="1235"/>
      <c r="AP123" s="1235"/>
      <c r="AQ123" s="1235"/>
      <c r="AR123" s="1235"/>
      <c r="AS123" s="1235"/>
      <c r="AT123" s="1235"/>
      <c r="AU123" s="1235"/>
      <c r="AV123" s="1236"/>
      <c r="AW123" s="1236"/>
      <c r="AX123" s="1236"/>
      <c r="AY123" s="1236"/>
      <c r="AZ123" s="1236"/>
      <c r="BA123" s="1236"/>
      <c r="BB123" s="1236">
        <v>0</v>
      </c>
      <c r="BC123" s="1237"/>
      <c r="BD123" s="1237"/>
      <c r="BE123" s="1237"/>
      <c r="BF123" s="1237"/>
      <c r="BG123" s="1228"/>
      <c r="BH123" s="1239">
        <v>0</v>
      </c>
      <c r="BI123" s="1235">
        <v>0</v>
      </c>
      <c r="BJ123" s="1235">
        <v>0</v>
      </c>
      <c r="BK123" s="1235"/>
      <c r="BL123" s="1240">
        <v>0</v>
      </c>
      <c r="BM123" s="1240">
        <v>0</v>
      </c>
      <c r="BN123" s="1240"/>
      <c r="BO123" s="1239">
        <v>0</v>
      </c>
      <c r="BP123" s="1239">
        <v>0</v>
      </c>
      <c r="BQ123" s="1242"/>
      <c r="BR123" s="1243" t="s">
        <v>570</v>
      </c>
      <c r="BS123" s="1244"/>
      <c r="BV123" s="1245"/>
      <c r="BW123" s="1239"/>
      <c r="BX123" s="1239"/>
      <c r="BY123" s="1239"/>
      <c r="BZ123" s="1239"/>
      <c r="CA123" s="1244"/>
      <c r="CB123" s="1244"/>
      <c r="CC123" s="1244"/>
      <c r="CD123" s="1244"/>
    </row>
    <row r="124" spans="1:82" s="88" customFormat="1" x14ac:dyDescent="0.25">
      <c r="A124" s="1246">
        <f t="shared" si="1"/>
        <v>121</v>
      </c>
      <c r="B124" s="930" t="str">
        <f>Coltura!C122</f>
        <v>O1</v>
      </c>
      <c r="C124" s="930" t="str">
        <f>Coltura!D122</f>
        <v>Aglio</v>
      </c>
      <c r="D124" s="41" t="s">
        <v>645</v>
      </c>
      <c r="E124" s="88">
        <v>9</v>
      </c>
      <c r="F124" s="1235">
        <v>110</v>
      </c>
      <c r="G124" s="1236">
        <v>75</v>
      </c>
      <c r="H124" s="1236">
        <v>100</v>
      </c>
      <c r="I124" s="1236">
        <v>50</v>
      </c>
      <c r="J124" s="1236">
        <v>100</v>
      </c>
      <c r="K124" s="1237">
        <v>130</v>
      </c>
      <c r="L124" s="1237">
        <v>180</v>
      </c>
      <c r="M124" s="1237">
        <v>70</v>
      </c>
      <c r="N124" s="1237">
        <v>180</v>
      </c>
      <c r="O124" s="88">
        <v>7</v>
      </c>
      <c r="P124" s="1235">
        <v>25</v>
      </c>
      <c r="Q124" s="1235">
        <v>20</v>
      </c>
      <c r="R124" s="1235">
        <v>0</v>
      </c>
      <c r="S124" s="1235">
        <v>15</v>
      </c>
      <c r="T124" s="1235">
        <v>0</v>
      </c>
      <c r="U124" s="1235">
        <v>15</v>
      </c>
      <c r="V124" s="1235">
        <v>15</v>
      </c>
      <c r="W124" s="1235">
        <v>0</v>
      </c>
      <c r="X124" s="1236">
        <v>15</v>
      </c>
      <c r="Y124" s="1236">
        <v>0</v>
      </c>
      <c r="Z124" s="1236">
        <v>0</v>
      </c>
      <c r="AA124" s="1236">
        <v>0</v>
      </c>
      <c r="AB124" s="1236">
        <v>0</v>
      </c>
      <c r="AC124" s="1237">
        <v>20</v>
      </c>
      <c r="AD124" s="1237">
        <v>0</v>
      </c>
      <c r="AE124" s="1237">
        <v>0</v>
      </c>
      <c r="AF124" s="1237">
        <v>0</v>
      </c>
      <c r="AG124" s="1237">
        <v>0</v>
      </c>
      <c r="AH124" s="88">
        <v>11</v>
      </c>
      <c r="AI124" s="1235">
        <v>25</v>
      </c>
      <c r="AJ124" s="1235">
        <v>15</v>
      </c>
      <c r="AK124" s="1235">
        <v>0</v>
      </c>
      <c r="AL124" s="1235">
        <v>0</v>
      </c>
      <c r="AM124" s="1235">
        <v>20</v>
      </c>
      <c r="AN124" s="1235">
        <v>30</v>
      </c>
      <c r="AO124" s="1235">
        <v>0</v>
      </c>
      <c r="AP124" s="1235">
        <v>20</v>
      </c>
      <c r="AQ124" s="1235">
        <v>0</v>
      </c>
      <c r="AR124" s="1235">
        <v>0</v>
      </c>
      <c r="AS124" s="1235">
        <v>0</v>
      </c>
      <c r="AT124" s="1235">
        <v>0</v>
      </c>
      <c r="AU124" s="1235">
        <v>60</v>
      </c>
      <c r="AV124" s="1236">
        <v>15</v>
      </c>
      <c r="AW124" s="1236">
        <v>10</v>
      </c>
      <c r="AX124" s="1236">
        <v>0</v>
      </c>
      <c r="AY124" s="1236">
        <v>0</v>
      </c>
      <c r="AZ124" s="1236">
        <v>0</v>
      </c>
      <c r="BA124" s="1236">
        <v>0</v>
      </c>
      <c r="BB124" s="1236">
        <v>25</v>
      </c>
      <c r="BC124" s="1237">
        <v>20</v>
      </c>
      <c r="BD124" s="1237">
        <v>0</v>
      </c>
      <c r="BE124" s="1237">
        <v>0</v>
      </c>
      <c r="BF124" s="1237">
        <v>0</v>
      </c>
      <c r="BG124" s="1238">
        <v>0</v>
      </c>
      <c r="BH124" s="1239">
        <v>20</v>
      </c>
      <c r="BI124" s="1235">
        <v>0</v>
      </c>
      <c r="BJ124" s="1235">
        <v>0</v>
      </c>
      <c r="BK124" s="1235"/>
      <c r="BL124" s="1240">
        <v>0</v>
      </c>
      <c r="BM124" s="1240">
        <v>0</v>
      </c>
      <c r="BN124" s="1240"/>
      <c r="BO124" s="1239">
        <v>0</v>
      </c>
      <c r="BP124" s="1239">
        <v>0</v>
      </c>
      <c r="BQ124" s="1242"/>
      <c r="BR124" s="1243" t="s">
        <v>570</v>
      </c>
      <c r="BS124" s="1244"/>
      <c r="BV124" s="1245"/>
      <c r="BW124" s="1239"/>
      <c r="BX124" s="1239"/>
      <c r="BY124" s="1239"/>
      <c r="BZ124" s="1239"/>
      <c r="CA124" s="1244"/>
      <c r="CB124" s="1244"/>
      <c r="CC124" s="1244"/>
      <c r="CD124" s="1244"/>
    </row>
    <row r="125" spans="1:82" s="1276" customFormat="1" x14ac:dyDescent="0.25">
      <c r="A125" s="1246">
        <f t="shared" si="1"/>
        <v>122</v>
      </c>
      <c r="B125" s="1263" t="str">
        <f>Coltura!C123</f>
        <v>O2</v>
      </c>
      <c r="C125" s="1263" t="str">
        <f>Coltura!D123</f>
        <v>Asparago verde (pianta intera)</v>
      </c>
      <c r="D125" s="1275" t="s">
        <v>645</v>
      </c>
      <c r="E125" s="1276">
        <v>8</v>
      </c>
      <c r="F125" s="1252">
        <v>180</v>
      </c>
      <c r="G125" s="1253">
        <v>60</v>
      </c>
      <c r="H125" s="1253">
        <v>100</v>
      </c>
      <c r="I125" s="1253">
        <v>30</v>
      </c>
      <c r="J125" s="1236">
        <v>100</v>
      </c>
      <c r="K125" s="1237">
        <v>160</v>
      </c>
      <c r="L125" s="1237">
        <v>200</v>
      </c>
      <c r="M125" s="1237">
        <v>120</v>
      </c>
      <c r="N125" s="1237">
        <v>200</v>
      </c>
      <c r="O125" s="1276">
        <v>7</v>
      </c>
      <c r="P125" s="1235">
        <v>25</v>
      </c>
      <c r="Q125" s="1235">
        <v>20</v>
      </c>
      <c r="R125" s="1235">
        <v>0</v>
      </c>
      <c r="S125" s="1235">
        <v>20</v>
      </c>
      <c r="T125" s="1235">
        <v>0</v>
      </c>
      <c r="U125" s="1235">
        <v>0</v>
      </c>
      <c r="V125" s="1235">
        <v>0</v>
      </c>
      <c r="W125" s="1235">
        <v>0</v>
      </c>
      <c r="X125" s="1236">
        <v>15</v>
      </c>
      <c r="Y125" s="1236">
        <v>10</v>
      </c>
      <c r="Z125" s="1236">
        <v>0</v>
      </c>
      <c r="AA125" s="1236">
        <v>0</v>
      </c>
      <c r="AB125" s="1236">
        <v>0</v>
      </c>
      <c r="AC125" s="1237">
        <v>30</v>
      </c>
      <c r="AD125" s="1237">
        <v>30</v>
      </c>
      <c r="AE125" s="1237">
        <v>0</v>
      </c>
      <c r="AF125" s="1237">
        <v>0</v>
      </c>
      <c r="AG125" s="1237">
        <v>0</v>
      </c>
      <c r="AH125" s="1276">
        <v>9</v>
      </c>
      <c r="AI125" s="1235">
        <v>25</v>
      </c>
      <c r="AJ125" s="1235">
        <v>20</v>
      </c>
      <c r="AK125" s="1235">
        <v>0</v>
      </c>
      <c r="AL125" s="1235">
        <v>0</v>
      </c>
      <c r="AM125" s="1235">
        <v>15</v>
      </c>
      <c r="AN125" s="1235">
        <v>0</v>
      </c>
      <c r="AO125" s="1235">
        <v>20</v>
      </c>
      <c r="AP125" s="1235">
        <v>0</v>
      </c>
      <c r="AQ125" s="1235">
        <v>0</v>
      </c>
      <c r="AR125" s="1235">
        <v>0</v>
      </c>
      <c r="AS125" s="1235">
        <v>0</v>
      </c>
      <c r="AT125" s="1235">
        <v>0</v>
      </c>
      <c r="AU125" s="1235">
        <v>30</v>
      </c>
      <c r="AV125" s="1236">
        <v>15</v>
      </c>
      <c r="AW125" s="1236">
        <v>10</v>
      </c>
      <c r="AX125" s="1236">
        <v>0</v>
      </c>
      <c r="AY125" s="1236">
        <v>0</v>
      </c>
      <c r="AZ125" s="1236">
        <v>0</v>
      </c>
      <c r="BA125" s="1236">
        <v>0</v>
      </c>
      <c r="BB125" s="1236">
        <v>30</v>
      </c>
      <c r="BC125" s="1237">
        <v>30</v>
      </c>
      <c r="BD125" s="1237">
        <v>0</v>
      </c>
      <c r="BE125" s="1237">
        <v>0</v>
      </c>
      <c r="BF125" s="1237">
        <v>0</v>
      </c>
      <c r="BG125" s="1238">
        <v>0</v>
      </c>
      <c r="BH125" s="1239">
        <v>30</v>
      </c>
      <c r="BI125" s="1235">
        <v>0</v>
      </c>
      <c r="BJ125" s="1235">
        <v>0</v>
      </c>
      <c r="BK125" s="1235"/>
      <c r="BL125" s="1240">
        <v>0</v>
      </c>
      <c r="BM125" s="1240">
        <v>0</v>
      </c>
      <c r="BN125" s="1240"/>
      <c r="BO125" s="1239">
        <v>0</v>
      </c>
      <c r="BP125" s="1239">
        <v>0</v>
      </c>
      <c r="BQ125" s="1242"/>
      <c r="BR125" s="1277" t="s">
        <v>570</v>
      </c>
      <c r="BS125" s="1244"/>
      <c r="BV125" s="1278"/>
      <c r="BW125" s="1239"/>
      <c r="BX125" s="1239"/>
      <c r="BY125" s="1239"/>
      <c r="BZ125" s="1239"/>
      <c r="CA125" s="1244"/>
      <c r="CB125" s="1244"/>
      <c r="CC125" s="1244"/>
      <c r="CD125" s="1244"/>
    </row>
    <row r="126" spans="1:82" s="1276" customFormat="1" x14ac:dyDescent="0.25">
      <c r="A126" s="1246">
        <f t="shared" si="1"/>
        <v>123</v>
      </c>
      <c r="B126" s="1263" t="str">
        <f>Coltura!C124</f>
        <v>O3</v>
      </c>
      <c r="C126" s="1263" t="str">
        <f>Coltura!D124</f>
        <v>Asparago verde alta produzione</v>
      </c>
      <c r="D126" s="1275" t="s">
        <v>645</v>
      </c>
      <c r="E126" s="1276">
        <v>10.5</v>
      </c>
      <c r="F126" s="1252">
        <v>200</v>
      </c>
      <c r="G126" s="1253">
        <v>100</v>
      </c>
      <c r="H126" s="1253">
        <v>150</v>
      </c>
      <c r="I126" s="1253">
        <v>50</v>
      </c>
      <c r="J126" s="1236">
        <v>150</v>
      </c>
      <c r="K126" s="1237">
        <v>160</v>
      </c>
      <c r="L126" s="1237">
        <v>240</v>
      </c>
      <c r="M126" s="1237">
        <v>120</v>
      </c>
      <c r="N126" s="1237">
        <v>240</v>
      </c>
      <c r="O126" s="1276">
        <v>9</v>
      </c>
      <c r="P126" s="1235">
        <v>25</v>
      </c>
      <c r="Q126" s="1235">
        <v>20</v>
      </c>
      <c r="R126" s="1235">
        <v>0</v>
      </c>
      <c r="S126" s="1235">
        <v>20</v>
      </c>
      <c r="T126" s="1235">
        <v>0</v>
      </c>
      <c r="U126" s="1235">
        <v>0</v>
      </c>
      <c r="V126" s="1235">
        <v>0</v>
      </c>
      <c r="W126" s="1235">
        <v>0</v>
      </c>
      <c r="X126" s="1236">
        <v>20</v>
      </c>
      <c r="Y126" s="1236">
        <v>10</v>
      </c>
      <c r="Z126" s="1236">
        <v>0</v>
      </c>
      <c r="AA126" s="1236">
        <v>0</v>
      </c>
      <c r="AB126" s="1236">
        <v>0</v>
      </c>
      <c r="AC126" s="1237">
        <v>30</v>
      </c>
      <c r="AD126" s="1237">
        <v>30</v>
      </c>
      <c r="AE126" s="1237">
        <v>0</v>
      </c>
      <c r="AF126" s="1237">
        <v>0</v>
      </c>
      <c r="AG126" s="1237">
        <v>0</v>
      </c>
      <c r="AH126" s="1276">
        <v>12</v>
      </c>
      <c r="AI126" s="1235">
        <v>25</v>
      </c>
      <c r="AJ126" s="1235">
        <v>20</v>
      </c>
      <c r="AK126" s="1235">
        <v>0</v>
      </c>
      <c r="AL126" s="1235">
        <v>0</v>
      </c>
      <c r="AM126" s="1235">
        <v>15</v>
      </c>
      <c r="AN126" s="1235">
        <v>0</v>
      </c>
      <c r="AO126" s="1235">
        <v>20</v>
      </c>
      <c r="AP126" s="1235">
        <v>0</v>
      </c>
      <c r="AQ126" s="1235">
        <v>0</v>
      </c>
      <c r="AR126" s="1235">
        <v>0</v>
      </c>
      <c r="AS126" s="1235">
        <v>0</v>
      </c>
      <c r="AT126" s="1235">
        <v>0</v>
      </c>
      <c r="AU126" s="1235">
        <v>30</v>
      </c>
      <c r="AV126" s="1236">
        <v>20</v>
      </c>
      <c r="AW126" s="1236">
        <v>10</v>
      </c>
      <c r="AX126" s="1236">
        <v>0</v>
      </c>
      <c r="AY126" s="1236">
        <v>0</v>
      </c>
      <c r="AZ126" s="1236">
        <v>0</v>
      </c>
      <c r="BA126" s="1236">
        <v>0</v>
      </c>
      <c r="BB126" s="1236">
        <v>30</v>
      </c>
      <c r="BC126" s="1237">
        <v>30</v>
      </c>
      <c r="BD126" s="1237">
        <v>0</v>
      </c>
      <c r="BE126" s="1237">
        <v>0</v>
      </c>
      <c r="BF126" s="1237">
        <v>0</v>
      </c>
      <c r="BG126" s="1238">
        <v>0</v>
      </c>
      <c r="BH126" s="1239">
        <v>30</v>
      </c>
      <c r="BI126" s="1235">
        <v>0</v>
      </c>
      <c r="BJ126" s="1235">
        <v>0</v>
      </c>
      <c r="BK126" s="1235"/>
      <c r="BL126" s="1240">
        <v>0</v>
      </c>
      <c r="BM126" s="1240">
        <v>0</v>
      </c>
      <c r="BN126" s="1240"/>
      <c r="BO126" s="1239">
        <v>0</v>
      </c>
      <c r="BP126" s="1239">
        <v>0</v>
      </c>
      <c r="BQ126" s="1242"/>
      <c r="BR126" s="1277" t="s">
        <v>570</v>
      </c>
      <c r="BS126" s="1244"/>
      <c r="BV126" s="1278"/>
      <c r="BW126" s="1239"/>
      <c r="BX126" s="1239"/>
      <c r="BY126" s="1239"/>
      <c r="BZ126" s="1239"/>
      <c r="CA126" s="1244"/>
      <c r="CB126" s="1244"/>
      <c r="CC126" s="1244"/>
      <c r="CD126" s="1244"/>
    </row>
    <row r="127" spans="1:82" s="88" customFormat="1" x14ac:dyDescent="0.25">
      <c r="A127" s="1246">
        <f t="shared" si="1"/>
        <v>124</v>
      </c>
      <c r="B127" s="1263" t="str">
        <f>Coltura!C125</f>
        <v>O4</v>
      </c>
      <c r="C127" s="930" t="str">
        <f>Coltura!D125</f>
        <v>Basilico media produzione</v>
      </c>
      <c r="D127" s="41" t="s">
        <v>645</v>
      </c>
      <c r="E127" s="88">
        <v>20</v>
      </c>
      <c r="F127" s="1235">
        <v>100</v>
      </c>
      <c r="G127" s="1236">
        <v>70</v>
      </c>
      <c r="H127" s="1236">
        <v>90</v>
      </c>
      <c r="I127" s="1236">
        <v>50</v>
      </c>
      <c r="J127" s="1236">
        <v>90</v>
      </c>
      <c r="K127" s="1237">
        <v>80</v>
      </c>
      <c r="L127" s="1237">
        <v>120</v>
      </c>
      <c r="M127" s="1237">
        <v>40</v>
      </c>
      <c r="N127" s="1237">
        <v>120</v>
      </c>
      <c r="O127" s="88">
        <v>16</v>
      </c>
      <c r="P127" s="1235">
        <v>30</v>
      </c>
      <c r="Q127" s="1235">
        <v>20</v>
      </c>
      <c r="R127" s="1235">
        <v>0</v>
      </c>
      <c r="S127" s="1235">
        <v>20</v>
      </c>
      <c r="T127" s="1235">
        <v>0</v>
      </c>
      <c r="U127" s="1235">
        <v>20</v>
      </c>
      <c r="V127" s="1235">
        <v>20</v>
      </c>
      <c r="W127" s="1235">
        <v>0</v>
      </c>
      <c r="X127" s="1236">
        <v>15</v>
      </c>
      <c r="Y127" s="1236">
        <v>15</v>
      </c>
      <c r="Z127" s="1236">
        <v>0</v>
      </c>
      <c r="AA127" s="1236">
        <v>0</v>
      </c>
      <c r="AB127" s="1236">
        <v>0</v>
      </c>
      <c r="AC127" s="1237">
        <v>15</v>
      </c>
      <c r="AD127" s="1237">
        <v>30</v>
      </c>
      <c r="AE127" s="1237">
        <v>0</v>
      </c>
      <c r="AF127" s="1237">
        <v>0</v>
      </c>
      <c r="AG127" s="1237">
        <v>0</v>
      </c>
      <c r="AH127" s="88">
        <v>24</v>
      </c>
      <c r="AI127" s="1235">
        <v>30</v>
      </c>
      <c r="AJ127" s="1235">
        <v>20</v>
      </c>
      <c r="AK127" s="1235">
        <v>0</v>
      </c>
      <c r="AL127" s="1235">
        <v>0</v>
      </c>
      <c r="AM127" s="1235">
        <v>15</v>
      </c>
      <c r="AN127" s="1235">
        <v>30</v>
      </c>
      <c r="AO127" s="1235">
        <v>20</v>
      </c>
      <c r="AP127" s="1235">
        <v>0</v>
      </c>
      <c r="AQ127" s="1235">
        <v>0</v>
      </c>
      <c r="AR127" s="1235">
        <v>0</v>
      </c>
      <c r="AS127" s="1235">
        <v>0</v>
      </c>
      <c r="AT127" s="1235">
        <v>0</v>
      </c>
      <c r="AU127" s="1235">
        <v>40</v>
      </c>
      <c r="AV127" s="1236">
        <v>15</v>
      </c>
      <c r="AW127" s="1236">
        <v>10</v>
      </c>
      <c r="AX127" s="1236">
        <v>0</v>
      </c>
      <c r="AY127" s="1236">
        <v>0</v>
      </c>
      <c r="AZ127" s="1236">
        <v>0</v>
      </c>
      <c r="BA127" s="1236">
        <v>0</v>
      </c>
      <c r="BB127" s="1236">
        <v>25</v>
      </c>
      <c r="BC127" s="1237">
        <v>15</v>
      </c>
      <c r="BD127" s="1237">
        <v>0</v>
      </c>
      <c r="BE127" s="1237">
        <v>0</v>
      </c>
      <c r="BF127" s="1237">
        <v>0</v>
      </c>
      <c r="BG127" s="1279">
        <v>0</v>
      </c>
      <c r="BH127" s="1239">
        <v>15</v>
      </c>
      <c r="BI127" s="1235">
        <v>0</v>
      </c>
      <c r="BJ127" s="1235">
        <v>0</v>
      </c>
      <c r="BK127" s="1235"/>
      <c r="BL127" s="1240">
        <v>0</v>
      </c>
      <c r="BM127" s="1240">
        <v>0</v>
      </c>
      <c r="BN127" s="1240"/>
      <c r="BO127" s="1239">
        <v>0</v>
      </c>
      <c r="BP127" s="1239">
        <v>0</v>
      </c>
      <c r="BQ127" s="1242"/>
      <c r="BR127" s="1243" t="s">
        <v>570</v>
      </c>
      <c r="BS127" s="1244"/>
      <c r="BV127" s="1245"/>
      <c r="BW127" s="1239"/>
      <c r="BX127" s="1239"/>
      <c r="BY127" s="1239"/>
      <c r="BZ127" s="1239"/>
      <c r="CA127" s="1244"/>
      <c r="CB127" s="1244"/>
      <c r="CC127" s="1244"/>
      <c r="CD127" s="1244"/>
    </row>
    <row r="128" spans="1:82" s="88" customFormat="1" x14ac:dyDescent="0.25">
      <c r="A128" s="1246">
        <f t="shared" si="1"/>
        <v>125</v>
      </c>
      <c r="B128" s="930" t="str">
        <f>Coltura!C126</f>
        <v>O5</v>
      </c>
      <c r="C128" s="1191" t="str">
        <f>Coltura!D126</f>
        <v>Basilico alta produzione più tagli</v>
      </c>
      <c r="D128" s="41" t="s">
        <v>645</v>
      </c>
      <c r="E128" s="1280">
        <v>55</v>
      </c>
      <c r="F128" s="1281">
        <f>IF($BR128="sì",(BS128+(BU128*(Codici!$BA$2-1))))</f>
        <v>60</v>
      </c>
      <c r="G128" s="1236">
        <v>80</v>
      </c>
      <c r="H128" s="1236">
        <v>100</v>
      </c>
      <c r="I128" s="1253">
        <v>60</v>
      </c>
      <c r="J128" s="1236">
        <v>100</v>
      </c>
      <c r="K128" s="1282">
        <f>IF($BR128="sì",(BW128+(CA128*(Codici!$BA$2-1))))</f>
        <v>70</v>
      </c>
      <c r="L128" s="1282">
        <f>IF($BR128="sì",(BX128+(CB128*(Codici!$BA$2-1))))</f>
        <v>110</v>
      </c>
      <c r="M128" s="1282">
        <f>IF($BR128="sì",(BY128+(CC128*(Codici!$BA$2-1))))</f>
        <v>40</v>
      </c>
      <c r="N128" s="1282">
        <f>IF($BR128="sì",(BZ128+(CD128*(Codici!$BA$2-1))))</f>
        <v>110</v>
      </c>
      <c r="O128" s="1280">
        <v>50</v>
      </c>
      <c r="P128" s="1235">
        <v>0</v>
      </c>
      <c r="Q128" s="1235">
        <v>20</v>
      </c>
      <c r="R128" s="1235">
        <v>0</v>
      </c>
      <c r="S128" s="1235">
        <v>20</v>
      </c>
      <c r="T128" s="1235">
        <v>0</v>
      </c>
      <c r="U128" s="1235">
        <v>20</v>
      </c>
      <c r="V128" s="1235">
        <v>20</v>
      </c>
      <c r="W128" s="1235">
        <v>0</v>
      </c>
      <c r="X128" s="1236">
        <v>10</v>
      </c>
      <c r="Y128" s="1236">
        <v>0</v>
      </c>
      <c r="Z128" s="1236">
        <v>0</v>
      </c>
      <c r="AA128" s="1236">
        <v>0</v>
      </c>
      <c r="AB128" s="1236">
        <v>0</v>
      </c>
      <c r="AC128" s="1237">
        <v>0</v>
      </c>
      <c r="AD128" s="1237">
        <v>0</v>
      </c>
      <c r="AE128" s="1237">
        <v>0</v>
      </c>
      <c r="AF128" s="1237">
        <v>0</v>
      </c>
      <c r="AG128" s="1237">
        <v>0</v>
      </c>
      <c r="AH128" s="1280">
        <v>60</v>
      </c>
      <c r="AI128" s="1235">
        <v>0</v>
      </c>
      <c r="AJ128" s="1235">
        <v>20</v>
      </c>
      <c r="AK128" s="1235">
        <v>0</v>
      </c>
      <c r="AL128" s="1235">
        <v>0</v>
      </c>
      <c r="AM128" s="1235">
        <v>15</v>
      </c>
      <c r="AN128" s="1235">
        <v>20</v>
      </c>
      <c r="AO128" s="1235">
        <v>0</v>
      </c>
      <c r="AP128" s="1235">
        <v>0</v>
      </c>
      <c r="AQ128" s="1235">
        <v>0</v>
      </c>
      <c r="AR128" s="1235">
        <v>0</v>
      </c>
      <c r="AS128" s="1235">
        <v>0</v>
      </c>
      <c r="AT128" s="1235">
        <v>0</v>
      </c>
      <c r="AU128" s="1235">
        <v>40</v>
      </c>
      <c r="AV128" s="1236">
        <v>10</v>
      </c>
      <c r="AW128" s="1236">
        <v>0</v>
      </c>
      <c r="AX128" s="1236">
        <v>0</v>
      </c>
      <c r="AY128" s="1236">
        <v>0</v>
      </c>
      <c r="AZ128" s="1236">
        <v>0</v>
      </c>
      <c r="BA128" s="1236">
        <v>0</v>
      </c>
      <c r="BB128" s="1236">
        <v>0</v>
      </c>
      <c r="BC128" s="1237">
        <v>0</v>
      </c>
      <c r="BD128" s="1237">
        <v>0</v>
      </c>
      <c r="BE128" s="1237">
        <v>0</v>
      </c>
      <c r="BF128" s="1237">
        <v>0</v>
      </c>
      <c r="BG128" s="1283">
        <v>0</v>
      </c>
      <c r="BH128" s="1239">
        <v>0</v>
      </c>
      <c r="BI128" s="1235">
        <v>0</v>
      </c>
      <c r="BJ128" s="1235">
        <v>0</v>
      </c>
      <c r="BK128" s="1235"/>
      <c r="BL128" s="1240">
        <v>0</v>
      </c>
      <c r="BM128" s="1240">
        <v>0</v>
      </c>
      <c r="BN128" s="1240"/>
      <c r="BO128" s="1239">
        <v>0</v>
      </c>
      <c r="BP128" s="1239">
        <v>0</v>
      </c>
      <c r="BQ128" s="1242"/>
      <c r="BR128" s="1284" t="s">
        <v>571</v>
      </c>
      <c r="BS128" s="1244">
        <v>90</v>
      </c>
      <c r="BT128" s="88" t="str">
        <f>IF(Codici!BA2&gt;1,"comprensivo di tutti i tagli","")</f>
        <v/>
      </c>
      <c r="BU128" s="1280">
        <v>30</v>
      </c>
      <c r="BV128" s="1285" t="s">
        <v>1510</v>
      </c>
      <c r="BW128" s="1239">
        <v>100</v>
      </c>
      <c r="BX128" s="1239">
        <v>150</v>
      </c>
      <c r="BY128" s="1239">
        <v>50</v>
      </c>
      <c r="BZ128" s="1239">
        <v>150</v>
      </c>
      <c r="CA128" s="1244">
        <v>30</v>
      </c>
      <c r="CB128" s="1244">
        <v>40</v>
      </c>
      <c r="CC128" s="1244">
        <v>10</v>
      </c>
      <c r="CD128" s="1244">
        <v>40</v>
      </c>
    </row>
    <row r="129" spans="1:82" x14ac:dyDescent="0.25">
      <c r="A129" s="1246">
        <f t="shared" si="1"/>
        <v>126</v>
      </c>
      <c r="B129" s="930" t="str">
        <f>Coltura!C127</f>
        <v>O6</v>
      </c>
      <c r="C129" s="930" t="str">
        <f>Coltura!D127</f>
        <v>Bietola da costa e da foglia m. fresco  media produzione</v>
      </c>
      <c r="D129" s="41" t="s">
        <v>645</v>
      </c>
      <c r="E129" s="32">
        <v>25</v>
      </c>
      <c r="F129" s="1224">
        <v>150</v>
      </c>
      <c r="G129" s="1225">
        <v>100</v>
      </c>
      <c r="H129" s="1225">
        <v>120</v>
      </c>
      <c r="I129" s="1253">
        <v>40</v>
      </c>
      <c r="J129" s="1225">
        <v>120</v>
      </c>
      <c r="K129" s="1226">
        <v>130</v>
      </c>
      <c r="L129" s="1226">
        <v>200</v>
      </c>
      <c r="M129" s="1226">
        <v>50</v>
      </c>
      <c r="N129" s="1226">
        <v>200</v>
      </c>
      <c r="O129" s="32">
        <v>20</v>
      </c>
      <c r="P129" s="1224">
        <v>20</v>
      </c>
      <c r="Q129" s="1224">
        <v>0</v>
      </c>
      <c r="R129" s="1224">
        <v>0</v>
      </c>
      <c r="S129" s="1224">
        <v>20</v>
      </c>
      <c r="T129" s="1224">
        <v>0</v>
      </c>
      <c r="U129" s="1224">
        <v>20</v>
      </c>
      <c r="V129" s="1224">
        <v>20</v>
      </c>
      <c r="W129" s="1224">
        <v>0</v>
      </c>
      <c r="X129" s="1225">
        <v>10</v>
      </c>
      <c r="Y129" s="1225">
        <v>0</v>
      </c>
      <c r="Z129" s="1225">
        <v>0</v>
      </c>
      <c r="AA129" s="1225">
        <v>0</v>
      </c>
      <c r="AB129" s="1225">
        <v>0</v>
      </c>
      <c r="AC129" s="1226">
        <v>25</v>
      </c>
      <c r="AD129" s="1226">
        <v>0</v>
      </c>
      <c r="AE129" s="1226">
        <v>0</v>
      </c>
      <c r="AF129" s="1226">
        <v>0</v>
      </c>
      <c r="AG129" s="1226">
        <v>0</v>
      </c>
      <c r="AH129" s="32">
        <v>30</v>
      </c>
      <c r="AI129" s="1224">
        <v>20</v>
      </c>
      <c r="AJ129" s="1224">
        <v>20</v>
      </c>
      <c r="AK129" s="1224">
        <v>0</v>
      </c>
      <c r="AL129" s="1224">
        <v>0</v>
      </c>
      <c r="AM129" s="1224">
        <v>15</v>
      </c>
      <c r="AN129" s="1224">
        <v>20</v>
      </c>
      <c r="AO129" s="1224">
        <v>0</v>
      </c>
      <c r="AP129" s="1224">
        <v>0</v>
      </c>
      <c r="AQ129" s="1224">
        <v>0</v>
      </c>
      <c r="AR129" s="1224">
        <v>0</v>
      </c>
      <c r="AS129" s="1224">
        <v>0</v>
      </c>
      <c r="AT129" s="1224">
        <v>0</v>
      </c>
      <c r="AU129" s="1224">
        <v>40</v>
      </c>
      <c r="AV129" s="1225">
        <v>10</v>
      </c>
      <c r="AW129" s="1225">
        <v>20</v>
      </c>
      <c r="AX129" s="1225">
        <v>0</v>
      </c>
      <c r="AY129" s="1225">
        <v>0</v>
      </c>
      <c r="AZ129" s="1225">
        <v>20</v>
      </c>
      <c r="BA129" s="1248">
        <v>0</v>
      </c>
      <c r="BB129" s="1225">
        <v>50</v>
      </c>
      <c r="BC129" s="1226">
        <v>25</v>
      </c>
      <c r="BD129" s="1226">
        <v>0</v>
      </c>
      <c r="BE129" s="1226">
        <v>0</v>
      </c>
      <c r="BF129" s="1249">
        <v>0</v>
      </c>
      <c r="BG129" s="1279">
        <v>0</v>
      </c>
      <c r="BH129" s="1229">
        <v>25</v>
      </c>
      <c r="BI129" s="1224">
        <v>0</v>
      </c>
      <c r="BJ129" s="1224">
        <v>0</v>
      </c>
      <c r="BL129" s="1230">
        <v>0</v>
      </c>
      <c r="BM129" s="1230">
        <v>0</v>
      </c>
      <c r="BO129" s="1229">
        <v>0</v>
      </c>
      <c r="BP129" s="1229">
        <v>0</v>
      </c>
      <c r="BR129" s="1243" t="s">
        <v>570</v>
      </c>
      <c r="BV129" s="60"/>
    </row>
    <row r="130" spans="1:82" x14ac:dyDescent="0.25">
      <c r="A130" s="1246">
        <f t="shared" si="1"/>
        <v>127</v>
      </c>
      <c r="B130" s="930" t="str">
        <f>Coltura!C128</f>
        <v>O7</v>
      </c>
      <c r="C130" s="1191" t="str">
        <f>Coltura!D128</f>
        <v>Bietola da costa e da foglia m. fresco  alta produzione più tagli</v>
      </c>
      <c r="D130" s="1192" t="s">
        <v>645</v>
      </c>
      <c r="E130" s="1286">
        <v>35</v>
      </c>
      <c r="F130" s="1281">
        <f>IF($BR130="sì",(BS130+(BU130*(Codici!$BA$2-1))))</f>
        <v>160</v>
      </c>
      <c r="G130" s="1225">
        <v>100</v>
      </c>
      <c r="H130" s="1225">
        <v>120</v>
      </c>
      <c r="I130" s="1225">
        <v>50</v>
      </c>
      <c r="J130" s="1225">
        <v>120</v>
      </c>
      <c r="K130" s="1282">
        <f>IF($BR130="sì",(BW130+(CA130*(Codici!$BA$2-1))))</f>
        <v>175</v>
      </c>
      <c r="L130" s="1282">
        <f>IF($BR130="sì",(BX130+(CB130*(Codici!$BA$2-1))))</f>
        <v>245</v>
      </c>
      <c r="M130" s="1254">
        <v>70</v>
      </c>
      <c r="N130" s="1282">
        <f>IF($BR130="sì",(BZ130+(CD130*(Codici!$BA$2-1))))</f>
        <v>245</v>
      </c>
      <c r="O130" s="1286">
        <v>20</v>
      </c>
      <c r="P130" s="1224">
        <v>0</v>
      </c>
      <c r="Q130" s="1224">
        <v>0</v>
      </c>
      <c r="R130" s="1224">
        <v>0</v>
      </c>
      <c r="S130" s="1224">
        <v>20</v>
      </c>
      <c r="T130" s="1224">
        <v>0</v>
      </c>
      <c r="U130" s="1224">
        <v>20</v>
      </c>
      <c r="V130" s="1224">
        <v>20</v>
      </c>
      <c r="W130" s="1224">
        <v>0</v>
      </c>
      <c r="X130" s="1225">
        <v>10</v>
      </c>
      <c r="Y130" s="1225">
        <v>0</v>
      </c>
      <c r="Z130" s="1225">
        <v>0</v>
      </c>
      <c r="AA130" s="1225">
        <v>0</v>
      </c>
      <c r="AB130" s="1225">
        <v>0</v>
      </c>
      <c r="AC130" s="1226">
        <v>25</v>
      </c>
      <c r="AD130" s="1226">
        <v>0</v>
      </c>
      <c r="AE130" s="1226">
        <v>0</v>
      </c>
      <c r="AF130" s="1226">
        <v>0</v>
      </c>
      <c r="AG130" s="1226">
        <v>0</v>
      </c>
      <c r="AH130" s="1286">
        <v>30</v>
      </c>
      <c r="AI130" s="1224">
        <v>0</v>
      </c>
      <c r="AJ130" s="1224">
        <v>20</v>
      </c>
      <c r="AK130" s="1224">
        <v>0</v>
      </c>
      <c r="AL130" s="1224">
        <v>0</v>
      </c>
      <c r="AM130" s="1224">
        <v>15</v>
      </c>
      <c r="AN130" s="1224">
        <v>20</v>
      </c>
      <c r="AO130" s="1224">
        <v>0</v>
      </c>
      <c r="AP130" s="1224">
        <v>0</v>
      </c>
      <c r="AQ130" s="1224">
        <v>0</v>
      </c>
      <c r="AR130" s="1224">
        <v>0</v>
      </c>
      <c r="AS130" s="1224">
        <v>0</v>
      </c>
      <c r="AT130" s="1224">
        <v>0</v>
      </c>
      <c r="AU130" s="1224">
        <v>40</v>
      </c>
      <c r="AV130" s="1225">
        <v>10</v>
      </c>
      <c r="AW130" s="1225">
        <v>20</v>
      </c>
      <c r="AX130" s="1225">
        <v>0</v>
      </c>
      <c r="AY130" s="1225">
        <v>0</v>
      </c>
      <c r="AZ130" s="1225">
        <v>20</v>
      </c>
      <c r="BA130" s="1248">
        <v>0</v>
      </c>
      <c r="BB130" s="1225">
        <v>50</v>
      </c>
      <c r="BC130" s="1226">
        <v>25</v>
      </c>
      <c r="BD130" s="1226">
        <v>0</v>
      </c>
      <c r="BE130" s="1226">
        <v>0</v>
      </c>
      <c r="BF130" s="1249">
        <v>0</v>
      </c>
      <c r="BG130" s="1279">
        <v>0</v>
      </c>
      <c r="BH130" s="1229">
        <v>25</v>
      </c>
      <c r="BI130" s="1224">
        <v>0</v>
      </c>
      <c r="BJ130" s="1224">
        <v>0</v>
      </c>
      <c r="BL130" s="1230">
        <v>0</v>
      </c>
      <c r="BM130" s="1230">
        <v>0</v>
      </c>
      <c r="BO130" s="1229">
        <v>0</v>
      </c>
      <c r="BP130" s="1229">
        <v>0</v>
      </c>
      <c r="BR130" s="1243" t="s">
        <v>571</v>
      </c>
      <c r="BS130" s="1244">
        <v>200</v>
      </c>
      <c r="BT130" s="88" t="s">
        <v>1532</v>
      </c>
      <c r="BU130" s="1280">
        <v>40</v>
      </c>
      <c r="BV130" s="1285" t="s">
        <v>1510</v>
      </c>
      <c r="BW130" s="1239">
        <v>175</v>
      </c>
      <c r="BX130" s="1239">
        <v>245</v>
      </c>
      <c r="BY130" s="1239">
        <v>45</v>
      </c>
      <c r="BZ130" s="1239">
        <v>245</v>
      </c>
      <c r="CA130" s="1244">
        <v>0</v>
      </c>
      <c r="CB130" s="1244">
        <v>0</v>
      </c>
      <c r="CC130" s="1244">
        <v>0</v>
      </c>
      <c r="CD130" s="1244">
        <v>0</v>
      </c>
    </row>
    <row r="131" spans="1:82" s="88" customFormat="1" x14ac:dyDescent="0.25">
      <c r="A131" s="1246">
        <f t="shared" si="1"/>
        <v>128</v>
      </c>
      <c r="B131" s="930" t="str">
        <f>Coltura!C129</f>
        <v>O8</v>
      </c>
      <c r="C131" s="1191" t="str">
        <f>Coltura!D129</f>
        <v>Bietola da foglie per l'industria media produzione più tagli</v>
      </c>
      <c r="D131" s="1192" t="s">
        <v>645</v>
      </c>
      <c r="E131" s="1280">
        <v>25</v>
      </c>
      <c r="F131" s="1281">
        <f>IF($BR131="sì",(BS131+(BU131*(Codici!$BA$2-1))))</f>
        <v>110</v>
      </c>
      <c r="G131" s="1236">
        <v>100</v>
      </c>
      <c r="H131" s="1236">
        <v>120</v>
      </c>
      <c r="I131" s="1253">
        <v>40</v>
      </c>
      <c r="J131" s="1236">
        <v>120</v>
      </c>
      <c r="K131" s="1282">
        <f>IF($BR131="sì",(BW131+(CA131*(Codici!$BA$2-1))))</f>
        <v>130</v>
      </c>
      <c r="L131" s="1282">
        <f>IF($BR131="sì",(BX131+(CB131*(Codici!$BA$2-1))))</f>
        <v>200</v>
      </c>
      <c r="M131" s="1282">
        <f>IF($BR131="sì",(BY131+(CC131*(Codici!$BA$2-1))))</f>
        <v>50</v>
      </c>
      <c r="N131" s="1282">
        <f>IF($BR131="sì",(BZ131+(CD131*(Codici!$BA$2-1))))</f>
        <v>200</v>
      </c>
      <c r="O131" s="1280">
        <v>20</v>
      </c>
      <c r="P131" s="1235">
        <v>0</v>
      </c>
      <c r="Q131" s="1235">
        <v>20</v>
      </c>
      <c r="R131" s="1235">
        <v>0</v>
      </c>
      <c r="S131" s="1235">
        <v>20</v>
      </c>
      <c r="T131" s="1235">
        <v>0</v>
      </c>
      <c r="U131" s="1235">
        <v>20</v>
      </c>
      <c r="V131" s="1235">
        <v>20</v>
      </c>
      <c r="W131" s="1235">
        <v>0</v>
      </c>
      <c r="X131" s="1236">
        <v>10</v>
      </c>
      <c r="Y131" s="1236">
        <v>0</v>
      </c>
      <c r="Z131" s="1236">
        <v>0</v>
      </c>
      <c r="AA131" s="1236">
        <v>0</v>
      </c>
      <c r="AB131" s="1236">
        <v>0</v>
      </c>
      <c r="AC131" s="1237">
        <v>25</v>
      </c>
      <c r="AD131" s="1237">
        <v>0</v>
      </c>
      <c r="AE131" s="1237">
        <v>0</v>
      </c>
      <c r="AF131" s="1237">
        <v>0</v>
      </c>
      <c r="AG131" s="1237">
        <v>0</v>
      </c>
      <c r="AH131" s="1280">
        <v>30</v>
      </c>
      <c r="AI131" s="1235">
        <v>0</v>
      </c>
      <c r="AJ131" s="1235">
        <v>20</v>
      </c>
      <c r="AK131" s="1235">
        <v>0</v>
      </c>
      <c r="AL131" s="1235">
        <v>0</v>
      </c>
      <c r="AM131" s="1235">
        <v>15</v>
      </c>
      <c r="AN131" s="1235">
        <v>20</v>
      </c>
      <c r="AO131" s="1235">
        <v>0</v>
      </c>
      <c r="AP131" s="1235">
        <v>0</v>
      </c>
      <c r="AQ131" s="1235">
        <v>0</v>
      </c>
      <c r="AR131" s="1235">
        <v>0</v>
      </c>
      <c r="AS131" s="1235">
        <v>0</v>
      </c>
      <c r="AT131" s="1235">
        <v>0</v>
      </c>
      <c r="AU131" s="1235">
        <v>40</v>
      </c>
      <c r="AV131" s="1236">
        <v>10</v>
      </c>
      <c r="AW131" s="1236">
        <v>20</v>
      </c>
      <c r="AX131" s="1236">
        <v>0</v>
      </c>
      <c r="AY131" s="1236">
        <v>0</v>
      </c>
      <c r="AZ131" s="1236">
        <v>20</v>
      </c>
      <c r="BA131" s="1236">
        <v>0</v>
      </c>
      <c r="BB131" s="1236">
        <v>50</v>
      </c>
      <c r="BC131" s="1237">
        <v>25</v>
      </c>
      <c r="BD131" s="1237">
        <v>0</v>
      </c>
      <c r="BE131" s="1237">
        <v>0</v>
      </c>
      <c r="BF131" s="1237">
        <v>0</v>
      </c>
      <c r="BG131" s="1279">
        <v>0</v>
      </c>
      <c r="BH131" s="1239">
        <v>25</v>
      </c>
      <c r="BI131" s="1235">
        <v>0</v>
      </c>
      <c r="BJ131" s="1235">
        <v>0</v>
      </c>
      <c r="BK131" s="1235"/>
      <c r="BL131" s="1240">
        <v>0</v>
      </c>
      <c r="BM131" s="1240">
        <v>0</v>
      </c>
      <c r="BN131" s="1240"/>
      <c r="BO131" s="1239">
        <v>0</v>
      </c>
      <c r="BP131" s="1239">
        <v>0</v>
      </c>
      <c r="BQ131" s="1242"/>
      <c r="BR131" s="1243" t="s">
        <v>571</v>
      </c>
      <c r="BS131" s="1244">
        <v>150</v>
      </c>
      <c r="BT131" s="88" t="s">
        <v>1532</v>
      </c>
      <c r="BU131" s="1280">
        <v>40</v>
      </c>
      <c r="BV131" s="1285" t="s">
        <v>1510</v>
      </c>
      <c r="BW131" s="1239">
        <v>130</v>
      </c>
      <c r="BX131" s="1239">
        <v>200</v>
      </c>
      <c r="BY131" s="1239">
        <v>50</v>
      </c>
      <c r="BZ131" s="1239">
        <v>200</v>
      </c>
      <c r="CA131" s="1244">
        <v>0</v>
      </c>
      <c r="CB131" s="1244">
        <v>0</v>
      </c>
      <c r="CC131" s="1244">
        <v>0</v>
      </c>
      <c r="CD131" s="1244">
        <v>0</v>
      </c>
    </row>
    <row r="132" spans="1:82" s="88" customFormat="1" x14ac:dyDescent="0.25">
      <c r="A132" s="1246">
        <f t="shared" si="1"/>
        <v>129</v>
      </c>
      <c r="B132" s="930" t="str">
        <f>Coltura!C130</f>
        <v>O9</v>
      </c>
      <c r="C132" s="1191" t="str">
        <f>Coltura!D130</f>
        <v>Bietola da costa per l'industria alta produzione più tagli</v>
      </c>
      <c r="D132" s="1192" t="s">
        <v>645</v>
      </c>
      <c r="E132" s="1280">
        <v>35</v>
      </c>
      <c r="F132" s="1281">
        <f>IF($BR132="sì",(BS132+(BU132*(Codici!$BA$2-1))))</f>
        <v>160</v>
      </c>
      <c r="G132" s="1236">
        <v>100</v>
      </c>
      <c r="H132" s="1236">
        <v>120</v>
      </c>
      <c r="I132" s="1253">
        <v>50</v>
      </c>
      <c r="J132" s="1236">
        <v>120</v>
      </c>
      <c r="K132" s="1282">
        <f>IF($BR132="sì",(BW132+(CA132*(Codici!$BA$2-1))))</f>
        <v>200</v>
      </c>
      <c r="L132" s="1282">
        <f>IF($BR132="sì",(BX132+(CB132*(Codici!$BA$2-1))))</f>
        <v>270</v>
      </c>
      <c r="M132" s="1282">
        <f>IF($BR132="sì",(BY132+(CC132*(Codici!$BA$2-1))))</f>
        <v>70</v>
      </c>
      <c r="N132" s="1282">
        <f>IF($BR132="sì",(BZ132+(CD132*(Codici!$BA$2-1))))</f>
        <v>270</v>
      </c>
      <c r="O132" s="1280">
        <v>30</v>
      </c>
      <c r="P132" s="1235">
        <v>0</v>
      </c>
      <c r="Q132" s="1235">
        <v>20</v>
      </c>
      <c r="R132" s="1235">
        <v>0</v>
      </c>
      <c r="S132" s="1235">
        <v>20</v>
      </c>
      <c r="T132" s="1235">
        <v>0</v>
      </c>
      <c r="U132" s="1235">
        <v>20</v>
      </c>
      <c r="V132" s="1235">
        <v>20</v>
      </c>
      <c r="W132" s="1235">
        <v>0</v>
      </c>
      <c r="X132" s="1236">
        <v>10</v>
      </c>
      <c r="Y132" s="1236">
        <v>0</v>
      </c>
      <c r="Z132" s="1236">
        <v>0</v>
      </c>
      <c r="AA132" s="1236">
        <v>0</v>
      </c>
      <c r="AB132" s="1236">
        <v>0</v>
      </c>
      <c r="AC132" s="1237">
        <v>25</v>
      </c>
      <c r="AD132" s="1237">
        <v>0</v>
      </c>
      <c r="AE132" s="1237">
        <v>0</v>
      </c>
      <c r="AF132" s="1237">
        <v>0</v>
      </c>
      <c r="AG132" s="1237">
        <v>0</v>
      </c>
      <c r="AH132" s="1280">
        <v>40</v>
      </c>
      <c r="AI132" s="1235">
        <v>0</v>
      </c>
      <c r="AJ132" s="1235">
        <v>20</v>
      </c>
      <c r="AK132" s="1235">
        <v>0</v>
      </c>
      <c r="AL132" s="1235">
        <v>0</v>
      </c>
      <c r="AM132" s="1235">
        <v>15</v>
      </c>
      <c r="AN132" s="1235">
        <v>20</v>
      </c>
      <c r="AO132" s="1235">
        <v>0</v>
      </c>
      <c r="AP132" s="1235">
        <v>0</v>
      </c>
      <c r="AQ132" s="1235">
        <v>0</v>
      </c>
      <c r="AR132" s="1235">
        <v>0</v>
      </c>
      <c r="AS132" s="1235">
        <v>0</v>
      </c>
      <c r="AT132" s="1235">
        <v>0</v>
      </c>
      <c r="AU132" s="1235">
        <v>40</v>
      </c>
      <c r="AV132" s="1236">
        <v>10</v>
      </c>
      <c r="AW132" s="1236">
        <v>20</v>
      </c>
      <c r="AX132" s="1236">
        <v>0</v>
      </c>
      <c r="AY132" s="1236">
        <v>0</v>
      </c>
      <c r="AZ132" s="1236">
        <v>20</v>
      </c>
      <c r="BA132" s="1236">
        <v>0</v>
      </c>
      <c r="BB132" s="1236">
        <v>50</v>
      </c>
      <c r="BC132" s="1237">
        <v>25</v>
      </c>
      <c r="BD132" s="1237">
        <v>0</v>
      </c>
      <c r="BE132" s="1237">
        <v>0</v>
      </c>
      <c r="BF132" s="1237">
        <v>0</v>
      </c>
      <c r="BG132" s="1279">
        <v>0</v>
      </c>
      <c r="BH132" s="1239">
        <v>25</v>
      </c>
      <c r="BI132" s="1235">
        <v>0</v>
      </c>
      <c r="BJ132" s="1235">
        <v>0</v>
      </c>
      <c r="BK132" s="1235"/>
      <c r="BL132" s="1240">
        <v>0</v>
      </c>
      <c r="BM132" s="1240">
        <v>0</v>
      </c>
      <c r="BN132" s="1240"/>
      <c r="BO132" s="1239">
        <v>0</v>
      </c>
      <c r="BP132" s="1239">
        <v>0</v>
      </c>
      <c r="BQ132" s="1242"/>
      <c r="BR132" s="1243" t="s">
        <v>571</v>
      </c>
      <c r="BS132" s="1244">
        <v>200</v>
      </c>
      <c r="BT132" s="88" t="s">
        <v>1532</v>
      </c>
      <c r="BU132" s="1280">
        <v>40</v>
      </c>
      <c r="BV132" s="1285" t="s">
        <v>1510</v>
      </c>
      <c r="BW132" s="1239">
        <v>200</v>
      </c>
      <c r="BX132" s="1239">
        <v>270</v>
      </c>
      <c r="BY132" s="1239">
        <v>70</v>
      </c>
      <c r="BZ132" s="1239">
        <v>270</v>
      </c>
      <c r="CA132" s="1244">
        <v>0</v>
      </c>
      <c r="CB132" s="1244">
        <v>0</v>
      </c>
      <c r="CC132" s="1244">
        <v>0</v>
      </c>
      <c r="CD132" s="1244">
        <v>0</v>
      </c>
    </row>
    <row r="133" spans="1:82" s="88" customFormat="1" x14ac:dyDescent="0.25">
      <c r="A133" s="1246">
        <f t="shared" si="1"/>
        <v>130</v>
      </c>
      <c r="B133" s="930" t="str">
        <f>Coltura!C131</f>
        <v>O10</v>
      </c>
      <c r="C133" s="930" t="str">
        <f>Coltura!D131</f>
        <v>Broccoletto  - Cime di rapa</v>
      </c>
      <c r="D133" s="41" t="s">
        <v>645</v>
      </c>
      <c r="E133" s="88" t="s">
        <v>645</v>
      </c>
      <c r="F133" s="1235" t="s">
        <v>645</v>
      </c>
      <c r="G133" s="1236"/>
      <c r="H133" s="1236"/>
      <c r="I133" s="1236"/>
      <c r="J133" s="1236"/>
      <c r="K133" s="1237"/>
      <c r="L133" s="1237"/>
      <c r="M133" s="1237"/>
      <c r="N133" s="1237"/>
      <c r="P133" s="1235"/>
      <c r="Q133" s="1235"/>
      <c r="R133" s="1235"/>
      <c r="S133" s="1235"/>
      <c r="T133" s="1235"/>
      <c r="U133" s="1235"/>
      <c r="V133" s="1235"/>
      <c r="W133" s="1235"/>
      <c r="X133" s="1236"/>
      <c r="Y133" s="1236"/>
      <c r="Z133" s="1236"/>
      <c r="AA133" s="1236"/>
      <c r="AB133" s="1236"/>
      <c r="AC133" s="1237"/>
      <c r="AD133" s="1237"/>
      <c r="AE133" s="1237"/>
      <c r="AF133" s="1237"/>
      <c r="AG133" s="1237"/>
      <c r="AH133" s="88" t="s">
        <v>645</v>
      </c>
      <c r="AI133" s="1235"/>
      <c r="AJ133" s="1235"/>
      <c r="AK133" s="1235"/>
      <c r="AL133" s="1235"/>
      <c r="AM133" s="1235"/>
      <c r="AN133" s="1235"/>
      <c r="AO133" s="1235"/>
      <c r="AP133" s="1235"/>
      <c r="AQ133" s="1235"/>
      <c r="AR133" s="1235"/>
      <c r="AS133" s="1235"/>
      <c r="AT133" s="1235"/>
      <c r="AU133" s="1235"/>
      <c r="AV133" s="1236"/>
      <c r="AW133" s="1236"/>
      <c r="AX133" s="1236"/>
      <c r="AY133" s="1236"/>
      <c r="AZ133" s="1236"/>
      <c r="BA133" s="1236"/>
      <c r="BB133" s="1236">
        <v>0</v>
      </c>
      <c r="BC133" s="1237"/>
      <c r="BD133" s="1237"/>
      <c r="BE133" s="1237"/>
      <c r="BF133" s="1237"/>
      <c r="BG133" s="1228"/>
      <c r="BH133" s="1239">
        <v>0</v>
      </c>
      <c r="BI133" s="1235">
        <v>0</v>
      </c>
      <c r="BJ133" s="1235">
        <v>0</v>
      </c>
      <c r="BK133" s="1235"/>
      <c r="BL133" s="1240">
        <v>0</v>
      </c>
      <c r="BM133" s="1240">
        <v>0</v>
      </c>
      <c r="BN133" s="1240"/>
      <c r="BO133" s="1239">
        <v>0</v>
      </c>
      <c r="BP133" s="1239">
        <v>0</v>
      </c>
      <c r="BQ133" s="1242"/>
      <c r="BR133" s="1243" t="s">
        <v>570</v>
      </c>
      <c r="BS133" s="1244"/>
      <c r="BV133" s="1245"/>
      <c r="BW133" s="1239"/>
      <c r="BX133" s="1239"/>
      <c r="BY133" s="1239"/>
      <c r="BZ133" s="1239"/>
      <c r="CA133" s="1244"/>
      <c r="CB133" s="1244"/>
      <c r="CC133" s="1244"/>
      <c r="CD133" s="1244"/>
    </row>
    <row r="134" spans="1:82" x14ac:dyDescent="0.25">
      <c r="A134" s="1246">
        <f t="shared" si="1"/>
        <v>131</v>
      </c>
      <c r="B134" s="930" t="str">
        <f>Coltura!C132</f>
        <v>O11</v>
      </c>
      <c r="C134" s="930" t="str">
        <f>Coltura!D132</f>
        <v>Broccolo media produzione</v>
      </c>
      <c r="D134" s="41" t="s">
        <v>645</v>
      </c>
      <c r="E134" s="32">
        <v>20</v>
      </c>
      <c r="F134" s="1224">
        <v>130</v>
      </c>
      <c r="G134" s="1225">
        <v>80</v>
      </c>
      <c r="H134" s="1225">
        <v>120</v>
      </c>
      <c r="I134" s="1225">
        <v>30</v>
      </c>
      <c r="J134" s="1225">
        <v>120</v>
      </c>
      <c r="K134" s="1226">
        <v>100</v>
      </c>
      <c r="L134" s="1226">
        <v>120</v>
      </c>
      <c r="M134" s="1226">
        <v>30</v>
      </c>
      <c r="N134" s="1226">
        <v>120</v>
      </c>
      <c r="O134" s="32">
        <v>16</v>
      </c>
      <c r="P134" s="1224">
        <v>20</v>
      </c>
      <c r="Q134" s="1224">
        <v>20</v>
      </c>
      <c r="R134" s="1224">
        <v>0</v>
      </c>
      <c r="S134" s="1224">
        <v>20</v>
      </c>
      <c r="T134" s="1224">
        <v>0</v>
      </c>
      <c r="U134" s="1224">
        <v>0</v>
      </c>
      <c r="V134" s="1224">
        <v>0</v>
      </c>
      <c r="W134" s="1224">
        <v>0</v>
      </c>
      <c r="X134" s="1225">
        <v>20</v>
      </c>
      <c r="Y134" s="1225">
        <v>10</v>
      </c>
      <c r="Z134" s="1225">
        <v>0</v>
      </c>
      <c r="AA134" s="1225">
        <v>0</v>
      </c>
      <c r="AB134" s="1225">
        <v>0</v>
      </c>
      <c r="AC134" s="1226">
        <v>20</v>
      </c>
      <c r="AD134" s="1226">
        <v>30</v>
      </c>
      <c r="AE134" s="1226">
        <v>0</v>
      </c>
      <c r="AF134" s="1226">
        <v>0</v>
      </c>
      <c r="AG134" s="1226">
        <v>0</v>
      </c>
      <c r="AH134" s="32">
        <v>24</v>
      </c>
      <c r="AI134" s="1224">
        <v>20</v>
      </c>
      <c r="AJ134" s="1224">
        <v>20</v>
      </c>
      <c r="AK134" s="1224">
        <v>0</v>
      </c>
      <c r="AL134" s="1224">
        <v>0</v>
      </c>
      <c r="AM134" s="1224">
        <v>15</v>
      </c>
      <c r="AN134" s="1224">
        <v>30</v>
      </c>
      <c r="AO134" s="1224">
        <v>20</v>
      </c>
      <c r="AP134" s="1224">
        <v>20</v>
      </c>
      <c r="AQ134" s="1224">
        <v>0</v>
      </c>
      <c r="AR134" s="1224">
        <v>0</v>
      </c>
      <c r="AS134" s="1224">
        <v>0</v>
      </c>
      <c r="AT134" s="1224">
        <v>0</v>
      </c>
      <c r="AU134" s="1224">
        <v>50</v>
      </c>
      <c r="AV134" s="1225">
        <v>20</v>
      </c>
      <c r="AW134" s="1225">
        <v>10</v>
      </c>
      <c r="AX134" s="1225">
        <v>0</v>
      </c>
      <c r="AY134" s="1225">
        <v>0</v>
      </c>
      <c r="AZ134" s="1225">
        <v>0</v>
      </c>
      <c r="BA134" s="1248">
        <v>0</v>
      </c>
      <c r="BB134" s="1225">
        <v>30</v>
      </c>
      <c r="BC134" s="1226">
        <v>20</v>
      </c>
      <c r="BD134" s="1226">
        <v>0</v>
      </c>
      <c r="BE134" s="1226">
        <v>0</v>
      </c>
      <c r="BF134" s="1249">
        <v>0</v>
      </c>
      <c r="BG134" s="1238">
        <v>0</v>
      </c>
      <c r="BH134" s="1229">
        <v>20</v>
      </c>
      <c r="BI134" s="1224">
        <v>0</v>
      </c>
      <c r="BJ134" s="1224">
        <v>0</v>
      </c>
      <c r="BL134" s="1230">
        <v>0</v>
      </c>
      <c r="BM134" s="1230">
        <v>0</v>
      </c>
      <c r="BO134" s="1229">
        <v>0</v>
      </c>
      <c r="BP134" s="1229">
        <v>0</v>
      </c>
      <c r="BR134" s="1243" t="s">
        <v>570</v>
      </c>
      <c r="BV134" s="60"/>
    </row>
    <row r="135" spans="1:82" x14ac:dyDescent="0.25">
      <c r="A135" s="1246">
        <f t="shared" si="1"/>
        <v>132</v>
      </c>
      <c r="B135" s="930" t="str">
        <f>Coltura!C133</f>
        <v>O12</v>
      </c>
      <c r="C135" s="1191" t="str">
        <f>Coltura!D133</f>
        <v>Broccolo alta produzione</v>
      </c>
      <c r="D135" s="1192" t="s">
        <v>645</v>
      </c>
      <c r="E135" s="1286">
        <v>32.5</v>
      </c>
      <c r="F135" s="1224">
        <v>160</v>
      </c>
      <c r="G135" s="1225">
        <v>80</v>
      </c>
      <c r="H135" s="1225">
        <v>120</v>
      </c>
      <c r="I135" s="1253">
        <v>50</v>
      </c>
      <c r="J135" s="1225">
        <v>120</v>
      </c>
      <c r="K135" s="1226">
        <v>130</v>
      </c>
      <c r="L135" s="1226">
        <v>150</v>
      </c>
      <c r="M135" s="1254">
        <v>70</v>
      </c>
      <c r="N135" s="1226">
        <v>150</v>
      </c>
      <c r="O135" s="1286">
        <v>30</v>
      </c>
      <c r="P135" s="1224">
        <v>20</v>
      </c>
      <c r="Q135" s="1224">
        <v>20</v>
      </c>
      <c r="R135" s="1224">
        <v>0</v>
      </c>
      <c r="S135" s="1224">
        <v>20</v>
      </c>
      <c r="T135" s="1224">
        <v>0</v>
      </c>
      <c r="U135" s="1224">
        <v>0</v>
      </c>
      <c r="V135" s="1224">
        <v>0</v>
      </c>
      <c r="W135" s="1224">
        <v>0</v>
      </c>
      <c r="X135" s="1225">
        <v>20</v>
      </c>
      <c r="Y135" s="1225">
        <v>10</v>
      </c>
      <c r="Z135" s="1225">
        <v>0</v>
      </c>
      <c r="AA135" s="1225">
        <v>0</v>
      </c>
      <c r="AB135" s="1225">
        <v>0</v>
      </c>
      <c r="AC135" s="1226">
        <v>20</v>
      </c>
      <c r="AD135" s="1226">
        <v>30</v>
      </c>
      <c r="AE135" s="1226">
        <v>0</v>
      </c>
      <c r="AF135" s="1226">
        <v>0</v>
      </c>
      <c r="AG135" s="1226">
        <v>0</v>
      </c>
      <c r="AH135" s="1286">
        <v>35</v>
      </c>
      <c r="AI135" s="1224">
        <v>20</v>
      </c>
      <c r="AJ135" s="1224">
        <v>20</v>
      </c>
      <c r="AK135" s="1224">
        <v>0</v>
      </c>
      <c r="AL135" s="1224">
        <v>0</v>
      </c>
      <c r="AM135" s="1224">
        <v>15</v>
      </c>
      <c r="AN135" s="1224">
        <v>30</v>
      </c>
      <c r="AO135" s="1224">
        <v>20</v>
      </c>
      <c r="AP135" s="1224">
        <v>20</v>
      </c>
      <c r="AQ135" s="1224">
        <v>0</v>
      </c>
      <c r="AR135" s="1224">
        <v>0</v>
      </c>
      <c r="AS135" s="1224">
        <v>0</v>
      </c>
      <c r="AT135" s="1224">
        <v>0</v>
      </c>
      <c r="AU135" s="1224">
        <v>50</v>
      </c>
      <c r="AV135" s="1225">
        <v>20</v>
      </c>
      <c r="AW135" s="1225">
        <v>10</v>
      </c>
      <c r="AX135" s="1225">
        <v>0</v>
      </c>
      <c r="AY135" s="1225">
        <v>0</v>
      </c>
      <c r="AZ135" s="1225">
        <v>0</v>
      </c>
      <c r="BA135" s="1248">
        <v>0</v>
      </c>
      <c r="BB135" s="1225">
        <v>30</v>
      </c>
      <c r="BC135" s="1226">
        <v>20</v>
      </c>
      <c r="BD135" s="1226">
        <v>0</v>
      </c>
      <c r="BE135" s="1226">
        <v>0</v>
      </c>
      <c r="BF135" s="1249">
        <v>0</v>
      </c>
      <c r="BG135" s="1238">
        <v>0</v>
      </c>
      <c r="BH135" s="1229">
        <v>20</v>
      </c>
      <c r="BI135" s="1224">
        <v>0</v>
      </c>
      <c r="BJ135" s="1224">
        <v>0</v>
      </c>
      <c r="BL135" s="1230">
        <v>0</v>
      </c>
      <c r="BM135" s="1230">
        <v>0</v>
      </c>
      <c r="BO135" s="1229">
        <v>0</v>
      </c>
      <c r="BP135" s="1229">
        <v>0</v>
      </c>
      <c r="BR135" s="1243" t="s">
        <v>570</v>
      </c>
      <c r="BV135" s="60"/>
    </row>
    <row r="136" spans="1:82" x14ac:dyDescent="0.25">
      <c r="A136" s="1246">
        <f t="shared" si="1"/>
        <v>133</v>
      </c>
      <c r="B136" s="930" t="str">
        <f>Coltura!C134</f>
        <v>O13</v>
      </c>
      <c r="C136" s="930" t="str">
        <f>Coltura!D134</f>
        <v>Cappuccio media produzione</v>
      </c>
      <c r="D136" s="41" t="s">
        <v>645</v>
      </c>
      <c r="E136" s="32">
        <v>27</v>
      </c>
      <c r="F136" s="1224">
        <v>150</v>
      </c>
      <c r="G136" s="1225">
        <v>80</v>
      </c>
      <c r="H136" s="1225">
        <v>120</v>
      </c>
      <c r="I136" s="1225">
        <v>30</v>
      </c>
      <c r="J136" s="1225">
        <v>120</v>
      </c>
      <c r="K136" s="1226">
        <v>150</v>
      </c>
      <c r="L136" s="1226">
        <v>200</v>
      </c>
      <c r="M136" s="1226">
        <v>30</v>
      </c>
      <c r="N136" s="1226">
        <v>200</v>
      </c>
      <c r="O136" s="32">
        <v>22</v>
      </c>
      <c r="P136" s="1224">
        <v>25</v>
      </c>
      <c r="Q136" s="1224">
        <v>20</v>
      </c>
      <c r="R136" s="1224">
        <v>0</v>
      </c>
      <c r="S136" s="1224">
        <v>20</v>
      </c>
      <c r="T136" s="1224">
        <v>0</v>
      </c>
      <c r="U136" s="1224">
        <v>0</v>
      </c>
      <c r="V136" s="1224">
        <v>0</v>
      </c>
      <c r="W136" s="1224">
        <v>0</v>
      </c>
      <c r="X136" s="1225">
        <v>15</v>
      </c>
      <c r="Y136" s="1225">
        <v>10</v>
      </c>
      <c r="Z136" s="1225">
        <v>0</v>
      </c>
      <c r="AA136" s="1225">
        <v>0</v>
      </c>
      <c r="AB136" s="1225">
        <v>0</v>
      </c>
      <c r="AC136" s="1226">
        <v>30</v>
      </c>
      <c r="AD136" s="1226">
        <v>30</v>
      </c>
      <c r="AE136" s="1226">
        <v>0</v>
      </c>
      <c r="AF136" s="1226">
        <v>0</v>
      </c>
      <c r="AG136" s="1226">
        <v>0</v>
      </c>
      <c r="AH136" s="32">
        <v>32</v>
      </c>
      <c r="AI136" s="1224">
        <v>25</v>
      </c>
      <c r="AJ136" s="1224">
        <v>20</v>
      </c>
      <c r="AK136" s="1224">
        <v>0</v>
      </c>
      <c r="AL136" s="1224">
        <v>0</v>
      </c>
      <c r="AM136" s="1224">
        <v>15</v>
      </c>
      <c r="AN136" s="1224">
        <v>30</v>
      </c>
      <c r="AO136" s="1224">
        <v>20</v>
      </c>
      <c r="AP136" s="1224">
        <v>0</v>
      </c>
      <c r="AQ136" s="1224">
        <v>0</v>
      </c>
      <c r="AR136" s="1224">
        <v>0</v>
      </c>
      <c r="AS136" s="1224">
        <v>0</v>
      </c>
      <c r="AT136" s="1224">
        <v>0</v>
      </c>
      <c r="AU136" s="1224">
        <v>40</v>
      </c>
      <c r="AV136" s="1225">
        <v>15</v>
      </c>
      <c r="AW136" s="1225">
        <v>10</v>
      </c>
      <c r="AX136" s="1225">
        <v>0</v>
      </c>
      <c r="AY136" s="1225">
        <v>0</v>
      </c>
      <c r="AZ136" s="1225">
        <v>0</v>
      </c>
      <c r="BA136" s="1248">
        <v>0</v>
      </c>
      <c r="BB136" s="1225">
        <v>25</v>
      </c>
      <c r="BC136" s="1226">
        <v>30</v>
      </c>
      <c r="BD136" s="1226">
        <v>0</v>
      </c>
      <c r="BE136" s="1226">
        <v>0</v>
      </c>
      <c r="BF136" s="1249">
        <v>0</v>
      </c>
      <c r="BG136" s="1238">
        <v>0</v>
      </c>
      <c r="BH136" s="1229">
        <v>30</v>
      </c>
      <c r="BI136" s="1224">
        <v>0</v>
      </c>
      <c r="BJ136" s="1224">
        <v>0</v>
      </c>
      <c r="BL136" s="1230">
        <v>0</v>
      </c>
      <c r="BM136" s="1230">
        <v>0</v>
      </c>
      <c r="BO136" s="1229">
        <v>0</v>
      </c>
      <c r="BP136" s="1229">
        <v>0</v>
      </c>
      <c r="BR136" s="1243" t="s">
        <v>570</v>
      </c>
      <c r="BV136" s="60"/>
    </row>
    <row r="137" spans="1:82" x14ac:dyDescent="0.25">
      <c r="A137" s="1246">
        <f t="shared" si="1"/>
        <v>134</v>
      </c>
      <c r="B137" s="930" t="str">
        <f>Coltura!C135</f>
        <v>O14</v>
      </c>
      <c r="C137" s="1191" t="str">
        <f>Coltura!D135</f>
        <v>Cappuccio alta produzione</v>
      </c>
      <c r="D137" s="1192" t="s">
        <v>645</v>
      </c>
      <c r="E137" s="1286">
        <v>50</v>
      </c>
      <c r="F137" s="1224">
        <v>180</v>
      </c>
      <c r="G137" s="1225">
        <v>80</v>
      </c>
      <c r="H137" s="1225">
        <v>120</v>
      </c>
      <c r="I137" s="1253">
        <v>40</v>
      </c>
      <c r="J137" s="1225">
        <v>120</v>
      </c>
      <c r="K137" s="1226">
        <v>180</v>
      </c>
      <c r="L137" s="1226">
        <v>230</v>
      </c>
      <c r="M137" s="1254">
        <v>80</v>
      </c>
      <c r="N137" s="1226">
        <v>230</v>
      </c>
      <c r="O137" s="1286">
        <v>45</v>
      </c>
      <c r="P137" s="1224">
        <v>25</v>
      </c>
      <c r="Q137" s="1224">
        <v>20</v>
      </c>
      <c r="R137" s="1224">
        <v>0</v>
      </c>
      <c r="S137" s="1224">
        <v>20</v>
      </c>
      <c r="T137" s="1224">
        <v>0</v>
      </c>
      <c r="U137" s="1224">
        <v>0</v>
      </c>
      <c r="V137" s="1224">
        <v>0</v>
      </c>
      <c r="W137" s="1224">
        <v>0</v>
      </c>
      <c r="X137" s="1225">
        <v>15</v>
      </c>
      <c r="Y137" s="1225">
        <v>10</v>
      </c>
      <c r="Z137" s="1225">
        <v>0</v>
      </c>
      <c r="AA137" s="1225">
        <v>0</v>
      </c>
      <c r="AB137" s="1225">
        <v>0</v>
      </c>
      <c r="AC137" s="1226">
        <v>30</v>
      </c>
      <c r="AD137" s="1226">
        <v>30</v>
      </c>
      <c r="AE137" s="1226">
        <v>0</v>
      </c>
      <c r="AF137" s="1226">
        <v>0</v>
      </c>
      <c r="AG137" s="1226">
        <v>0</v>
      </c>
      <c r="AH137" s="1286">
        <v>55</v>
      </c>
      <c r="AI137" s="1224">
        <v>25</v>
      </c>
      <c r="AJ137" s="1224">
        <v>20</v>
      </c>
      <c r="AK137" s="1224">
        <v>0</v>
      </c>
      <c r="AL137" s="1224">
        <v>0</v>
      </c>
      <c r="AM137" s="1224">
        <v>15</v>
      </c>
      <c r="AN137" s="1224">
        <v>30</v>
      </c>
      <c r="AO137" s="1224">
        <v>20</v>
      </c>
      <c r="AP137" s="1224">
        <v>0</v>
      </c>
      <c r="AQ137" s="1224">
        <v>0</v>
      </c>
      <c r="AR137" s="1224">
        <v>0</v>
      </c>
      <c r="AS137" s="1224">
        <v>0</v>
      </c>
      <c r="AT137" s="1224">
        <v>0</v>
      </c>
      <c r="AU137" s="1224">
        <v>40</v>
      </c>
      <c r="AV137" s="1225">
        <v>15</v>
      </c>
      <c r="AW137" s="1225">
        <v>10</v>
      </c>
      <c r="AX137" s="1225">
        <v>0</v>
      </c>
      <c r="AY137" s="1225">
        <v>0</v>
      </c>
      <c r="AZ137" s="1225">
        <v>0</v>
      </c>
      <c r="BA137" s="1248">
        <v>0</v>
      </c>
      <c r="BB137" s="1225">
        <v>25</v>
      </c>
      <c r="BC137" s="1226">
        <v>30</v>
      </c>
      <c r="BD137" s="1226">
        <v>0</v>
      </c>
      <c r="BE137" s="1226">
        <v>0</v>
      </c>
      <c r="BF137" s="1249">
        <v>0</v>
      </c>
      <c r="BG137" s="1238">
        <v>0</v>
      </c>
      <c r="BH137" s="1229">
        <v>30</v>
      </c>
      <c r="BI137" s="1224">
        <v>0</v>
      </c>
      <c r="BJ137" s="1224">
        <v>0</v>
      </c>
      <c r="BL137" s="1230">
        <v>0</v>
      </c>
      <c r="BM137" s="1230">
        <v>0</v>
      </c>
      <c r="BO137" s="1229">
        <v>0</v>
      </c>
      <c r="BP137" s="1229">
        <v>0</v>
      </c>
      <c r="BR137" s="1287" t="s">
        <v>570</v>
      </c>
      <c r="BV137" s="60"/>
    </row>
    <row r="138" spans="1:82" s="88" customFormat="1" x14ac:dyDescent="0.25">
      <c r="A138" s="1246">
        <f t="shared" ref="A138:A201" si="2">(A137+1)</f>
        <v>135</v>
      </c>
      <c r="B138" s="930" t="str">
        <f>Coltura!C136</f>
        <v>O15</v>
      </c>
      <c r="C138" s="930" t="str">
        <f>Coltura!D136</f>
        <v>Carciofo</v>
      </c>
      <c r="D138" s="41" t="s">
        <v>645</v>
      </c>
      <c r="E138" s="88">
        <v>15.5</v>
      </c>
      <c r="F138" s="1235">
        <v>180</v>
      </c>
      <c r="G138" s="1236">
        <v>120</v>
      </c>
      <c r="H138" s="1236">
        <v>170</v>
      </c>
      <c r="I138" s="1236">
        <v>70</v>
      </c>
      <c r="J138" s="1236">
        <v>170</v>
      </c>
      <c r="K138" s="1237">
        <v>150</v>
      </c>
      <c r="L138" s="1237">
        <v>200</v>
      </c>
      <c r="M138" s="1237">
        <v>80</v>
      </c>
      <c r="N138" s="1237">
        <v>200</v>
      </c>
      <c r="O138" s="88">
        <v>12</v>
      </c>
      <c r="P138" s="1235">
        <v>30</v>
      </c>
      <c r="Q138" s="1235">
        <v>20</v>
      </c>
      <c r="R138" s="1235">
        <v>0</v>
      </c>
      <c r="S138" s="1235">
        <v>15</v>
      </c>
      <c r="T138" s="1235">
        <v>0</v>
      </c>
      <c r="U138" s="1235">
        <v>0</v>
      </c>
      <c r="V138" s="1235">
        <v>0</v>
      </c>
      <c r="W138" s="1235">
        <v>0</v>
      </c>
      <c r="X138" s="1236">
        <v>15</v>
      </c>
      <c r="Y138" s="1236">
        <v>0</v>
      </c>
      <c r="Z138" s="1236">
        <v>10</v>
      </c>
      <c r="AA138" s="1236">
        <v>0</v>
      </c>
      <c r="AB138" s="1236">
        <v>0</v>
      </c>
      <c r="AC138" s="1237">
        <v>10</v>
      </c>
      <c r="AD138" s="1237">
        <v>0</v>
      </c>
      <c r="AE138" s="1237">
        <v>30</v>
      </c>
      <c r="AF138" s="1237">
        <v>0</v>
      </c>
      <c r="AG138" s="1237">
        <v>0</v>
      </c>
      <c r="AH138" s="88">
        <v>19</v>
      </c>
      <c r="AI138" s="1235">
        <v>30</v>
      </c>
      <c r="AJ138" s="1235">
        <v>15</v>
      </c>
      <c r="AK138" s="1235">
        <v>0</v>
      </c>
      <c r="AL138" s="1235">
        <v>0</v>
      </c>
      <c r="AM138" s="1235">
        <v>20</v>
      </c>
      <c r="AN138" s="1235">
        <v>20</v>
      </c>
      <c r="AO138" s="1235">
        <v>0</v>
      </c>
      <c r="AP138" s="1235">
        <v>0</v>
      </c>
      <c r="AQ138" s="1235">
        <v>0</v>
      </c>
      <c r="AR138" s="1235">
        <v>0</v>
      </c>
      <c r="AS138" s="1235">
        <v>0</v>
      </c>
      <c r="AT138" s="1235">
        <v>0</v>
      </c>
      <c r="AU138" s="1235">
        <v>50</v>
      </c>
      <c r="AV138" s="1236">
        <v>15</v>
      </c>
      <c r="AW138" s="1236">
        <v>10</v>
      </c>
      <c r="AX138" s="1236">
        <v>0</v>
      </c>
      <c r="AY138" s="1236">
        <v>0</v>
      </c>
      <c r="AZ138" s="1236">
        <v>0</v>
      </c>
      <c r="BA138" s="1236">
        <v>0</v>
      </c>
      <c r="BB138" s="1236">
        <v>25</v>
      </c>
      <c r="BC138" s="1237">
        <v>10</v>
      </c>
      <c r="BD138" s="1237">
        <v>0</v>
      </c>
      <c r="BE138" s="1237">
        <v>30</v>
      </c>
      <c r="BF138" s="1237">
        <v>0</v>
      </c>
      <c r="BG138" s="1238">
        <v>0</v>
      </c>
      <c r="BH138" s="1239">
        <v>40</v>
      </c>
      <c r="BI138" s="1235">
        <v>0</v>
      </c>
      <c r="BJ138" s="1235">
        <v>0</v>
      </c>
      <c r="BK138" s="1235"/>
      <c r="BL138" s="1240">
        <v>0</v>
      </c>
      <c r="BM138" s="1240">
        <v>0</v>
      </c>
      <c r="BN138" s="1240"/>
      <c r="BO138" s="1239">
        <v>0</v>
      </c>
      <c r="BP138" s="1239">
        <v>0</v>
      </c>
      <c r="BQ138" s="1242"/>
      <c r="BR138" s="1243" t="s">
        <v>570</v>
      </c>
      <c r="BS138" s="1244"/>
      <c r="BV138" s="1245"/>
      <c r="BW138" s="1239"/>
      <c r="BX138" s="1239"/>
      <c r="BY138" s="1239"/>
      <c r="BZ138" s="1239"/>
      <c r="CA138" s="1244"/>
      <c r="CB138" s="1244"/>
      <c r="CC138" s="1244"/>
      <c r="CD138" s="1244"/>
    </row>
    <row r="139" spans="1:82" s="88" customFormat="1" x14ac:dyDescent="0.25">
      <c r="A139" s="1246">
        <f t="shared" si="2"/>
        <v>136</v>
      </c>
      <c r="B139" s="930" t="str">
        <f>Coltura!C137</f>
        <v>O16</v>
      </c>
      <c r="C139" s="930" t="str">
        <f>Coltura!D137</f>
        <v>Cardo media produzione</v>
      </c>
      <c r="D139" s="41" t="s">
        <v>645</v>
      </c>
      <c r="E139" s="1288">
        <v>25.5</v>
      </c>
      <c r="F139" s="1235">
        <v>120</v>
      </c>
      <c r="G139" s="1236">
        <v>80</v>
      </c>
      <c r="H139" s="1236">
        <v>120</v>
      </c>
      <c r="I139" s="1236">
        <v>50</v>
      </c>
      <c r="J139" s="1236">
        <v>120</v>
      </c>
      <c r="K139" s="1237">
        <v>170</v>
      </c>
      <c r="L139" s="1237">
        <v>260</v>
      </c>
      <c r="M139" s="1237">
        <v>100</v>
      </c>
      <c r="N139" s="1237">
        <v>260</v>
      </c>
      <c r="O139" s="1280">
        <v>24</v>
      </c>
      <c r="P139" s="1235">
        <v>20</v>
      </c>
      <c r="Q139" s="1235">
        <v>20</v>
      </c>
      <c r="R139" s="1235">
        <v>0</v>
      </c>
      <c r="S139" s="1235">
        <v>15</v>
      </c>
      <c r="T139" s="1235">
        <v>0</v>
      </c>
      <c r="U139" s="1235">
        <v>15</v>
      </c>
      <c r="V139" s="1235">
        <v>15</v>
      </c>
      <c r="W139" s="1235">
        <v>0</v>
      </c>
      <c r="X139" s="1236">
        <v>20</v>
      </c>
      <c r="Y139" s="1236">
        <v>10</v>
      </c>
      <c r="Z139" s="1236">
        <v>0</v>
      </c>
      <c r="AA139" s="1236">
        <v>0</v>
      </c>
      <c r="AB139" s="1236">
        <v>0</v>
      </c>
      <c r="AC139" s="1237">
        <v>40</v>
      </c>
      <c r="AD139" s="1237">
        <v>10</v>
      </c>
      <c r="AE139" s="1237">
        <v>0</v>
      </c>
      <c r="AF139" s="1237">
        <v>0</v>
      </c>
      <c r="AG139" s="1237">
        <v>0</v>
      </c>
      <c r="AH139" s="1280">
        <v>27</v>
      </c>
      <c r="AI139" s="1235">
        <v>20</v>
      </c>
      <c r="AJ139" s="1235">
        <v>15</v>
      </c>
      <c r="AK139" s="1235">
        <v>0</v>
      </c>
      <c r="AL139" s="1235">
        <v>0</v>
      </c>
      <c r="AM139" s="1235">
        <v>15</v>
      </c>
      <c r="AN139" s="1235">
        <v>30</v>
      </c>
      <c r="AO139" s="1235">
        <v>20</v>
      </c>
      <c r="AP139" s="1235">
        <v>0</v>
      </c>
      <c r="AQ139" s="1235">
        <v>0</v>
      </c>
      <c r="AR139" s="1235">
        <v>0</v>
      </c>
      <c r="AS139" s="1235">
        <v>0</v>
      </c>
      <c r="AT139" s="1235">
        <v>0</v>
      </c>
      <c r="AU139" s="1235">
        <v>50</v>
      </c>
      <c r="AV139" s="1236">
        <v>20</v>
      </c>
      <c r="AW139" s="1236">
        <v>0</v>
      </c>
      <c r="AX139" s="1236">
        <v>0</v>
      </c>
      <c r="AY139" s="1236">
        <v>0</v>
      </c>
      <c r="AZ139" s="1236">
        <v>0</v>
      </c>
      <c r="BA139" s="1236">
        <v>0</v>
      </c>
      <c r="BB139" s="1236">
        <v>20</v>
      </c>
      <c r="BC139" s="1237">
        <v>40</v>
      </c>
      <c r="BD139" s="1237">
        <v>0</v>
      </c>
      <c r="BE139" s="1237">
        <v>0</v>
      </c>
      <c r="BF139" s="1237">
        <v>0</v>
      </c>
      <c r="BG139" s="1238">
        <v>0</v>
      </c>
      <c r="BH139" s="1239">
        <v>40</v>
      </c>
      <c r="BI139" s="1235">
        <v>0</v>
      </c>
      <c r="BJ139" s="1235">
        <v>0</v>
      </c>
      <c r="BK139" s="1235"/>
      <c r="BL139" s="1240">
        <v>0</v>
      </c>
      <c r="BM139" s="1240">
        <v>0</v>
      </c>
      <c r="BN139" s="1240"/>
      <c r="BO139" s="1239">
        <v>0</v>
      </c>
      <c r="BP139" s="1239">
        <v>0</v>
      </c>
      <c r="BQ139" s="1242"/>
      <c r="BR139" s="1243" t="s">
        <v>570</v>
      </c>
      <c r="BS139" s="1244"/>
      <c r="BV139" s="1245"/>
      <c r="BW139" s="1239"/>
      <c r="BX139" s="1239"/>
      <c r="BY139" s="1239"/>
      <c r="BZ139" s="1239"/>
      <c r="CA139" s="1244"/>
      <c r="CB139" s="1244"/>
      <c r="CC139" s="1244"/>
      <c r="CD139" s="1244"/>
    </row>
    <row r="140" spans="1:82" s="88" customFormat="1" x14ac:dyDescent="0.25">
      <c r="A140" s="1246">
        <f t="shared" si="2"/>
        <v>137</v>
      </c>
      <c r="B140" s="930" t="str">
        <f>Coltura!C138</f>
        <v>O17</v>
      </c>
      <c r="C140" s="1191" t="str">
        <f>Coltura!D138</f>
        <v>Cardo alta produzione</v>
      </c>
      <c r="D140" s="41" t="s">
        <v>645</v>
      </c>
      <c r="E140" s="1280">
        <v>32.5</v>
      </c>
      <c r="F140" s="1235">
        <v>150</v>
      </c>
      <c r="G140" s="1236">
        <v>80</v>
      </c>
      <c r="H140" s="1236">
        <v>120</v>
      </c>
      <c r="I140" s="1236">
        <v>50</v>
      </c>
      <c r="J140" s="1236">
        <v>120</v>
      </c>
      <c r="K140" s="1237">
        <v>180</v>
      </c>
      <c r="L140" s="1237">
        <v>270</v>
      </c>
      <c r="M140" s="1237">
        <v>110</v>
      </c>
      <c r="N140" s="1237">
        <v>270</v>
      </c>
      <c r="O140" s="1280">
        <v>30</v>
      </c>
      <c r="P140" s="1235">
        <v>20</v>
      </c>
      <c r="Q140" s="1235">
        <v>20</v>
      </c>
      <c r="R140" s="1235">
        <v>0</v>
      </c>
      <c r="S140" s="1235">
        <v>15</v>
      </c>
      <c r="T140" s="1235">
        <v>0</v>
      </c>
      <c r="U140" s="1235">
        <v>15</v>
      </c>
      <c r="V140" s="1235">
        <v>15</v>
      </c>
      <c r="W140" s="1235">
        <v>0</v>
      </c>
      <c r="X140" s="1236">
        <v>20</v>
      </c>
      <c r="Y140" s="1236">
        <v>10</v>
      </c>
      <c r="Z140" s="1236">
        <v>0</v>
      </c>
      <c r="AA140" s="1236">
        <v>0</v>
      </c>
      <c r="AB140" s="1236">
        <v>0</v>
      </c>
      <c r="AC140" s="1237">
        <v>40</v>
      </c>
      <c r="AD140" s="1237">
        <v>10</v>
      </c>
      <c r="AE140" s="1237">
        <v>0</v>
      </c>
      <c r="AF140" s="1237">
        <v>0</v>
      </c>
      <c r="AG140" s="1237">
        <v>0</v>
      </c>
      <c r="AH140" s="1280">
        <v>35</v>
      </c>
      <c r="AI140" s="1235">
        <v>20</v>
      </c>
      <c r="AJ140" s="1235">
        <v>15</v>
      </c>
      <c r="AK140" s="1235">
        <v>0</v>
      </c>
      <c r="AL140" s="1235">
        <v>0</v>
      </c>
      <c r="AM140" s="1235">
        <v>15</v>
      </c>
      <c r="AN140" s="1235">
        <v>30</v>
      </c>
      <c r="AO140" s="1235">
        <v>20</v>
      </c>
      <c r="AP140" s="1235">
        <v>0</v>
      </c>
      <c r="AQ140" s="1235">
        <v>0</v>
      </c>
      <c r="AR140" s="1235">
        <v>0</v>
      </c>
      <c r="AS140" s="1235">
        <v>0</v>
      </c>
      <c r="AT140" s="1235">
        <v>0</v>
      </c>
      <c r="AU140" s="1235">
        <v>50</v>
      </c>
      <c r="AV140" s="1236">
        <v>20</v>
      </c>
      <c r="AW140" s="1236">
        <v>0</v>
      </c>
      <c r="AX140" s="1236">
        <v>0</v>
      </c>
      <c r="AY140" s="1236">
        <v>0</v>
      </c>
      <c r="AZ140" s="1236">
        <v>0</v>
      </c>
      <c r="BA140" s="1236">
        <v>0</v>
      </c>
      <c r="BB140" s="1236">
        <v>40</v>
      </c>
      <c r="BC140" s="1237">
        <v>40</v>
      </c>
      <c r="BD140" s="1237">
        <v>0</v>
      </c>
      <c r="BE140" s="1237">
        <v>0</v>
      </c>
      <c r="BF140" s="1237">
        <v>0</v>
      </c>
      <c r="BG140" s="1238">
        <v>0</v>
      </c>
      <c r="BH140" s="1239">
        <v>40</v>
      </c>
      <c r="BI140" s="1235">
        <v>0</v>
      </c>
      <c r="BJ140" s="1235">
        <v>0</v>
      </c>
      <c r="BK140" s="1235"/>
      <c r="BL140" s="1240">
        <v>0</v>
      </c>
      <c r="BM140" s="1240">
        <v>0</v>
      </c>
      <c r="BN140" s="1240"/>
      <c r="BO140" s="1239">
        <v>0</v>
      </c>
      <c r="BP140" s="1239">
        <v>0</v>
      </c>
      <c r="BQ140" s="1242"/>
      <c r="BR140" s="1287" t="s">
        <v>570</v>
      </c>
      <c r="BS140" s="1244"/>
      <c r="BV140" s="1245"/>
      <c r="BW140" s="1239"/>
      <c r="BX140" s="1239"/>
      <c r="BY140" s="1239"/>
      <c r="BZ140" s="1239"/>
      <c r="CA140" s="1244"/>
      <c r="CB140" s="1244"/>
      <c r="CC140" s="1244"/>
      <c r="CD140" s="1244"/>
    </row>
    <row r="141" spans="1:82" x14ac:dyDescent="0.25">
      <c r="A141" s="1246">
        <f t="shared" si="2"/>
        <v>138</v>
      </c>
      <c r="B141" s="930" t="str">
        <f>Coltura!C139</f>
        <v>O18</v>
      </c>
      <c r="C141" s="930" t="str">
        <f>Coltura!D139</f>
        <v>Carota</v>
      </c>
      <c r="D141" s="41" t="s">
        <v>645</v>
      </c>
      <c r="E141" s="32">
        <v>50</v>
      </c>
      <c r="F141" s="1224">
        <v>120</v>
      </c>
      <c r="G141" s="1225">
        <v>150</v>
      </c>
      <c r="H141" s="1225">
        <v>220</v>
      </c>
      <c r="I141" s="1225">
        <v>80</v>
      </c>
      <c r="J141" s="1225">
        <v>220</v>
      </c>
      <c r="K141" s="1226">
        <v>200</v>
      </c>
      <c r="L141" s="1226">
        <v>300</v>
      </c>
      <c r="M141" s="1226">
        <v>100</v>
      </c>
      <c r="N141" s="1226">
        <v>300</v>
      </c>
      <c r="O141" s="32">
        <v>40</v>
      </c>
      <c r="P141" s="1224">
        <v>20</v>
      </c>
      <c r="Q141" s="1224">
        <v>20</v>
      </c>
      <c r="R141" s="1224">
        <v>0</v>
      </c>
      <c r="S141" s="1224">
        <v>15</v>
      </c>
      <c r="T141" s="1224">
        <v>0</v>
      </c>
      <c r="U141" s="1224">
        <v>15</v>
      </c>
      <c r="V141" s="1224">
        <v>15</v>
      </c>
      <c r="W141" s="1224">
        <v>0</v>
      </c>
      <c r="X141" s="1225">
        <v>30</v>
      </c>
      <c r="Y141" s="1225">
        <v>10</v>
      </c>
      <c r="Z141" s="1225">
        <v>0</v>
      </c>
      <c r="AA141" s="1225">
        <v>0</v>
      </c>
      <c r="AB141" s="1225">
        <v>0</v>
      </c>
      <c r="AC141" s="1226">
        <v>40</v>
      </c>
      <c r="AD141" s="1226">
        <v>0</v>
      </c>
      <c r="AE141" s="1226">
        <v>0</v>
      </c>
      <c r="AF141" s="1226">
        <v>0</v>
      </c>
      <c r="AG141" s="1226">
        <v>0</v>
      </c>
      <c r="AH141" s="32">
        <v>60</v>
      </c>
      <c r="AI141" s="1224">
        <v>20</v>
      </c>
      <c r="AJ141" s="1224">
        <v>20</v>
      </c>
      <c r="AK141" s="1224">
        <v>0</v>
      </c>
      <c r="AL141" s="1224">
        <v>0</v>
      </c>
      <c r="AM141" s="1224">
        <v>15</v>
      </c>
      <c r="AN141" s="1224">
        <v>30</v>
      </c>
      <c r="AO141" s="1224">
        <v>20</v>
      </c>
      <c r="AP141" s="1224">
        <v>0</v>
      </c>
      <c r="AQ141" s="1224">
        <v>0</v>
      </c>
      <c r="AR141" s="1224">
        <v>0</v>
      </c>
      <c r="AS141" s="1224">
        <v>0</v>
      </c>
      <c r="AT141" s="1224">
        <v>0</v>
      </c>
      <c r="AU141" s="1224">
        <v>50</v>
      </c>
      <c r="AV141" s="1225">
        <v>30</v>
      </c>
      <c r="AW141" s="1225">
        <v>10</v>
      </c>
      <c r="AX141" s="1225">
        <v>0</v>
      </c>
      <c r="AY141" s="1225">
        <v>0</v>
      </c>
      <c r="AZ141" s="1225">
        <v>0</v>
      </c>
      <c r="BA141" s="1248">
        <v>0</v>
      </c>
      <c r="BB141" s="1225">
        <v>40</v>
      </c>
      <c r="BC141" s="1226">
        <v>40</v>
      </c>
      <c r="BD141" s="1226">
        <v>0</v>
      </c>
      <c r="BE141" s="1226">
        <v>0</v>
      </c>
      <c r="BF141" s="1249">
        <v>0</v>
      </c>
      <c r="BG141" s="1238">
        <v>0</v>
      </c>
      <c r="BH141" s="1229">
        <v>40</v>
      </c>
      <c r="BI141" s="1224">
        <v>0</v>
      </c>
      <c r="BJ141" s="1224">
        <v>0</v>
      </c>
      <c r="BL141" s="1230">
        <v>0</v>
      </c>
      <c r="BM141" s="1230">
        <v>0</v>
      </c>
      <c r="BO141" s="1229">
        <v>0</v>
      </c>
      <c r="BP141" s="1229">
        <v>0</v>
      </c>
      <c r="BR141" s="1243" t="s">
        <v>570</v>
      </c>
      <c r="BV141" s="60"/>
    </row>
    <row r="142" spans="1:82" s="88" customFormat="1" x14ac:dyDescent="0.25">
      <c r="A142" s="1246">
        <f t="shared" si="2"/>
        <v>139</v>
      </c>
      <c r="B142" s="930" t="str">
        <f>Coltura!C140</f>
        <v>O19</v>
      </c>
      <c r="C142" s="930" t="str">
        <f>Coltura!D140</f>
        <v>Cavolfiore media produzione</v>
      </c>
      <c r="D142" s="41" t="s">
        <v>645</v>
      </c>
      <c r="E142" s="88">
        <v>35</v>
      </c>
      <c r="F142" s="1235">
        <v>150</v>
      </c>
      <c r="G142" s="1236">
        <v>80</v>
      </c>
      <c r="H142" s="1236">
        <v>100</v>
      </c>
      <c r="I142" s="1236">
        <v>30</v>
      </c>
      <c r="J142" s="1236">
        <v>100</v>
      </c>
      <c r="K142" s="1237">
        <v>150</v>
      </c>
      <c r="L142" s="1237">
        <v>200</v>
      </c>
      <c r="M142" s="1237">
        <v>30</v>
      </c>
      <c r="N142" s="1237">
        <v>200</v>
      </c>
      <c r="O142" s="88">
        <v>28</v>
      </c>
      <c r="P142" s="1235">
        <v>20</v>
      </c>
      <c r="Q142" s="1235">
        <v>20</v>
      </c>
      <c r="R142" s="1235">
        <v>0</v>
      </c>
      <c r="S142" s="1235">
        <v>20</v>
      </c>
      <c r="T142" s="1235">
        <v>0</v>
      </c>
      <c r="U142" s="1235">
        <v>0</v>
      </c>
      <c r="V142" s="1235">
        <v>0</v>
      </c>
      <c r="W142" s="1235">
        <v>0</v>
      </c>
      <c r="X142" s="1236">
        <v>20</v>
      </c>
      <c r="Y142" s="1236">
        <v>10</v>
      </c>
      <c r="Z142" s="1236">
        <v>0</v>
      </c>
      <c r="AA142" s="1236">
        <v>0</v>
      </c>
      <c r="AB142" s="1236">
        <v>0</v>
      </c>
      <c r="AC142" s="1237">
        <v>30</v>
      </c>
      <c r="AD142" s="1237">
        <v>30</v>
      </c>
      <c r="AE142" s="1237">
        <v>0</v>
      </c>
      <c r="AF142" s="1237">
        <v>0</v>
      </c>
      <c r="AG142" s="1237">
        <v>0</v>
      </c>
      <c r="AH142" s="88">
        <v>40</v>
      </c>
      <c r="AI142" s="1235">
        <v>20</v>
      </c>
      <c r="AJ142" s="1235">
        <v>20</v>
      </c>
      <c r="AK142" s="1235">
        <v>0</v>
      </c>
      <c r="AL142" s="1235">
        <v>0</v>
      </c>
      <c r="AM142" s="1235">
        <v>15</v>
      </c>
      <c r="AN142" s="1235">
        <v>30</v>
      </c>
      <c r="AO142" s="1235">
        <v>20</v>
      </c>
      <c r="AP142" s="1235">
        <v>0</v>
      </c>
      <c r="AQ142" s="1235">
        <v>0</v>
      </c>
      <c r="AR142" s="1235">
        <v>0</v>
      </c>
      <c r="AS142" s="1235">
        <v>0</v>
      </c>
      <c r="AT142" s="1235">
        <v>0</v>
      </c>
      <c r="AU142" s="1235">
        <v>40</v>
      </c>
      <c r="AV142" s="1236">
        <v>20</v>
      </c>
      <c r="AW142" s="1236">
        <v>10</v>
      </c>
      <c r="AX142" s="1236">
        <v>0</v>
      </c>
      <c r="AY142" s="1236">
        <v>0</v>
      </c>
      <c r="AZ142" s="1236">
        <v>0</v>
      </c>
      <c r="BA142" s="1236">
        <v>0</v>
      </c>
      <c r="BB142" s="1236">
        <v>30</v>
      </c>
      <c r="BC142" s="1237">
        <v>30</v>
      </c>
      <c r="BD142" s="1237">
        <v>0</v>
      </c>
      <c r="BE142" s="1237">
        <v>0</v>
      </c>
      <c r="BF142" s="1237">
        <v>0</v>
      </c>
      <c r="BG142" s="1238">
        <v>0</v>
      </c>
      <c r="BH142" s="1239">
        <v>30</v>
      </c>
      <c r="BI142" s="1235">
        <v>0</v>
      </c>
      <c r="BJ142" s="1235">
        <v>0</v>
      </c>
      <c r="BK142" s="1235"/>
      <c r="BL142" s="1240">
        <v>0</v>
      </c>
      <c r="BM142" s="1240">
        <v>0</v>
      </c>
      <c r="BN142" s="1240"/>
      <c r="BO142" s="1239">
        <v>0</v>
      </c>
      <c r="BP142" s="1239">
        <v>0</v>
      </c>
      <c r="BQ142" s="1242"/>
      <c r="BR142" s="1243" t="s">
        <v>570</v>
      </c>
      <c r="BS142" s="1244"/>
      <c r="BV142" s="1245"/>
      <c r="BW142" s="1239"/>
      <c r="BX142" s="1239"/>
      <c r="BY142" s="1239"/>
      <c r="BZ142" s="1239"/>
      <c r="CA142" s="1244"/>
      <c r="CB142" s="1244"/>
      <c r="CC142" s="1244"/>
      <c r="CD142" s="1244"/>
    </row>
    <row r="143" spans="1:82" s="88" customFormat="1" x14ac:dyDescent="0.25">
      <c r="A143" s="1246">
        <f t="shared" si="2"/>
        <v>140</v>
      </c>
      <c r="B143" s="930" t="str">
        <f>Coltura!C141</f>
        <v>O20</v>
      </c>
      <c r="C143" s="1191" t="str">
        <f>Coltura!D141</f>
        <v>Cavolfiore alta produzione</v>
      </c>
      <c r="D143" s="823" t="s">
        <v>645</v>
      </c>
      <c r="E143" s="1280">
        <v>45</v>
      </c>
      <c r="F143" s="1235">
        <v>180</v>
      </c>
      <c r="G143" s="1236">
        <v>80</v>
      </c>
      <c r="H143" s="1253">
        <v>120</v>
      </c>
      <c r="I143" s="1253">
        <v>50</v>
      </c>
      <c r="J143" s="1253">
        <v>120</v>
      </c>
      <c r="K143" s="1237">
        <v>180</v>
      </c>
      <c r="L143" s="1237">
        <v>230</v>
      </c>
      <c r="M143" s="1254">
        <v>80</v>
      </c>
      <c r="N143" s="1237">
        <v>230</v>
      </c>
      <c r="O143" s="1280">
        <v>40</v>
      </c>
      <c r="P143" s="1235">
        <v>20</v>
      </c>
      <c r="Q143" s="1235">
        <v>20</v>
      </c>
      <c r="R143" s="1235">
        <v>0</v>
      </c>
      <c r="S143" s="1235">
        <v>20</v>
      </c>
      <c r="T143" s="1235">
        <v>0</v>
      </c>
      <c r="U143" s="1235">
        <v>0</v>
      </c>
      <c r="V143" s="1235">
        <v>0</v>
      </c>
      <c r="W143" s="1235">
        <v>0</v>
      </c>
      <c r="X143" s="1236">
        <v>20</v>
      </c>
      <c r="Y143" s="1236">
        <v>10</v>
      </c>
      <c r="Z143" s="1236">
        <v>0</v>
      </c>
      <c r="AA143" s="1236">
        <v>0</v>
      </c>
      <c r="AB143" s="1236">
        <v>0</v>
      </c>
      <c r="AC143" s="1237">
        <v>30</v>
      </c>
      <c r="AD143" s="1237">
        <v>30</v>
      </c>
      <c r="AE143" s="1237">
        <v>0</v>
      </c>
      <c r="AF143" s="1237">
        <v>0</v>
      </c>
      <c r="AG143" s="1237">
        <v>0</v>
      </c>
      <c r="AH143" s="1280">
        <v>50</v>
      </c>
      <c r="AI143" s="1235">
        <v>20</v>
      </c>
      <c r="AJ143" s="1235">
        <v>20</v>
      </c>
      <c r="AK143" s="1235">
        <v>0</v>
      </c>
      <c r="AL143" s="1235">
        <v>0</v>
      </c>
      <c r="AM143" s="1235">
        <v>15</v>
      </c>
      <c r="AN143" s="1235">
        <v>30</v>
      </c>
      <c r="AO143" s="1235">
        <v>20</v>
      </c>
      <c r="AP143" s="1235">
        <v>0</v>
      </c>
      <c r="AQ143" s="1235">
        <v>0</v>
      </c>
      <c r="AR143" s="1235">
        <v>0</v>
      </c>
      <c r="AS143" s="1235">
        <v>0</v>
      </c>
      <c r="AT143" s="1235">
        <v>0</v>
      </c>
      <c r="AU143" s="1235">
        <v>40</v>
      </c>
      <c r="AV143" s="1236">
        <v>20</v>
      </c>
      <c r="AW143" s="1236">
        <v>10</v>
      </c>
      <c r="AX143" s="1236">
        <v>0</v>
      </c>
      <c r="AY143" s="1236">
        <v>0</v>
      </c>
      <c r="AZ143" s="1236">
        <v>0</v>
      </c>
      <c r="BA143" s="1236">
        <v>0</v>
      </c>
      <c r="BB143" s="1236">
        <v>30</v>
      </c>
      <c r="BC143" s="1237">
        <v>30</v>
      </c>
      <c r="BD143" s="1237">
        <v>0</v>
      </c>
      <c r="BE143" s="1237">
        <v>0</v>
      </c>
      <c r="BF143" s="1237">
        <v>0</v>
      </c>
      <c r="BG143" s="1238">
        <v>0</v>
      </c>
      <c r="BH143" s="1239">
        <v>30</v>
      </c>
      <c r="BI143" s="1235">
        <v>0</v>
      </c>
      <c r="BJ143" s="1235">
        <v>0</v>
      </c>
      <c r="BK143" s="1235"/>
      <c r="BL143" s="1240">
        <v>0</v>
      </c>
      <c r="BM143" s="1240">
        <v>0</v>
      </c>
      <c r="BN143" s="1240"/>
      <c r="BO143" s="1239">
        <v>0</v>
      </c>
      <c r="BP143" s="1239">
        <v>0</v>
      </c>
      <c r="BQ143" s="1242"/>
      <c r="BR143" s="1243" t="s">
        <v>570</v>
      </c>
      <c r="BS143" s="1244"/>
      <c r="BV143" s="1245"/>
      <c r="BW143" s="1239"/>
      <c r="BX143" s="1239"/>
      <c r="BY143" s="1239"/>
      <c r="BZ143" s="1239"/>
      <c r="CA143" s="1244"/>
      <c r="CB143" s="1244"/>
      <c r="CC143" s="1244"/>
      <c r="CD143" s="1244"/>
    </row>
    <row r="144" spans="1:82" s="88" customFormat="1" x14ac:dyDescent="0.25">
      <c r="A144" s="1246">
        <f t="shared" si="2"/>
        <v>141</v>
      </c>
      <c r="B144" s="930" t="str">
        <f>Coltura!C142</f>
        <v>O21</v>
      </c>
      <c r="C144" s="1289" t="str">
        <f>Coltura!D142</f>
        <v>Cavolo verza mercato media produzione</v>
      </c>
      <c r="D144" s="823" t="s">
        <v>645</v>
      </c>
      <c r="E144" s="1288">
        <v>24</v>
      </c>
      <c r="F144" s="1235">
        <v>130</v>
      </c>
      <c r="G144" s="1236">
        <v>90</v>
      </c>
      <c r="H144" s="1236">
        <v>120</v>
      </c>
      <c r="I144" s="1236">
        <v>30</v>
      </c>
      <c r="J144" s="1236">
        <v>120</v>
      </c>
      <c r="K144" s="1237">
        <v>150</v>
      </c>
      <c r="L144" s="1237">
        <v>190</v>
      </c>
      <c r="M144" s="1237">
        <v>30</v>
      </c>
      <c r="N144" s="1237">
        <v>190</v>
      </c>
      <c r="O144" s="1288">
        <v>19</v>
      </c>
      <c r="P144" s="1235">
        <v>25</v>
      </c>
      <c r="Q144" s="1235">
        <v>20</v>
      </c>
      <c r="R144" s="1235">
        <v>0</v>
      </c>
      <c r="S144" s="1235">
        <v>20</v>
      </c>
      <c r="T144" s="1235">
        <v>0</v>
      </c>
      <c r="U144" s="1235">
        <v>0</v>
      </c>
      <c r="V144" s="1235">
        <v>15</v>
      </c>
      <c r="W144" s="1235">
        <v>0</v>
      </c>
      <c r="X144" s="1236">
        <v>15</v>
      </c>
      <c r="Y144" s="1236">
        <v>10</v>
      </c>
      <c r="Z144" s="1236">
        <v>0</v>
      </c>
      <c r="AA144" s="1236">
        <v>0</v>
      </c>
      <c r="AB144" s="1236">
        <v>0</v>
      </c>
      <c r="AC144" s="1237">
        <v>30</v>
      </c>
      <c r="AD144" s="1237">
        <v>30</v>
      </c>
      <c r="AE144" s="1237">
        <v>0</v>
      </c>
      <c r="AF144" s="1237">
        <v>0</v>
      </c>
      <c r="AG144" s="1237">
        <v>0</v>
      </c>
      <c r="AH144" s="1288">
        <v>29</v>
      </c>
      <c r="AI144" s="1235">
        <v>25</v>
      </c>
      <c r="AJ144" s="1235">
        <v>20</v>
      </c>
      <c r="AK144" s="1235">
        <v>0</v>
      </c>
      <c r="AL144" s="1235">
        <v>0</v>
      </c>
      <c r="AM144" s="1235">
        <v>15</v>
      </c>
      <c r="AN144" s="1235">
        <v>30</v>
      </c>
      <c r="AO144" s="1235">
        <v>20</v>
      </c>
      <c r="AP144" s="1235">
        <v>0</v>
      </c>
      <c r="AQ144" s="1235">
        <v>0</v>
      </c>
      <c r="AR144" s="1235">
        <v>0</v>
      </c>
      <c r="AS144" s="1235">
        <v>0</v>
      </c>
      <c r="AT144" s="1235">
        <v>0</v>
      </c>
      <c r="AU144" s="1235">
        <v>50</v>
      </c>
      <c r="AV144" s="1236">
        <v>15</v>
      </c>
      <c r="AW144" s="1236">
        <v>10</v>
      </c>
      <c r="AX144" s="1236">
        <v>0</v>
      </c>
      <c r="AY144" s="1236">
        <v>0</v>
      </c>
      <c r="AZ144" s="1236">
        <v>0</v>
      </c>
      <c r="BA144" s="1236">
        <v>0</v>
      </c>
      <c r="BB144" s="1236">
        <v>25</v>
      </c>
      <c r="BC144" s="1237">
        <v>30</v>
      </c>
      <c r="BD144" s="1237">
        <v>0</v>
      </c>
      <c r="BE144" s="1237">
        <v>0</v>
      </c>
      <c r="BF144" s="1237">
        <v>0</v>
      </c>
      <c r="BG144" s="1238">
        <v>0</v>
      </c>
      <c r="BH144" s="1239">
        <v>30</v>
      </c>
      <c r="BI144" s="1235">
        <v>0</v>
      </c>
      <c r="BJ144" s="1235">
        <v>0</v>
      </c>
      <c r="BK144" s="1235"/>
      <c r="BL144" s="1240">
        <v>0</v>
      </c>
      <c r="BM144" s="1240">
        <v>0</v>
      </c>
      <c r="BN144" s="1240"/>
      <c r="BO144" s="1239">
        <v>0</v>
      </c>
      <c r="BP144" s="1239">
        <v>0</v>
      </c>
      <c r="BQ144" s="1242"/>
      <c r="BR144" s="1243" t="s">
        <v>570</v>
      </c>
      <c r="BS144" s="1244"/>
      <c r="BV144" s="1245"/>
      <c r="BW144" s="1239"/>
      <c r="BX144" s="1239"/>
      <c r="BY144" s="1239"/>
      <c r="BZ144" s="1239"/>
      <c r="CA144" s="1244"/>
      <c r="CB144" s="1244"/>
      <c r="CC144" s="1244"/>
      <c r="CD144" s="1244"/>
    </row>
    <row r="145" spans="1:82" s="88" customFormat="1" x14ac:dyDescent="0.25">
      <c r="A145" s="1246">
        <f t="shared" si="2"/>
        <v>142</v>
      </c>
      <c r="B145" s="930" t="str">
        <f>Coltura!C143</f>
        <v>O22</v>
      </c>
      <c r="C145" s="1191" t="str">
        <f>Coltura!D143</f>
        <v>Cavolo verza mercato alta produzione</v>
      </c>
      <c r="D145" s="823" t="s">
        <v>645</v>
      </c>
      <c r="E145" s="1280">
        <v>50</v>
      </c>
      <c r="F145" s="1235">
        <v>160</v>
      </c>
      <c r="G145" s="1236">
        <v>90</v>
      </c>
      <c r="H145" s="1236">
        <v>120</v>
      </c>
      <c r="I145" s="1253">
        <v>40</v>
      </c>
      <c r="J145" s="1236">
        <v>120</v>
      </c>
      <c r="K145" s="1237">
        <v>180</v>
      </c>
      <c r="L145" s="1237">
        <v>220</v>
      </c>
      <c r="M145" s="1254">
        <v>80</v>
      </c>
      <c r="N145" s="1237">
        <v>220</v>
      </c>
      <c r="O145" s="1280">
        <v>40</v>
      </c>
      <c r="P145" s="1235">
        <v>25</v>
      </c>
      <c r="Q145" s="1235">
        <v>20</v>
      </c>
      <c r="R145" s="1235">
        <v>0</v>
      </c>
      <c r="S145" s="1235">
        <v>20</v>
      </c>
      <c r="T145" s="1235">
        <v>0</v>
      </c>
      <c r="U145" s="1235">
        <v>0</v>
      </c>
      <c r="V145" s="1235">
        <v>15</v>
      </c>
      <c r="W145" s="1235">
        <v>0</v>
      </c>
      <c r="X145" s="1236">
        <v>15</v>
      </c>
      <c r="Y145" s="1236">
        <v>10</v>
      </c>
      <c r="Z145" s="1236">
        <v>0</v>
      </c>
      <c r="AA145" s="1236">
        <v>0</v>
      </c>
      <c r="AB145" s="1236">
        <v>0</v>
      </c>
      <c r="AC145" s="1237">
        <v>30</v>
      </c>
      <c r="AD145" s="1237">
        <v>30</v>
      </c>
      <c r="AE145" s="1237">
        <v>0</v>
      </c>
      <c r="AF145" s="1237">
        <v>0</v>
      </c>
      <c r="AG145" s="1237">
        <v>0</v>
      </c>
      <c r="AH145" s="1280">
        <v>60</v>
      </c>
      <c r="AI145" s="1235">
        <v>25</v>
      </c>
      <c r="AJ145" s="1235">
        <v>20</v>
      </c>
      <c r="AK145" s="1235">
        <v>0</v>
      </c>
      <c r="AL145" s="1235">
        <v>0</v>
      </c>
      <c r="AM145" s="1235">
        <v>15</v>
      </c>
      <c r="AN145" s="1235">
        <v>30</v>
      </c>
      <c r="AO145" s="1235">
        <v>20</v>
      </c>
      <c r="AP145" s="1235">
        <v>0</v>
      </c>
      <c r="AQ145" s="1235">
        <v>0</v>
      </c>
      <c r="AR145" s="1235">
        <v>0</v>
      </c>
      <c r="AS145" s="1235">
        <v>0</v>
      </c>
      <c r="AT145" s="1235">
        <v>0</v>
      </c>
      <c r="AU145" s="1235">
        <v>50</v>
      </c>
      <c r="AV145" s="1236">
        <v>15</v>
      </c>
      <c r="AW145" s="1236">
        <v>10</v>
      </c>
      <c r="AX145" s="1236">
        <v>0</v>
      </c>
      <c r="AY145" s="1236">
        <v>0</v>
      </c>
      <c r="AZ145" s="1236">
        <v>0</v>
      </c>
      <c r="BA145" s="1236">
        <v>0</v>
      </c>
      <c r="BB145" s="1236">
        <v>25</v>
      </c>
      <c r="BC145" s="1237">
        <v>30</v>
      </c>
      <c r="BD145" s="1237">
        <v>0</v>
      </c>
      <c r="BE145" s="1237">
        <v>0</v>
      </c>
      <c r="BF145" s="1237">
        <v>0</v>
      </c>
      <c r="BG145" s="1238">
        <v>0</v>
      </c>
      <c r="BH145" s="1239">
        <v>30</v>
      </c>
      <c r="BI145" s="1235">
        <v>0</v>
      </c>
      <c r="BJ145" s="1235">
        <v>0</v>
      </c>
      <c r="BK145" s="1235"/>
      <c r="BL145" s="1240">
        <v>0</v>
      </c>
      <c r="BM145" s="1240">
        <v>0</v>
      </c>
      <c r="BN145" s="1240"/>
      <c r="BO145" s="1239">
        <v>0</v>
      </c>
      <c r="BP145" s="1239">
        <v>0</v>
      </c>
      <c r="BQ145" s="1242"/>
      <c r="BR145" s="1243" t="s">
        <v>570</v>
      </c>
      <c r="BS145" s="1244"/>
      <c r="BV145" s="1245"/>
      <c r="BW145" s="1239"/>
      <c r="BX145" s="1239"/>
      <c r="BY145" s="1239"/>
      <c r="BZ145" s="1239"/>
      <c r="CA145" s="1244"/>
      <c r="CB145" s="1244"/>
      <c r="CC145" s="1244"/>
      <c r="CD145" s="1244"/>
    </row>
    <row r="146" spans="1:82" s="88" customFormat="1" x14ac:dyDescent="0.25">
      <c r="A146" s="1246">
        <f t="shared" si="2"/>
        <v>143</v>
      </c>
      <c r="B146" s="930" t="str">
        <f>Coltura!C144</f>
        <v>O23</v>
      </c>
      <c r="C146" s="1191" t="str">
        <f>Coltura!D144</f>
        <v>Cavolo Riccio, Cavolo nero e Cavolo Rapa</v>
      </c>
      <c r="D146" s="41" t="s">
        <v>645</v>
      </c>
      <c r="E146" s="1280">
        <v>20</v>
      </c>
      <c r="F146" s="1235">
        <v>130</v>
      </c>
      <c r="G146" s="1236">
        <v>80</v>
      </c>
      <c r="H146" s="1236">
        <v>120</v>
      </c>
      <c r="I146" s="1253">
        <v>50</v>
      </c>
      <c r="J146" s="1236">
        <v>120</v>
      </c>
      <c r="K146" s="1237">
        <v>100</v>
      </c>
      <c r="L146" s="1237">
        <v>120</v>
      </c>
      <c r="M146" s="1254">
        <v>70</v>
      </c>
      <c r="N146" s="1237">
        <v>120</v>
      </c>
      <c r="O146" s="1280">
        <v>16</v>
      </c>
      <c r="P146" s="1235">
        <v>20</v>
      </c>
      <c r="Q146" s="1235">
        <v>20</v>
      </c>
      <c r="R146" s="1235">
        <v>0</v>
      </c>
      <c r="S146" s="1235">
        <v>20</v>
      </c>
      <c r="T146" s="1235">
        <v>0</v>
      </c>
      <c r="U146" s="1235">
        <v>0</v>
      </c>
      <c r="V146" s="1235">
        <v>0</v>
      </c>
      <c r="W146" s="1235">
        <v>0</v>
      </c>
      <c r="X146" s="1236">
        <v>20</v>
      </c>
      <c r="Y146" s="1236">
        <v>10</v>
      </c>
      <c r="Z146" s="1236">
        <v>0</v>
      </c>
      <c r="AA146" s="1236">
        <v>0</v>
      </c>
      <c r="AB146" s="1236">
        <v>0</v>
      </c>
      <c r="AC146" s="1237">
        <v>20</v>
      </c>
      <c r="AD146" s="1237">
        <v>30</v>
      </c>
      <c r="AE146" s="1237">
        <v>0</v>
      </c>
      <c r="AF146" s="1237">
        <v>0</v>
      </c>
      <c r="AG146" s="1237">
        <v>0</v>
      </c>
      <c r="AH146" s="1280">
        <v>24</v>
      </c>
      <c r="AI146" s="1235">
        <v>20</v>
      </c>
      <c r="AJ146" s="1235">
        <v>20</v>
      </c>
      <c r="AK146" s="1235">
        <v>0</v>
      </c>
      <c r="AL146" s="1235">
        <v>0</v>
      </c>
      <c r="AM146" s="1235">
        <v>15</v>
      </c>
      <c r="AN146" s="1235">
        <v>30</v>
      </c>
      <c r="AO146" s="1235">
        <v>20</v>
      </c>
      <c r="AP146" s="1235">
        <v>20</v>
      </c>
      <c r="AQ146" s="1235">
        <v>0</v>
      </c>
      <c r="AR146" s="1235">
        <v>0</v>
      </c>
      <c r="AS146" s="1235">
        <v>0</v>
      </c>
      <c r="AT146" s="1235">
        <v>0</v>
      </c>
      <c r="AU146" s="1235">
        <v>50</v>
      </c>
      <c r="AV146" s="1236">
        <v>20</v>
      </c>
      <c r="AW146" s="1236">
        <v>10</v>
      </c>
      <c r="AX146" s="1236">
        <v>0</v>
      </c>
      <c r="AY146" s="1236">
        <v>0</v>
      </c>
      <c r="AZ146" s="1236">
        <v>0</v>
      </c>
      <c r="BA146" s="1236">
        <v>0</v>
      </c>
      <c r="BB146" s="1236">
        <v>30</v>
      </c>
      <c r="BC146" s="1237">
        <v>20</v>
      </c>
      <c r="BD146" s="1237">
        <v>0</v>
      </c>
      <c r="BE146" s="1237">
        <v>0</v>
      </c>
      <c r="BF146" s="1237">
        <v>0</v>
      </c>
      <c r="BG146" s="1238">
        <v>0</v>
      </c>
      <c r="BH146" s="1239">
        <v>20</v>
      </c>
      <c r="BI146" s="1235">
        <v>0</v>
      </c>
      <c r="BJ146" s="1235">
        <v>0</v>
      </c>
      <c r="BK146" s="1235"/>
      <c r="BL146" s="1240">
        <v>0</v>
      </c>
      <c r="BM146" s="1240">
        <v>0</v>
      </c>
      <c r="BN146" s="1240"/>
      <c r="BO146" s="1239">
        <v>0</v>
      </c>
      <c r="BP146" s="1239">
        <v>0</v>
      </c>
      <c r="BQ146" s="1242"/>
      <c r="BR146" s="1287" t="s">
        <v>570</v>
      </c>
      <c r="BS146" s="1244"/>
      <c r="BV146" s="1245"/>
      <c r="BW146" s="1239"/>
      <c r="BX146" s="1239"/>
      <c r="BY146" s="1239"/>
      <c r="BZ146" s="1239"/>
      <c r="CA146" s="1244"/>
      <c r="CB146" s="1244"/>
      <c r="CC146" s="1244"/>
      <c r="CD146" s="1244"/>
    </row>
    <row r="147" spans="1:82" s="88" customFormat="1" x14ac:dyDescent="0.25">
      <c r="A147" s="1246">
        <f t="shared" si="2"/>
        <v>144</v>
      </c>
      <c r="B147" s="930" t="str">
        <f>Coltura!C145</f>
        <v>O24</v>
      </c>
      <c r="C147" s="930" t="str">
        <f>Coltura!D145</f>
        <v>Cetriolo da mensa media produzione</v>
      </c>
      <c r="D147" s="41" t="s">
        <v>645</v>
      </c>
      <c r="E147" s="88">
        <v>120</v>
      </c>
      <c r="F147" s="1235">
        <v>175</v>
      </c>
      <c r="G147" s="1236">
        <v>100</v>
      </c>
      <c r="H147" s="1236">
        <v>200</v>
      </c>
      <c r="I147" s="1236">
        <v>50</v>
      </c>
      <c r="J147" s="1236">
        <v>200</v>
      </c>
      <c r="K147" s="1237">
        <v>200</v>
      </c>
      <c r="L147" s="1237">
        <v>300</v>
      </c>
      <c r="M147" s="1237">
        <v>100</v>
      </c>
      <c r="N147" s="1237">
        <v>300</v>
      </c>
      <c r="O147" s="88">
        <v>95</v>
      </c>
      <c r="P147" s="1235">
        <v>20</v>
      </c>
      <c r="Q147" s="1235">
        <v>20</v>
      </c>
      <c r="R147" s="1235">
        <v>0</v>
      </c>
      <c r="S147" s="1235">
        <v>20</v>
      </c>
      <c r="T147" s="1235">
        <v>0</v>
      </c>
      <c r="U147" s="1235">
        <v>15</v>
      </c>
      <c r="V147" s="1235">
        <v>15</v>
      </c>
      <c r="W147" s="1235">
        <v>0</v>
      </c>
      <c r="X147" s="1236">
        <v>30</v>
      </c>
      <c r="Y147" s="1236">
        <v>10</v>
      </c>
      <c r="Z147" s="1236">
        <v>0</v>
      </c>
      <c r="AA147" s="1236">
        <v>0</v>
      </c>
      <c r="AB147" s="1236">
        <v>0</v>
      </c>
      <c r="AC147" s="1237">
        <v>40</v>
      </c>
      <c r="AD147" s="1237">
        <v>30</v>
      </c>
      <c r="AE147" s="1237">
        <v>0</v>
      </c>
      <c r="AF147" s="1237">
        <v>0</v>
      </c>
      <c r="AG147" s="1237">
        <v>0</v>
      </c>
      <c r="AH147" s="88">
        <v>145</v>
      </c>
      <c r="AI147" s="1235">
        <v>20</v>
      </c>
      <c r="AJ147" s="1235">
        <v>20</v>
      </c>
      <c r="AK147" s="1235">
        <v>0</v>
      </c>
      <c r="AL147" s="1235">
        <v>0</v>
      </c>
      <c r="AM147" s="1235">
        <v>15</v>
      </c>
      <c r="AN147" s="1235">
        <v>30</v>
      </c>
      <c r="AO147" s="1235">
        <v>15</v>
      </c>
      <c r="AP147" s="1235">
        <v>0</v>
      </c>
      <c r="AQ147" s="1235">
        <v>0</v>
      </c>
      <c r="AR147" s="1235">
        <v>0</v>
      </c>
      <c r="AS147" s="1235">
        <v>0</v>
      </c>
      <c r="AT147" s="1235">
        <v>0</v>
      </c>
      <c r="AU147" s="1235">
        <v>40</v>
      </c>
      <c r="AV147" s="1236">
        <v>30</v>
      </c>
      <c r="AW147" s="1236">
        <v>10</v>
      </c>
      <c r="AX147" s="1236">
        <v>0</v>
      </c>
      <c r="AY147" s="1236">
        <v>0</v>
      </c>
      <c r="AZ147" s="1236">
        <v>0</v>
      </c>
      <c r="BA147" s="1236">
        <v>0</v>
      </c>
      <c r="BB147" s="1236">
        <v>40</v>
      </c>
      <c r="BC147" s="1237">
        <v>40</v>
      </c>
      <c r="BD147" s="1237">
        <v>0</v>
      </c>
      <c r="BE147" s="1237">
        <v>0</v>
      </c>
      <c r="BF147" s="1237">
        <v>0</v>
      </c>
      <c r="BG147" s="1238">
        <v>0</v>
      </c>
      <c r="BH147" s="1239">
        <v>40</v>
      </c>
      <c r="BI147" s="1235">
        <v>0</v>
      </c>
      <c r="BJ147" s="1235">
        <v>0</v>
      </c>
      <c r="BK147" s="1235"/>
      <c r="BL147" s="1240">
        <v>0</v>
      </c>
      <c r="BM147" s="1240">
        <v>0</v>
      </c>
      <c r="BN147" s="1240"/>
      <c r="BO147" s="1239">
        <v>0</v>
      </c>
      <c r="BP147" s="1239">
        <v>0</v>
      </c>
      <c r="BQ147" s="1242"/>
      <c r="BR147" s="1243" t="s">
        <v>570</v>
      </c>
      <c r="BS147" s="1244"/>
      <c r="BV147" s="1245"/>
      <c r="BW147" s="1239"/>
      <c r="BX147" s="1239"/>
      <c r="BY147" s="1239"/>
      <c r="BZ147" s="1239"/>
      <c r="CA147" s="1244"/>
      <c r="CB147" s="1244"/>
      <c r="CC147" s="1244"/>
      <c r="CD147" s="1244"/>
    </row>
    <row r="148" spans="1:82" s="88" customFormat="1" x14ac:dyDescent="0.25">
      <c r="A148" s="1246">
        <f t="shared" si="2"/>
        <v>145</v>
      </c>
      <c r="B148" s="930" t="str">
        <f>Coltura!C146</f>
        <v>O25</v>
      </c>
      <c r="C148" s="1191" t="str">
        <f>Coltura!D146</f>
        <v>Cetriolo da mensa alta produzione</v>
      </c>
      <c r="D148" s="41" t="s">
        <v>645</v>
      </c>
      <c r="E148" s="1280">
        <v>150</v>
      </c>
      <c r="F148" s="1235">
        <v>210</v>
      </c>
      <c r="G148" s="1253">
        <v>120</v>
      </c>
      <c r="H148" s="1253">
        <v>220</v>
      </c>
      <c r="I148" s="1253">
        <v>70</v>
      </c>
      <c r="J148" s="1253">
        <v>220</v>
      </c>
      <c r="K148" s="1237">
        <v>250</v>
      </c>
      <c r="L148" s="1237">
        <v>300</v>
      </c>
      <c r="M148" s="1254">
        <v>170</v>
      </c>
      <c r="N148" s="1237">
        <v>300</v>
      </c>
      <c r="O148" s="1280">
        <v>140</v>
      </c>
      <c r="P148" s="1235">
        <v>20</v>
      </c>
      <c r="Q148" s="1235">
        <v>20</v>
      </c>
      <c r="R148" s="1235">
        <v>0</v>
      </c>
      <c r="S148" s="1235">
        <v>20</v>
      </c>
      <c r="T148" s="1235">
        <v>0</v>
      </c>
      <c r="U148" s="1235">
        <v>15</v>
      </c>
      <c r="V148" s="1235">
        <v>15</v>
      </c>
      <c r="W148" s="1235">
        <v>0</v>
      </c>
      <c r="X148" s="1236">
        <v>30</v>
      </c>
      <c r="Y148" s="1236">
        <v>10</v>
      </c>
      <c r="Z148" s="1236">
        <v>0</v>
      </c>
      <c r="AA148" s="1236">
        <v>0</v>
      </c>
      <c r="AB148" s="1236">
        <v>0</v>
      </c>
      <c r="AC148" s="1237">
        <v>40</v>
      </c>
      <c r="AD148" s="1237">
        <v>30</v>
      </c>
      <c r="AE148" s="1237">
        <v>0</v>
      </c>
      <c r="AF148" s="1237">
        <v>0</v>
      </c>
      <c r="AG148" s="1237">
        <v>0</v>
      </c>
      <c r="AH148" s="1280">
        <v>160</v>
      </c>
      <c r="AI148" s="1235">
        <v>20</v>
      </c>
      <c r="AJ148" s="1235">
        <v>20</v>
      </c>
      <c r="AK148" s="1235">
        <v>0</v>
      </c>
      <c r="AL148" s="1235">
        <v>0</v>
      </c>
      <c r="AM148" s="1235">
        <v>15</v>
      </c>
      <c r="AN148" s="1235">
        <v>30</v>
      </c>
      <c r="AO148" s="1235">
        <v>15</v>
      </c>
      <c r="AP148" s="1235">
        <v>0</v>
      </c>
      <c r="AQ148" s="1235">
        <v>0</v>
      </c>
      <c r="AR148" s="1235">
        <v>0</v>
      </c>
      <c r="AS148" s="1235">
        <v>0</v>
      </c>
      <c r="AT148" s="1235">
        <v>0</v>
      </c>
      <c r="AU148" s="1235">
        <v>40</v>
      </c>
      <c r="AV148" s="1236">
        <v>30</v>
      </c>
      <c r="AW148" s="1236">
        <v>10</v>
      </c>
      <c r="AX148" s="1236">
        <v>0</v>
      </c>
      <c r="AY148" s="1236">
        <v>0</v>
      </c>
      <c r="AZ148" s="1236">
        <v>0</v>
      </c>
      <c r="BA148" s="1236">
        <v>0</v>
      </c>
      <c r="BB148" s="1236">
        <v>40</v>
      </c>
      <c r="BC148" s="1237">
        <v>40</v>
      </c>
      <c r="BD148" s="1237">
        <v>0</v>
      </c>
      <c r="BE148" s="1237">
        <v>0</v>
      </c>
      <c r="BF148" s="1237">
        <v>0</v>
      </c>
      <c r="BG148" s="1238">
        <v>0</v>
      </c>
      <c r="BH148" s="1239">
        <v>40</v>
      </c>
      <c r="BI148" s="1235">
        <v>0</v>
      </c>
      <c r="BJ148" s="1235">
        <v>0</v>
      </c>
      <c r="BK148" s="1235"/>
      <c r="BL148" s="1240">
        <v>0</v>
      </c>
      <c r="BM148" s="1240">
        <v>0</v>
      </c>
      <c r="BN148" s="1240"/>
      <c r="BO148" s="1239">
        <v>0</v>
      </c>
      <c r="BP148" s="1239">
        <v>0</v>
      </c>
      <c r="BQ148" s="1242"/>
      <c r="BR148" s="1243" t="s">
        <v>570</v>
      </c>
      <c r="BS148" s="1244"/>
      <c r="BV148" s="1245"/>
      <c r="BW148" s="1239"/>
      <c r="BX148" s="1239"/>
      <c r="BY148" s="1239"/>
      <c r="BZ148" s="1239"/>
      <c r="CA148" s="1244"/>
      <c r="CB148" s="1244"/>
      <c r="CC148" s="1244"/>
      <c r="CD148" s="1244"/>
    </row>
    <row r="149" spans="1:82" s="1169" customFormat="1" x14ac:dyDescent="0.25">
      <c r="A149" s="1168">
        <f t="shared" si="2"/>
        <v>146</v>
      </c>
      <c r="B149" s="1169" t="str">
        <f>Coltura!C147</f>
        <v>O26</v>
      </c>
      <c r="C149" s="1169" t="str">
        <f>Coltura!D147</f>
        <v>Cicoria da mercato media produzione</v>
      </c>
      <c r="D149" s="1168" t="s">
        <v>645</v>
      </c>
      <c r="E149" s="1169">
        <v>28</v>
      </c>
      <c r="F149" s="1252">
        <v>140</v>
      </c>
      <c r="G149" s="1253">
        <v>140</v>
      </c>
      <c r="H149" s="1253">
        <v>200</v>
      </c>
      <c r="I149" s="1253">
        <v>80</v>
      </c>
      <c r="J149" s="1253">
        <v>200</v>
      </c>
      <c r="K149" s="1254">
        <v>140</v>
      </c>
      <c r="L149" s="1254">
        <v>200</v>
      </c>
      <c r="M149" s="1254">
        <v>70</v>
      </c>
      <c r="N149" s="1254">
        <v>200</v>
      </c>
      <c r="O149" s="1169">
        <v>23</v>
      </c>
      <c r="P149" s="1252">
        <v>20</v>
      </c>
      <c r="Q149" s="1252">
        <v>20</v>
      </c>
      <c r="R149" s="1252">
        <v>0</v>
      </c>
      <c r="S149" s="1252">
        <v>20</v>
      </c>
      <c r="T149" s="1252">
        <v>0</v>
      </c>
      <c r="U149" s="1252">
        <v>15</v>
      </c>
      <c r="V149" s="1252">
        <v>15</v>
      </c>
      <c r="W149" s="1252">
        <v>20</v>
      </c>
      <c r="X149" s="1253">
        <v>30</v>
      </c>
      <c r="Y149" s="1253">
        <v>10</v>
      </c>
      <c r="Z149" s="1253">
        <v>0</v>
      </c>
      <c r="AA149" s="1253">
        <v>20</v>
      </c>
      <c r="AB149" s="1253">
        <v>0</v>
      </c>
      <c r="AC149" s="1254">
        <v>30</v>
      </c>
      <c r="AD149" s="1254">
        <v>30</v>
      </c>
      <c r="AE149" s="1254">
        <v>0</v>
      </c>
      <c r="AF149" s="1254">
        <v>20</v>
      </c>
      <c r="AG149" s="1254">
        <v>0</v>
      </c>
      <c r="AH149" s="1169">
        <v>33</v>
      </c>
      <c r="AI149" s="1252">
        <v>20</v>
      </c>
      <c r="AJ149" s="1252">
        <v>20</v>
      </c>
      <c r="AK149" s="1252">
        <v>0</v>
      </c>
      <c r="AL149" s="1252">
        <v>0</v>
      </c>
      <c r="AM149" s="1252">
        <v>15</v>
      </c>
      <c r="AN149" s="1252">
        <v>30</v>
      </c>
      <c r="AO149" s="1252">
        <v>20</v>
      </c>
      <c r="AP149" s="1252">
        <v>0</v>
      </c>
      <c r="AQ149" s="1252">
        <v>0</v>
      </c>
      <c r="AR149" s="1252">
        <v>0</v>
      </c>
      <c r="AS149" s="1252">
        <v>0</v>
      </c>
      <c r="AT149" s="1252">
        <v>0</v>
      </c>
      <c r="AU149" s="1252">
        <v>40</v>
      </c>
      <c r="AV149" s="1253">
        <v>30</v>
      </c>
      <c r="AW149" s="1253">
        <v>10</v>
      </c>
      <c r="AX149" s="1253">
        <v>20</v>
      </c>
      <c r="AY149" s="1253">
        <v>0</v>
      </c>
      <c r="AZ149" s="1253">
        <v>0</v>
      </c>
      <c r="BA149" s="1253">
        <v>0</v>
      </c>
      <c r="BB149" s="1253">
        <v>60</v>
      </c>
      <c r="BC149" s="1254">
        <v>30</v>
      </c>
      <c r="BD149" s="1254">
        <v>0</v>
      </c>
      <c r="BE149" s="1254">
        <v>0</v>
      </c>
      <c r="BF149" s="1254">
        <v>0</v>
      </c>
      <c r="BG149" s="1255">
        <v>0</v>
      </c>
      <c r="BH149" s="1256">
        <v>30</v>
      </c>
      <c r="BI149" s="1252">
        <v>0</v>
      </c>
      <c r="BJ149" s="1252">
        <v>0</v>
      </c>
      <c r="BK149" s="1252"/>
      <c r="BL149" s="1257">
        <v>0</v>
      </c>
      <c r="BM149" s="1257">
        <v>0</v>
      </c>
      <c r="BN149" s="1257"/>
      <c r="BO149" s="1256">
        <v>0</v>
      </c>
      <c r="BP149" s="1256">
        <v>0</v>
      </c>
      <c r="BQ149" s="1258"/>
      <c r="BR149" s="1259" t="s">
        <v>570</v>
      </c>
      <c r="BS149" s="1260"/>
      <c r="BV149" s="1261"/>
      <c r="BW149" s="1256"/>
      <c r="BX149" s="1256"/>
      <c r="BY149" s="1256"/>
      <c r="BZ149" s="1256"/>
      <c r="CA149" s="1260"/>
      <c r="CB149" s="1260"/>
      <c r="CC149" s="1260"/>
      <c r="CD149" s="1260"/>
    </row>
    <row r="150" spans="1:82" s="88" customFormat="1" x14ac:dyDescent="0.25">
      <c r="A150" s="1246">
        <f t="shared" si="2"/>
        <v>147</v>
      </c>
      <c r="B150" s="930" t="str">
        <f>Coltura!C148</f>
        <v>O27</v>
      </c>
      <c r="C150" s="1191" t="str">
        <f>Coltura!D148</f>
        <v>Cicoria da mercato alta produzione</v>
      </c>
      <c r="D150" s="41" t="s">
        <v>645</v>
      </c>
      <c r="E150" s="1280">
        <v>37.5</v>
      </c>
      <c r="F150" s="1235">
        <v>165</v>
      </c>
      <c r="G150" s="1236">
        <v>140</v>
      </c>
      <c r="H150" s="1236">
        <v>200</v>
      </c>
      <c r="I150" s="1236">
        <v>80</v>
      </c>
      <c r="J150" s="1236">
        <v>200</v>
      </c>
      <c r="K150" s="1237">
        <v>150</v>
      </c>
      <c r="L150" s="1237">
        <v>210</v>
      </c>
      <c r="M150" s="1254">
        <v>100</v>
      </c>
      <c r="N150" s="1237">
        <v>210</v>
      </c>
      <c r="O150" s="1280">
        <v>35</v>
      </c>
      <c r="P150" s="1235">
        <v>20</v>
      </c>
      <c r="Q150" s="1235">
        <v>20</v>
      </c>
      <c r="R150" s="1235">
        <v>0</v>
      </c>
      <c r="S150" s="1235">
        <v>20</v>
      </c>
      <c r="T150" s="1235">
        <v>0</v>
      </c>
      <c r="U150" s="1235">
        <v>15</v>
      </c>
      <c r="V150" s="1235">
        <v>15</v>
      </c>
      <c r="W150" s="1235">
        <v>20</v>
      </c>
      <c r="X150" s="1236">
        <v>30</v>
      </c>
      <c r="Y150" s="1236">
        <v>10</v>
      </c>
      <c r="Z150" s="1236">
        <v>0</v>
      </c>
      <c r="AA150" s="1236">
        <v>20</v>
      </c>
      <c r="AB150" s="1236">
        <v>0</v>
      </c>
      <c r="AC150" s="1237">
        <v>30</v>
      </c>
      <c r="AD150" s="1237">
        <v>30</v>
      </c>
      <c r="AE150" s="1237">
        <v>0</v>
      </c>
      <c r="AF150" s="1237">
        <v>20</v>
      </c>
      <c r="AG150" s="1237">
        <v>0</v>
      </c>
      <c r="AH150" s="1280">
        <v>40</v>
      </c>
      <c r="AI150" s="1235">
        <v>20</v>
      </c>
      <c r="AJ150" s="1235">
        <v>20</v>
      </c>
      <c r="AK150" s="1235">
        <v>0</v>
      </c>
      <c r="AL150" s="1235">
        <v>0</v>
      </c>
      <c r="AM150" s="1235">
        <v>15</v>
      </c>
      <c r="AN150" s="1235">
        <v>30</v>
      </c>
      <c r="AO150" s="1235">
        <v>20</v>
      </c>
      <c r="AP150" s="1235">
        <v>0</v>
      </c>
      <c r="AQ150" s="1235">
        <v>0</v>
      </c>
      <c r="AR150" s="1235">
        <v>0</v>
      </c>
      <c r="AS150" s="1235">
        <v>0</v>
      </c>
      <c r="AT150" s="1235">
        <v>0</v>
      </c>
      <c r="AU150" s="1235">
        <v>40</v>
      </c>
      <c r="AV150" s="1236">
        <v>30</v>
      </c>
      <c r="AW150" s="1236">
        <v>10</v>
      </c>
      <c r="AX150" s="1236">
        <v>20</v>
      </c>
      <c r="AY150" s="1236">
        <v>0</v>
      </c>
      <c r="AZ150" s="1236">
        <v>0</v>
      </c>
      <c r="BA150" s="1236">
        <v>0</v>
      </c>
      <c r="BB150" s="1236">
        <v>60</v>
      </c>
      <c r="BC150" s="1237">
        <v>30</v>
      </c>
      <c r="BD150" s="1237">
        <v>0</v>
      </c>
      <c r="BE150" s="1237">
        <v>0</v>
      </c>
      <c r="BF150" s="1237">
        <v>0</v>
      </c>
      <c r="BG150" s="1238">
        <v>0</v>
      </c>
      <c r="BH150" s="1239">
        <v>30</v>
      </c>
      <c r="BI150" s="1235">
        <v>0</v>
      </c>
      <c r="BJ150" s="1235">
        <v>0</v>
      </c>
      <c r="BK150" s="1235"/>
      <c r="BL150" s="1240">
        <v>0</v>
      </c>
      <c r="BM150" s="1240">
        <v>0</v>
      </c>
      <c r="BN150" s="1240"/>
      <c r="BO150" s="1239">
        <v>0</v>
      </c>
      <c r="BP150" s="1239">
        <v>0</v>
      </c>
      <c r="BQ150" s="1242"/>
      <c r="BR150" s="1243" t="s">
        <v>570</v>
      </c>
      <c r="BS150" s="1244"/>
      <c r="BV150" s="1245"/>
      <c r="BW150" s="1239"/>
      <c r="BX150" s="1239"/>
      <c r="BY150" s="1239"/>
      <c r="BZ150" s="1239"/>
      <c r="CA150" s="1244"/>
      <c r="CB150" s="1244"/>
      <c r="CC150" s="1244"/>
      <c r="CD150" s="1244"/>
    </row>
    <row r="151" spans="1:82" s="1276" customFormat="1" ht="14.25" customHeight="1" x14ac:dyDescent="0.25">
      <c r="A151" s="1246">
        <f t="shared" si="2"/>
        <v>148</v>
      </c>
      <c r="B151" s="1263" t="str">
        <f>Coltura!C149</f>
        <v>O28</v>
      </c>
      <c r="C151" s="1290" t="str">
        <f>Coltura!D149</f>
        <v>Cicoria da industria alta produzione più tagli</v>
      </c>
      <c r="D151" s="1275" t="s">
        <v>645</v>
      </c>
      <c r="E151" s="1276">
        <v>28</v>
      </c>
      <c r="F151" s="1281">
        <v>140</v>
      </c>
      <c r="G151" s="1236">
        <v>140</v>
      </c>
      <c r="H151" s="1236">
        <v>200</v>
      </c>
      <c r="I151" s="1236">
        <v>80</v>
      </c>
      <c r="J151" s="1236">
        <v>200</v>
      </c>
      <c r="K151" s="1282">
        <f>IF($BR151="sì",(BW151+(CA151*(Codici!$BA$2-1))))</f>
        <v>140</v>
      </c>
      <c r="L151" s="1282">
        <f>IF($BR151="sì",(BX151+(CB151*(Codici!$BA$2-1))))</f>
        <v>200</v>
      </c>
      <c r="M151" s="1282">
        <f>IF($BR151="sì",(BY151+(CC151*(Codici!$BA$2-1))))</f>
        <v>70</v>
      </c>
      <c r="N151" s="1282">
        <f>IF($BR151="sì",(BZ151+(CD151*(Codici!$BA$2-1))))</f>
        <v>200</v>
      </c>
      <c r="O151" s="1276">
        <v>23</v>
      </c>
      <c r="P151" s="1235">
        <v>0</v>
      </c>
      <c r="Q151" s="1235">
        <v>20</v>
      </c>
      <c r="R151" s="1235">
        <v>0</v>
      </c>
      <c r="S151" s="1235">
        <v>20</v>
      </c>
      <c r="T151" s="1235">
        <v>0</v>
      </c>
      <c r="U151" s="1235">
        <v>15</v>
      </c>
      <c r="V151" s="1235">
        <v>15</v>
      </c>
      <c r="W151" s="1235">
        <v>0</v>
      </c>
      <c r="X151" s="1236">
        <v>30</v>
      </c>
      <c r="Y151" s="1236">
        <v>10</v>
      </c>
      <c r="Z151" s="1236">
        <v>0</v>
      </c>
      <c r="AA151" s="1236">
        <v>20</v>
      </c>
      <c r="AB151" s="1236">
        <v>0</v>
      </c>
      <c r="AC151" s="1237">
        <v>30</v>
      </c>
      <c r="AD151" s="1237">
        <v>30</v>
      </c>
      <c r="AE151" s="1237">
        <v>0</v>
      </c>
      <c r="AF151" s="1237">
        <v>20</v>
      </c>
      <c r="AG151" s="1237">
        <v>0</v>
      </c>
      <c r="AH151" s="1276">
        <v>33</v>
      </c>
      <c r="AI151" s="1235">
        <v>0</v>
      </c>
      <c r="AJ151" s="1235">
        <v>20</v>
      </c>
      <c r="AK151" s="1235">
        <v>0</v>
      </c>
      <c r="AL151" s="1235">
        <v>0</v>
      </c>
      <c r="AM151" s="1235">
        <v>15</v>
      </c>
      <c r="AN151" s="1235">
        <v>30</v>
      </c>
      <c r="AO151" s="1235">
        <v>0</v>
      </c>
      <c r="AP151" s="1235">
        <v>0</v>
      </c>
      <c r="AQ151" s="1235">
        <v>0</v>
      </c>
      <c r="AR151" s="1235">
        <v>0</v>
      </c>
      <c r="AS151" s="1235">
        <v>0</v>
      </c>
      <c r="AT151" s="1235">
        <v>0</v>
      </c>
      <c r="AU151" s="1235">
        <v>40</v>
      </c>
      <c r="AV151" s="1236">
        <v>30</v>
      </c>
      <c r="AW151" s="1236">
        <v>10</v>
      </c>
      <c r="AX151" s="1236">
        <v>0</v>
      </c>
      <c r="AY151" s="1236">
        <v>0</v>
      </c>
      <c r="AZ151" s="1236">
        <v>20</v>
      </c>
      <c r="BA151" s="1236">
        <v>0</v>
      </c>
      <c r="BB151" s="1236">
        <v>40</v>
      </c>
      <c r="BC151" s="1237">
        <v>30</v>
      </c>
      <c r="BD151" s="1237">
        <v>0</v>
      </c>
      <c r="BE151" s="1237">
        <v>0</v>
      </c>
      <c r="BF151" s="1237">
        <v>0</v>
      </c>
      <c r="BG151" s="1238">
        <v>0</v>
      </c>
      <c r="BH151" s="1239">
        <v>30</v>
      </c>
      <c r="BI151" s="1235">
        <v>0</v>
      </c>
      <c r="BJ151" s="1235">
        <v>0</v>
      </c>
      <c r="BK151" s="1235"/>
      <c r="BL151" s="1240">
        <v>0</v>
      </c>
      <c r="BM151" s="1240">
        <v>0</v>
      </c>
      <c r="BN151" s="1240"/>
      <c r="BO151" s="1239">
        <v>0</v>
      </c>
      <c r="BP151" s="1239">
        <v>0</v>
      </c>
      <c r="BQ151" s="1242"/>
      <c r="BR151" s="1277" t="s">
        <v>571</v>
      </c>
      <c r="BS151" s="1244">
        <v>130</v>
      </c>
      <c r="BT151" s="1291" t="s">
        <v>1532</v>
      </c>
      <c r="BU151" s="1276">
        <v>40</v>
      </c>
      <c r="BV151" s="1292" t="s">
        <v>1510</v>
      </c>
      <c r="BW151" s="1239">
        <v>140</v>
      </c>
      <c r="BX151" s="1239">
        <v>200</v>
      </c>
      <c r="BY151" s="1239">
        <v>70</v>
      </c>
      <c r="BZ151" s="1239">
        <v>200</v>
      </c>
      <c r="CA151" s="1244">
        <v>0</v>
      </c>
      <c r="CB151" s="1244">
        <v>0</v>
      </c>
      <c r="CC151" s="1244">
        <v>0</v>
      </c>
      <c r="CD151" s="1244">
        <v>0</v>
      </c>
    </row>
    <row r="152" spans="1:82" s="88" customFormat="1" x14ac:dyDescent="0.25">
      <c r="A152" s="1246">
        <f t="shared" si="2"/>
        <v>149</v>
      </c>
      <c r="B152" s="930" t="str">
        <f>Coltura!C150</f>
        <v>O29</v>
      </c>
      <c r="C152" s="930" t="str">
        <f>Coltura!D150</f>
        <v>Cipolla media produzione</v>
      </c>
      <c r="D152" s="41" t="s">
        <v>645</v>
      </c>
      <c r="E152" s="88">
        <v>45</v>
      </c>
      <c r="F152" s="1235">
        <v>130</v>
      </c>
      <c r="G152" s="1236">
        <v>85</v>
      </c>
      <c r="H152" s="1236">
        <v>140</v>
      </c>
      <c r="I152" s="1236">
        <v>50</v>
      </c>
      <c r="J152" s="1236">
        <v>140</v>
      </c>
      <c r="K152" s="1237">
        <v>150</v>
      </c>
      <c r="L152" s="1237">
        <v>200</v>
      </c>
      <c r="M152" s="1237">
        <v>70</v>
      </c>
      <c r="N152" s="1237">
        <v>200</v>
      </c>
      <c r="O152" s="88">
        <v>36</v>
      </c>
      <c r="P152" s="1235">
        <v>30</v>
      </c>
      <c r="Q152" s="1235">
        <v>20</v>
      </c>
      <c r="R152" s="1235">
        <v>0</v>
      </c>
      <c r="S152" s="1235">
        <v>15</v>
      </c>
      <c r="T152" s="1235">
        <v>0</v>
      </c>
      <c r="U152" s="1235">
        <v>15</v>
      </c>
      <c r="V152" s="1235">
        <v>15</v>
      </c>
      <c r="W152" s="1235">
        <v>0</v>
      </c>
      <c r="X152" s="1236">
        <v>15</v>
      </c>
      <c r="Y152" s="1236">
        <v>0</v>
      </c>
      <c r="Z152" s="1236">
        <v>0</v>
      </c>
      <c r="AA152" s="1236">
        <v>0</v>
      </c>
      <c r="AB152" s="1236">
        <v>0</v>
      </c>
      <c r="AC152" s="1237">
        <v>25</v>
      </c>
      <c r="AD152" s="1237">
        <v>0</v>
      </c>
      <c r="AE152" s="1237">
        <v>0</v>
      </c>
      <c r="AF152" s="1237">
        <v>0</v>
      </c>
      <c r="AG152" s="1237">
        <v>0</v>
      </c>
      <c r="AH152" s="88">
        <v>54</v>
      </c>
      <c r="AI152" s="1235">
        <v>30</v>
      </c>
      <c r="AJ152" s="1235">
        <v>15</v>
      </c>
      <c r="AK152" s="1235">
        <v>0</v>
      </c>
      <c r="AL152" s="1235">
        <v>0</v>
      </c>
      <c r="AM152" s="1235">
        <v>15</v>
      </c>
      <c r="AN152" s="1235">
        <v>30</v>
      </c>
      <c r="AO152" s="1235">
        <v>0</v>
      </c>
      <c r="AP152" s="1235">
        <v>20</v>
      </c>
      <c r="AQ152" s="1235">
        <v>0</v>
      </c>
      <c r="AR152" s="1235">
        <v>0</v>
      </c>
      <c r="AS152" s="1235">
        <v>0</v>
      </c>
      <c r="AT152" s="1235">
        <v>0</v>
      </c>
      <c r="AU152" s="1235">
        <v>50</v>
      </c>
      <c r="AV152" s="1236">
        <v>15</v>
      </c>
      <c r="AW152" s="1236">
        <v>10</v>
      </c>
      <c r="AX152" s="1236">
        <v>15</v>
      </c>
      <c r="AY152" s="1236">
        <v>0</v>
      </c>
      <c r="AZ152" s="1236">
        <v>0</v>
      </c>
      <c r="BA152" s="1236">
        <v>0</v>
      </c>
      <c r="BB152" s="1236">
        <v>40</v>
      </c>
      <c r="BC152" s="1237">
        <v>25</v>
      </c>
      <c r="BD152" s="1237">
        <v>0</v>
      </c>
      <c r="BE152" s="1237">
        <v>0</v>
      </c>
      <c r="BF152" s="1237">
        <v>0</v>
      </c>
      <c r="BG152" s="1238">
        <v>0</v>
      </c>
      <c r="BH152" s="1239">
        <v>25</v>
      </c>
      <c r="BI152" s="1235">
        <v>0</v>
      </c>
      <c r="BJ152" s="1235">
        <v>0</v>
      </c>
      <c r="BK152" s="1235"/>
      <c r="BL152" s="1240">
        <v>0</v>
      </c>
      <c r="BM152" s="1240">
        <v>0</v>
      </c>
      <c r="BN152" s="1240"/>
      <c r="BO152" s="1239">
        <v>0</v>
      </c>
      <c r="BP152" s="1239">
        <v>0</v>
      </c>
      <c r="BQ152" s="1242"/>
      <c r="BR152" s="1243" t="s">
        <v>570</v>
      </c>
      <c r="BS152" s="1244"/>
      <c r="BV152" s="1245"/>
      <c r="BW152" s="1239"/>
      <c r="BX152" s="1239"/>
      <c r="BY152" s="1239"/>
      <c r="BZ152" s="1239"/>
      <c r="CA152" s="1244"/>
      <c r="CB152" s="1244"/>
      <c r="CC152" s="1244"/>
      <c r="CD152" s="1244"/>
    </row>
    <row r="153" spans="1:82" s="1169" customFormat="1" x14ac:dyDescent="0.25">
      <c r="A153" s="1246">
        <f t="shared" si="2"/>
        <v>150</v>
      </c>
      <c r="B153" s="1169" t="str">
        <f>Coltura!C151</f>
        <v>O30</v>
      </c>
      <c r="C153" s="1169" t="str">
        <f>Coltura!D151</f>
        <v>Cipolla alta produzione</v>
      </c>
      <c r="D153" s="1168" t="s">
        <v>645</v>
      </c>
      <c r="E153" s="1169">
        <v>65</v>
      </c>
      <c r="F153" s="1252">
        <v>180</v>
      </c>
      <c r="G153" s="1253">
        <v>90</v>
      </c>
      <c r="H153" s="1253">
        <v>160</v>
      </c>
      <c r="I153" s="1253">
        <v>70</v>
      </c>
      <c r="J153" s="1253">
        <v>160</v>
      </c>
      <c r="K153" s="1254">
        <v>180</v>
      </c>
      <c r="L153" s="1254">
        <v>230</v>
      </c>
      <c r="M153" s="1254">
        <v>90</v>
      </c>
      <c r="N153" s="1254">
        <v>230</v>
      </c>
      <c r="O153" s="1169">
        <v>55</v>
      </c>
      <c r="P153" s="1252">
        <v>30</v>
      </c>
      <c r="Q153" s="1252">
        <v>20</v>
      </c>
      <c r="R153" s="1252">
        <v>0</v>
      </c>
      <c r="S153" s="1252">
        <v>20</v>
      </c>
      <c r="T153" s="1252">
        <v>0</v>
      </c>
      <c r="U153" s="1252">
        <v>15</v>
      </c>
      <c r="V153" s="1252">
        <v>15</v>
      </c>
      <c r="W153" s="1252">
        <v>0</v>
      </c>
      <c r="X153" s="1253">
        <v>15</v>
      </c>
      <c r="Y153" s="1253">
        <v>0</v>
      </c>
      <c r="Z153" s="1253">
        <v>0</v>
      </c>
      <c r="AA153" s="1253">
        <v>0</v>
      </c>
      <c r="AB153" s="1253">
        <v>0</v>
      </c>
      <c r="AC153" s="1254">
        <v>25</v>
      </c>
      <c r="AD153" s="1254">
        <v>0</v>
      </c>
      <c r="AE153" s="1254">
        <v>0</v>
      </c>
      <c r="AF153" s="1254">
        <v>0</v>
      </c>
      <c r="AG153" s="1254">
        <v>0</v>
      </c>
      <c r="AH153" s="1169">
        <v>75</v>
      </c>
      <c r="AI153" s="1252">
        <v>30</v>
      </c>
      <c r="AJ153" s="1252">
        <v>20</v>
      </c>
      <c r="AK153" s="1252">
        <v>0</v>
      </c>
      <c r="AL153" s="1252">
        <v>0</v>
      </c>
      <c r="AM153" s="1252">
        <v>15</v>
      </c>
      <c r="AN153" s="1252">
        <v>30</v>
      </c>
      <c r="AO153" s="1252">
        <v>0</v>
      </c>
      <c r="AP153" s="1252">
        <v>20</v>
      </c>
      <c r="AQ153" s="1252">
        <v>0</v>
      </c>
      <c r="AR153" s="1252">
        <v>0</v>
      </c>
      <c r="AS153" s="1252">
        <v>0</v>
      </c>
      <c r="AT153" s="1252">
        <v>0</v>
      </c>
      <c r="AU153" s="1252">
        <v>50</v>
      </c>
      <c r="AV153" s="1253">
        <v>15</v>
      </c>
      <c r="AW153" s="1253">
        <v>10</v>
      </c>
      <c r="AX153" s="1253">
        <v>15</v>
      </c>
      <c r="AY153" s="1253">
        <v>0</v>
      </c>
      <c r="AZ153" s="1253">
        <v>0</v>
      </c>
      <c r="BA153" s="1253">
        <v>0</v>
      </c>
      <c r="BB153" s="1253">
        <v>40</v>
      </c>
      <c r="BC153" s="1254">
        <v>25</v>
      </c>
      <c r="BD153" s="1254">
        <v>0</v>
      </c>
      <c r="BE153" s="1254">
        <v>0</v>
      </c>
      <c r="BF153" s="1254">
        <v>0</v>
      </c>
      <c r="BG153" s="1255">
        <v>0</v>
      </c>
      <c r="BH153" s="1256">
        <v>25</v>
      </c>
      <c r="BI153" s="1252">
        <v>0</v>
      </c>
      <c r="BJ153" s="1252">
        <v>0</v>
      </c>
      <c r="BK153" s="1252"/>
      <c r="BL153" s="1257">
        <v>0</v>
      </c>
      <c r="BM153" s="1257">
        <v>0</v>
      </c>
      <c r="BN153" s="1257"/>
      <c r="BO153" s="1256">
        <v>0</v>
      </c>
      <c r="BP153" s="1256">
        <v>0</v>
      </c>
      <c r="BQ153" s="1258"/>
      <c r="BR153" s="1259" t="s">
        <v>570</v>
      </c>
      <c r="BS153" s="1260"/>
      <c r="BV153" s="1261"/>
      <c r="BW153" s="1256"/>
      <c r="BX153" s="1256"/>
      <c r="BY153" s="1256"/>
      <c r="BZ153" s="1256"/>
      <c r="CA153" s="1260"/>
      <c r="CB153" s="1260"/>
      <c r="CC153" s="1260"/>
      <c r="CD153" s="1260"/>
    </row>
    <row r="154" spans="1:82" s="88" customFormat="1" x14ac:dyDescent="0.25">
      <c r="A154" s="1246">
        <f t="shared" si="2"/>
        <v>151</v>
      </c>
      <c r="B154" s="930" t="str">
        <f>Coltura!C152</f>
        <v>O31</v>
      </c>
      <c r="C154" s="930" t="str">
        <f>Coltura!D152</f>
        <v>Cocomero</v>
      </c>
      <c r="D154" s="41" t="s">
        <v>645</v>
      </c>
      <c r="E154" s="88">
        <v>60</v>
      </c>
      <c r="F154" s="1235">
        <v>100</v>
      </c>
      <c r="G154" s="1236">
        <v>120</v>
      </c>
      <c r="H154" s="1236">
        <v>180</v>
      </c>
      <c r="I154" s="1236">
        <v>60</v>
      </c>
      <c r="J154" s="1236">
        <v>180</v>
      </c>
      <c r="K154" s="1237">
        <v>160</v>
      </c>
      <c r="L154" s="1237">
        <v>240</v>
      </c>
      <c r="M154" s="1237">
        <v>80</v>
      </c>
      <c r="N154" s="1237">
        <v>240</v>
      </c>
      <c r="O154" s="88">
        <v>48</v>
      </c>
      <c r="P154" s="1235">
        <v>20</v>
      </c>
      <c r="Q154" s="1235">
        <v>20</v>
      </c>
      <c r="R154" s="1235">
        <v>0</v>
      </c>
      <c r="S154" s="1235">
        <v>15</v>
      </c>
      <c r="T154" s="1235">
        <v>0</v>
      </c>
      <c r="U154" s="1235">
        <v>15</v>
      </c>
      <c r="V154" s="1235">
        <v>15</v>
      </c>
      <c r="W154" s="1235">
        <v>0</v>
      </c>
      <c r="X154" s="1236">
        <v>20</v>
      </c>
      <c r="Y154" s="1236">
        <v>0</v>
      </c>
      <c r="Z154" s="1236">
        <v>0</v>
      </c>
      <c r="AA154" s="1236">
        <v>0</v>
      </c>
      <c r="AB154" s="1236">
        <v>0</v>
      </c>
      <c r="AC154" s="1237">
        <v>30</v>
      </c>
      <c r="AD154" s="1237">
        <v>0</v>
      </c>
      <c r="AE154" s="1237">
        <v>0</v>
      </c>
      <c r="AF154" s="1237">
        <v>0</v>
      </c>
      <c r="AG154" s="1237">
        <v>0</v>
      </c>
      <c r="AH154" s="88">
        <v>72</v>
      </c>
      <c r="AI154" s="1235">
        <v>20</v>
      </c>
      <c r="AJ154" s="1235">
        <v>15</v>
      </c>
      <c r="AK154" s="1235">
        <v>0</v>
      </c>
      <c r="AL154" s="1235">
        <v>0</v>
      </c>
      <c r="AM154" s="1235">
        <v>0</v>
      </c>
      <c r="AN154" s="1235">
        <v>30</v>
      </c>
      <c r="AO154" s="1235">
        <v>0</v>
      </c>
      <c r="AP154" s="1235">
        <v>0</v>
      </c>
      <c r="AQ154" s="1235">
        <v>0</v>
      </c>
      <c r="AR154" s="1235">
        <v>0</v>
      </c>
      <c r="AS154" s="1235">
        <v>0</v>
      </c>
      <c r="AT154" s="1235">
        <v>0</v>
      </c>
      <c r="AU154" s="1235">
        <v>30</v>
      </c>
      <c r="AV154" s="1236">
        <v>20</v>
      </c>
      <c r="AW154" s="1236">
        <v>10</v>
      </c>
      <c r="AX154" s="1236">
        <v>0</v>
      </c>
      <c r="AY154" s="1236">
        <v>0</v>
      </c>
      <c r="AZ154" s="1236">
        <v>0</v>
      </c>
      <c r="BA154" s="1236">
        <v>0</v>
      </c>
      <c r="BB154" s="1236">
        <v>30</v>
      </c>
      <c r="BC154" s="1237">
        <v>30</v>
      </c>
      <c r="BD154" s="1237">
        <v>0</v>
      </c>
      <c r="BE154" s="1237">
        <v>0</v>
      </c>
      <c r="BF154" s="1237">
        <v>0</v>
      </c>
      <c r="BG154" s="1238">
        <v>0</v>
      </c>
      <c r="BH154" s="1239">
        <v>30</v>
      </c>
      <c r="BI154" s="1235">
        <v>0</v>
      </c>
      <c r="BJ154" s="1235">
        <v>0</v>
      </c>
      <c r="BK154" s="1235"/>
      <c r="BL154" s="1240">
        <v>0</v>
      </c>
      <c r="BM154" s="1240">
        <v>0</v>
      </c>
      <c r="BN154" s="1240"/>
      <c r="BO154" s="1239">
        <v>0</v>
      </c>
      <c r="BP154" s="1239">
        <v>0</v>
      </c>
      <c r="BQ154" s="1242"/>
      <c r="BR154" s="1243" t="s">
        <v>570</v>
      </c>
      <c r="BS154" s="1244"/>
      <c r="BV154" s="1245"/>
      <c r="BW154" s="1239"/>
      <c r="BX154" s="1239"/>
      <c r="BY154" s="1239"/>
      <c r="BZ154" s="1239"/>
      <c r="CA154" s="1244"/>
      <c r="CB154" s="1244"/>
      <c r="CC154" s="1244"/>
      <c r="CD154" s="1244"/>
    </row>
    <row r="155" spans="1:82" x14ac:dyDescent="0.25">
      <c r="A155" s="1246">
        <f t="shared" si="2"/>
        <v>152</v>
      </c>
      <c r="B155" s="930" t="str">
        <f>Coltura!C153</f>
        <v>O32</v>
      </c>
      <c r="C155" s="930" t="str">
        <f>Coltura!D153</f>
        <v>Endivie (indivie riccia e scarola) media produzione</v>
      </c>
      <c r="D155" s="41" t="s">
        <v>645</v>
      </c>
      <c r="E155" s="1280">
        <v>34</v>
      </c>
      <c r="F155" s="1235">
        <v>130</v>
      </c>
      <c r="G155" s="1236">
        <v>140</v>
      </c>
      <c r="H155" s="1236">
        <v>200</v>
      </c>
      <c r="I155" s="1236">
        <v>80</v>
      </c>
      <c r="J155" s="1236">
        <v>200</v>
      </c>
      <c r="K155" s="1237">
        <v>140</v>
      </c>
      <c r="L155" s="1237">
        <v>200</v>
      </c>
      <c r="M155" s="1237">
        <v>70</v>
      </c>
      <c r="N155" s="1237">
        <v>200</v>
      </c>
      <c r="O155" s="88">
        <v>28</v>
      </c>
      <c r="P155" s="1235">
        <v>20</v>
      </c>
      <c r="Q155" s="1235">
        <v>20</v>
      </c>
      <c r="R155" s="1235">
        <v>0</v>
      </c>
      <c r="S155" s="1235">
        <v>20</v>
      </c>
      <c r="T155" s="1235">
        <v>0</v>
      </c>
      <c r="U155" s="1235">
        <v>15</v>
      </c>
      <c r="V155" s="1235">
        <v>15</v>
      </c>
      <c r="W155" s="1235">
        <v>0</v>
      </c>
      <c r="X155" s="1236">
        <v>30</v>
      </c>
      <c r="Y155" s="1236">
        <v>10</v>
      </c>
      <c r="Z155" s="1236">
        <v>0</v>
      </c>
      <c r="AA155" s="1236">
        <v>0</v>
      </c>
      <c r="AB155" s="1236">
        <v>0</v>
      </c>
      <c r="AC155" s="1237">
        <v>30</v>
      </c>
      <c r="AD155" s="1237">
        <v>30</v>
      </c>
      <c r="AE155" s="1237">
        <v>0</v>
      </c>
      <c r="AF155" s="1237">
        <v>0</v>
      </c>
      <c r="AG155" s="1237">
        <v>0</v>
      </c>
      <c r="AH155" s="1280">
        <v>40</v>
      </c>
      <c r="AI155" s="1235">
        <v>20</v>
      </c>
      <c r="AJ155" s="1235">
        <v>20</v>
      </c>
      <c r="AK155" s="1235">
        <v>0</v>
      </c>
      <c r="AL155" s="1235">
        <v>0</v>
      </c>
      <c r="AM155" s="1235">
        <v>15</v>
      </c>
      <c r="AN155" s="1235">
        <v>30</v>
      </c>
      <c r="AO155" s="1235">
        <v>20</v>
      </c>
      <c r="AP155" s="1235">
        <v>0</v>
      </c>
      <c r="AQ155" s="1235">
        <v>0</v>
      </c>
      <c r="AR155" s="1235">
        <v>0</v>
      </c>
      <c r="AS155" s="1235">
        <v>0</v>
      </c>
      <c r="AT155" s="1235">
        <v>0</v>
      </c>
      <c r="AU155" s="1235">
        <v>40</v>
      </c>
      <c r="AV155" s="1236">
        <v>30</v>
      </c>
      <c r="AW155" s="1236">
        <v>10</v>
      </c>
      <c r="AX155" s="1236">
        <v>0</v>
      </c>
      <c r="AY155" s="1236">
        <v>0</v>
      </c>
      <c r="AZ155" s="1236">
        <v>0</v>
      </c>
      <c r="BA155" s="1236">
        <v>0</v>
      </c>
      <c r="BB155" s="1236">
        <v>40</v>
      </c>
      <c r="BC155" s="1237">
        <v>30</v>
      </c>
      <c r="BD155" s="1237">
        <v>0</v>
      </c>
      <c r="BE155" s="1237">
        <v>0</v>
      </c>
      <c r="BF155" s="1237">
        <v>0</v>
      </c>
      <c r="BG155" s="1238">
        <v>0</v>
      </c>
      <c r="BH155" s="1239">
        <v>30</v>
      </c>
      <c r="BI155" s="1235">
        <v>0</v>
      </c>
      <c r="BJ155" s="1235">
        <v>0</v>
      </c>
      <c r="BK155" s="1235"/>
      <c r="BL155" s="1240">
        <v>0</v>
      </c>
      <c r="BM155" s="1240">
        <v>0</v>
      </c>
      <c r="BN155" s="1240"/>
      <c r="BO155" s="1239">
        <v>0</v>
      </c>
      <c r="BP155" s="1229">
        <v>0</v>
      </c>
      <c r="BR155" s="1243" t="s">
        <v>570</v>
      </c>
      <c r="BV155" s="60"/>
    </row>
    <row r="156" spans="1:82" x14ac:dyDescent="0.25">
      <c r="A156" s="1246">
        <f t="shared" si="2"/>
        <v>153</v>
      </c>
      <c r="B156" s="930" t="str">
        <f>Coltura!C154</f>
        <v>O33</v>
      </c>
      <c r="C156" s="1191" t="str">
        <f>Coltura!D154</f>
        <v>Endivie (indivie riccia e scarola) alta produzione</v>
      </c>
      <c r="D156" s="1192" t="s">
        <v>645</v>
      </c>
      <c r="E156" s="1280">
        <v>45</v>
      </c>
      <c r="F156" s="1235">
        <v>160</v>
      </c>
      <c r="G156" s="1236">
        <v>140</v>
      </c>
      <c r="H156" s="1236">
        <v>200</v>
      </c>
      <c r="I156" s="1236">
        <v>80</v>
      </c>
      <c r="J156" s="1236">
        <v>200</v>
      </c>
      <c r="K156" s="1237">
        <v>160</v>
      </c>
      <c r="L156" s="1237">
        <v>220</v>
      </c>
      <c r="M156" s="1237">
        <v>90</v>
      </c>
      <c r="N156" s="1237">
        <v>220</v>
      </c>
      <c r="O156" s="1280">
        <v>40</v>
      </c>
      <c r="P156" s="1235">
        <v>20</v>
      </c>
      <c r="Q156" s="1235">
        <v>20</v>
      </c>
      <c r="R156" s="1235">
        <v>0</v>
      </c>
      <c r="S156" s="1235">
        <v>20</v>
      </c>
      <c r="T156" s="1235">
        <v>0</v>
      </c>
      <c r="U156" s="1235">
        <v>15</v>
      </c>
      <c r="V156" s="1235">
        <v>15</v>
      </c>
      <c r="W156" s="1235">
        <v>20</v>
      </c>
      <c r="X156" s="1236">
        <v>30</v>
      </c>
      <c r="Y156" s="1236">
        <v>10</v>
      </c>
      <c r="Z156" s="1236">
        <v>0</v>
      </c>
      <c r="AA156" s="1236">
        <v>20</v>
      </c>
      <c r="AB156" s="1236">
        <v>0</v>
      </c>
      <c r="AC156" s="1237">
        <v>30</v>
      </c>
      <c r="AD156" s="1237">
        <v>30</v>
      </c>
      <c r="AE156" s="1237">
        <v>0</v>
      </c>
      <c r="AF156" s="1237">
        <v>20</v>
      </c>
      <c r="AG156" s="1237">
        <v>0</v>
      </c>
      <c r="AH156" s="1280">
        <v>50</v>
      </c>
      <c r="AI156" s="1235">
        <v>20</v>
      </c>
      <c r="AJ156" s="1235">
        <v>20</v>
      </c>
      <c r="AK156" s="1235">
        <v>0</v>
      </c>
      <c r="AL156" s="1235">
        <v>0</v>
      </c>
      <c r="AM156" s="1235">
        <v>15</v>
      </c>
      <c r="AN156" s="1235">
        <v>30</v>
      </c>
      <c r="AO156" s="1235">
        <v>20</v>
      </c>
      <c r="AP156" s="1235">
        <v>0</v>
      </c>
      <c r="AQ156" s="1235">
        <v>0</v>
      </c>
      <c r="AR156" s="1235">
        <v>0</v>
      </c>
      <c r="AS156" s="1235">
        <v>0</v>
      </c>
      <c r="AT156" s="1235">
        <v>0</v>
      </c>
      <c r="AU156" s="1235">
        <v>40</v>
      </c>
      <c r="AV156" s="1236">
        <v>30</v>
      </c>
      <c r="AW156" s="1236">
        <v>10</v>
      </c>
      <c r="AX156" s="1236">
        <v>0</v>
      </c>
      <c r="AY156" s="1236">
        <v>0</v>
      </c>
      <c r="AZ156" s="1236">
        <v>0</v>
      </c>
      <c r="BA156" s="1236">
        <v>0</v>
      </c>
      <c r="BB156" s="1236">
        <v>40</v>
      </c>
      <c r="BC156" s="1237">
        <v>30</v>
      </c>
      <c r="BD156" s="1237">
        <v>0</v>
      </c>
      <c r="BE156" s="1237">
        <v>0</v>
      </c>
      <c r="BF156" s="1237">
        <v>0</v>
      </c>
      <c r="BG156" s="1238">
        <v>0</v>
      </c>
      <c r="BH156" s="1239">
        <v>30</v>
      </c>
      <c r="BI156" s="1235">
        <v>0</v>
      </c>
      <c r="BJ156" s="1235">
        <v>0</v>
      </c>
      <c r="BK156" s="1235"/>
      <c r="BL156" s="1240">
        <v>0</v>
      </c>
      <c r="BM156" s="1240">
        <v>0</v>
      </c>
      <c r="BN156" s="1240"/>
      <c r="BO156" s="1239">
        <v>0</v>
      </c>
      <c r="BP156" s="1229">
        <v>0</v>
      </c>
      <c r="BR156" s="1287" t="s">
        <v>570</v>
      </c>
      <c r="BV156" s="60"/>
    </row>
    <row r="157" spans="1:82" s="88" customFormat="1" x14ac:dyDescent="0.25">
      <c r="A157" s="1246">
        <f t="shared" si="2"/>
        <v>154</v>
      </c>
      <c r="B157" s="930" t="str">
        <f>Coltura!C155</f>
        <v>O34</v>
      </c>
      <c r="C157" s="1289" t="str">
        <f>Coltura!D155</f>
        <v>Fagiolino</v>
      </c>
      <c r="D157" s="41" t="s">
        <v>645</v>
      </c>
      <c r="E157" s="88">
        <v>9</v>
      </c>
      <c r="F157" s="1235">
        <v>70</v>
      </c>
      <c r="G157" s="1236">
        <v>70</v>
      </c>
      <c r="H157" s="1236">
        <v>90</v>
      </c>
      <c r="I157" s="1236">
        <v>50</v>
      </c>
      <c r="J157" s="1236">
        <v>90</v>
      </c>
      <c r="K157" s="1237">
        <v>70</v>
      </c>
      <c r="L157" s="1237">
        <v>100</v>
      </c>
      <c r="M157" s="1237">
        <v>40</v>
      </c>
      <c r="N157" s="1237">
        <v>100</v>
      </c>
      <c r="O157" s="88">
        <v>7</v>
      </c>
      <c r="P157" s="1235">
        <v>20</v>
      </c>
      <c r="Q157" s="1235">
        <v>10</v>
      </c>
      <c r="R157" s="1235">
        <v>10</v>
      </c>
      <c r="S157" s="1235">
        <v>20</v>
      </c>
      <c r="T157" s="1235">
        <v>0</v>
      </c>
      <c r="U157" s="1235">
        <v>15</v>
      </c>
      <c r="V157" s="1235">
        <v>15</v>
      </c>
      <c r="W157" s="1235">
        <v>0</v>
      </c>
      <c r="X157" s="1236">
        <v>10</v>
      </c>
      <c r="Y157" s="1236">
        <v>10</v>
      </c>
      <c r="Z157" s="1236">
        <v>0</v>
      </c>
      <c r="AA157" s="1236">
        <v>0</v>
      </c>
      <c r="AB157" s="1236">
        <v>0</v>
      </c>
      <c r="AC157" s="1237">
        <v>20</v>
      </c>
      <c r="AD157" s="1237">
        <v>10</v>
      </c>
      <c r="AE157" s="1237">
        <v>0</v>
      </c>
      <c r="AF157" s="1237">
        <v>0</v>
      </c>
      <c r="AG157" s="1237">
        <v>0</v>
      </c>
      <c r="AH157" s="88">
        <v>11</v>
      </c>
      <c r="AI157" s="1235">
        <v>20</v>
      </c>
      <c r="AJ157" s="1235">
        <v>20</v>
      </c>
      <c r="AK157" s="1235">
        <v>10</v>
      </c>
      <c r="AL157" s="1235">
        <v>0</v>
      </c>
      <c r="AM157" s="1235">
        <v>15</v>
      </c>
      <c r="AN157" s="1235">
        <v>30</v>
      </c>
      <c r="AO157" s="1235">
        <v>0</v>
      </c>
      <c r="AP157" s="1235">
        <v>20</v>
      </c>
      <c r="AQ157" s="1235">
        <v>0</v>
      </c>
      <c r="AR157" s="1235">
        <v>0</v>
      </c>
      <c r="AS157" s="1235">
        <v>0</v>
      </c>
      <c r="AT157" s="1235">
        <v>0</v>
      </c>
      <c r="AU157" s="1235">
        <v>25</v>
      </c>
      <c r="AV157" s="1236">
        <v>10</v>
      </c>
      <c r="AW157" s="1236">
        <v>10</v>
      </c>
      <c r="AX157" s="1236">
        <v>20</v>
      </c>
      <c r="AY157" s="1236">
        <v>0</v>
      </c>
      <c r="AZ157" s="1236">
        <v>0</v>
      </c>
      <c r="BA157" s="1236">
        <v>0</v>
      </c>
      <c r="BB157" s="1236">
        <v>40</v>
      </c>
      <c r="BC157" s="1237">
        <v>20</v>
      </c>
      <c r="BD157" s="1237">
        <v>0</v>
      </c>
      <c r="BE157" s="1237">
        <v>0</v>
      </c>
      <c r="BF157" s="1237">
        <v>0</v>
      </c>
      <c r="BG157" s="1238">
        <v>0</v>
      </c>
      <c r="BH157" s="1239">
        <v>20</v>
      </c>
      <c r="BI157" s="1235">
        <v>0</v>
      </c>
      <c r="BJ157" s="1235">
        <v>0</v>
      </c>
      <c r="BK157" s="1235"/>
      <c r="BL157" s="1240">
        <v>0</v>
      </c>
      <c r="BM157" s="1240">
        <v>0</v>
      </c>
      <c r="BN157" s="1240"/>
      <c r="BO157" s="1239">
        <v>0</v>
      </c>
      <c r="BP157" s="1239">
        <v>0</v>
      </c>
      <c r="BQ157" s="1242"/>
      <c r="BR157" s="1243" t="s">
        <v>570</v>
      </c>
      <c r="BS157" s="1244"/>
      <c r="BV157" s="1245"/>
      <c r="BW157" s="1239"/>
      <c r="BX157" s="1239"/>
      <c r="BY157" s="1239"/>
      <c r="BZ157" s="1239"/>
      <c r="CA157" s="1244"/>
      <c r="CB157" s="1244"/>
      <c r="CC157" s="1244"/>
      <c r="CD157" s="1244"/>
    </row>
    <row r="158" spans="1:82" x14ac:dyDescent="0.25">
      <c r="A158" s="1246">
        <f t="shared" si="2"/>
        <v>155</v>
      </c>
      <c r="B158" s="930" t="str">
        <f>Coltura!C156</f>
        <v>O35</v>
      </c>
      <c r="C158" s="930" t="str">
        <f>Coltura!D156</f>
        <v>Fagiolo in baccelli da sgranare</v>
      </c>
      <c r="D158" s="41" t="s">
        <v>645</v>
      </c>
      <c r="E158" s="1286">
        <v>5</v>
      </c>
      <c r="F158" s="1224">
        <v>70</v>
      </c>
      <c r="G158" s="1225">
        <v>70</v>
      </c>
      <c r="H158" s="1225">
        <v>90</v>
      </c>
      <c r="I158" s="1225">
        <v>50</v>
      </c>
      <c r="J158" s="1225">
        <v>90</v>
      </c>
      <c r="K158" s="1226">
        <v>100</v>
      </c>
      <c r="L158" s="1226">
        <v>130</v>
      </c>
      <c r="M158" s="1226">
        <v>70</v>
      </c>
      <c r="N158" s="1226">
        <v>130</v>
      </c>
      <c r="O158" s="1286">
        <v>4</v>
      </c>
      <c r="P158" s="1224">
        <v>10</v>
      </c>
      <c r="Q158" s="1224">
        <v>20</v>
      </c>
      <c r="R158" s="1224">
        <v>0</v>
      </c>
      <c r="S158" s="1224">
        <v>20</v>
      </c>
      <c r="T158" s="1224">
        <v>0</v>
      </c>
      <c r="U158" s="1224">
        <v>15</v>
      </c>
      <c r="V158" s="1224">
        <v>15</v>
      </c>
      <c r="W158" s="1224">
        <v>0</v>
      </c>
      <c r="X158" s="1225">
        <v>10</v>
      </c>
      <c r="Y158" s="1225">
        <v>10</v>
      </c>
      <c r="Z158" s="1225">
        <v>0</v>
      </c>
      <c r="AA158" s="1225">
        <v>0</v>
      </c>
      <c r="AB158" s="1225">
        <v>0</v>
      </c>
      <c r="AC158" s="1226">
        <v>20</v>
      </c>
      <c r="AD158" s="1226">
        <v>30</v>
      </c>
      <c r="AE158" s="1226">
        <v>0</v>
      </c>
      <c r="AF158" s="1226">
        <v>0</v>
      </c>
      <c r="AG158" s="1226">
        <v>0</v>
      </c>
      <c r="AH158" s="1286">
        <v>6</v>
      </c>
      <c r="AI158" s="1224">
        <v>10</v>
      </c>
      <c r="AJ158" s="1224">
        <v>20</v>
      </c>
      <c r="AK158" s="1224">
        <v>0</v>
      </c>
      <c r="AL158" s="1224">
        <v>0</v>
      </c>
      <c r="AM158" s="1224">
        <v>15</v>
      </c>
      <c r="AN158" s="1224">
        <v>30</v>
      </c>
      <c r="AO158" s="1224">
        <v>0</v>
      </c>
      <c r="AP158" s="1224">
        <v>20</v>
      </c>
      <c r="AQ158" s="1224">
        <v>0</v>
      </c>
      <c r="AR158" s="1224">
        <v>0</v>
      </c>
      <c r="AS158" s="1224">
        <v>0</v>
      </c>
      <c r="AT158" s="1224">
        <v>0</v>
      </c>
      <c r="AU158" s="1224">
        <v>25</v>
      </c>
      <c r="AV158" s="1225">
        <v>10</v>
      </c>
      <c r="AW158" s="1225">
        <v>10</v>
      </c>
      <c r="AX158" s="1225">
        <v>10</v>
      </c>
      <c r="AY158" s="1225">
        <v>0</v>
      </c>
      <c r="AZ158" s="1225">
        <v>0</v>
      </c>
      <c r="BA158" s="1248">
        <v>0</v>
      </c>
      <c r="BB158" s="1225">
        <v>30</v>
      </c>
      <c r="BC158" s="1226">
        <v>20</v>
      </c>
      <c r="BD158" s="1226">
        <v>0</v>
      </c>
      <c r="BE158" s="1226">
        <v>0</v>
      </c>
      <c r="BF158" s="1249">
        <v>0</v>
      </c>
      <c r="BG158" s="1238">
        <v>0</v>
      </c>
      <c r="BH158" s="1229">
        <v>20</v>
      </c>
      <c r="BI158" s="1224">
        <v>0</v>
      </c>
      <c r="BJ158" s="1224">
        <v>0</v>
      </c>
      <c r="BL158" s="1230">
        <v>0</v>
      </c>
      <c r="BM158" s="1230">
        <v>0</v>
      </c>
      <c r="BO158" s="1229">
        <v>0</v>
      </c>
      <c r="BP158" s="1229">
        <v>0</v>
      </c>
      <c r="BR158" s="1243" t="s">
        <v>570</v>
      </c>
      <c r="BV158" s="60"/>
    </row>
    <row r="159" spans="1:82" s="88" customFormat="1" x14ac:dyDescent="0.25">
      <c r="A159" s="1246">
        <f t="shared" si="2"/>
        <v>156</v>
      </c>
      <c r="B159" s="930" t="str">
        <f>Coltura!C157</f>
        <v>O36</v>
      </c>
      <c r="C159" s="930" t="str">
        <f>Coltura!D157</f>
        <v>Fagiolo secco</v>
      </c>
      <c r="D159" s="41" t="s">
        <v>645</v>
      </c>
      <c r="E159" s="88" t="s">
        <v>645</v>
      </c>
      <c r="F159" s="1235" t="s">
        <v>645</v>
      </c>
      <c r="G159" s="1236"/>
      <c r="H159" s="1236"/>
      <c r="I159" s="1236"/>
      <c r="J159" s="1236"/>
      <c r="K159" s="1237"/>
      <c r="L159" s="1237"/>
      <c r="M159" s="1237"/>
      <c r="N159" s="1237"/>
      <c r="P159" s="1235"/>
      <c r="Q159" s="1235"/>
      <c r="R159" s="1235"/>
      <c r="S159" s="1235"/>
      <c r="T159" s="1235"/>
      <c r="U159" s="1235"/>
      <c r="V159" s="1235"/>
      <c r="W159" s="1235"/>
      <c r="X159" s="1236"/>
      <c r="Y159" s="1236"/>
      <c r="Z159" s="1236"/>
      <c r="AA159" s="1236"/>
      <c r="AB159" s="1236"/>
      <c r="AC159" s="1237"/>
      <c r="AD159" s="1237"/>
      <c r="AE159" s="1237"/>
      <c r="AF159" s="1237"/>
      <c r="AG159" s="1237"/>
      <c r="AH159" s="88" t="s">
        <v>645</v>
      </c>
      <c r="AI159" s="1235"/>
      <c r="AJ159" s="1235"/>
      <c r="AK159" s="1235"/>
      <c r="AL159" s="1235"/>
      <c r="AM159" s="1235"/>
      <c r="AN159" s="1235"/>
      <c r="AO159" s="1235"/>
      <c r="AP159" s="1235"/>
      <c r="AQ159" s="1235"/>
      <c r="AR159" s="1235"/>
      <c r="AS159" s="1235"/>
      <c r="AT159" s="1235"/>
      <c r="AU159" s="1235"/>
      <c r="AV159" s="1236"/>
      <c r="AW159" s="1236"/>
      <c r="AX159" s="1236"/>
      <c r="AY159" s="1236"/>
      <c r="AZ159" s="1236"/>
      <c r="BA159" s="1236"/>
      <c r="BB159" s="1236">
        <v>0</v>
      </c>
      <c r="BC159" s="1237"/>
      <c r="BD159" s="1237"/>
      <c r="BE159" s="1237"/>
      <c r="BF159" s="1237"/>
      <c r="BG159" s="1228"/>
      <c r="BH159" s="1239">
        <v>0</v>
      </c>
      <c r="BI159" s="1235">
        <v>0</v>
      </c>
      <c r="BJ159" s="1235">
        <v>0</v>
      </c>
      <c r="BK159" s="1235"/>
      <c r="BL159" s="1240">
        <v>0</v>
      </c>
      <c r="BM159" s="1240">
        <v>0</v>
      </c>
      <c r="BN159" s="1240"/>
      <c r="BO159" s="1239">
        <v>0</v>
      </c>
      <c r="BP159" s="1239">
        <v>0</v>
      </c>
      <c r="BQ159" s="1242"/>
      <c r="BR159" s="1243" t="s">
        <v>570</v>
      </c>
      <c r="BS159" s="1244"/>
      <c r="BV159" s="1245"/>
      <c r="BW159" s="1239"/>
      <c r="BX159" s="1239"/>
      <c r="BY159" s="1239"/>
      <c r="BZ159" s="1239"/>
      <c r="CA159" s="1244"/>
      <c r="CB159" s="1244"/>
      <c r="CC159" s="1244"/>
      <c r="CD159" s="1244"/>
    </row>
    <row r="160" spans="1:82" s="88" customFormat="1" x14ac:dyDescent="0.25">
      <c r="A160" s="1246">
        <f t="shared" si="2"/>
        <v>157</v>
      </c>
      <c r="B160" s="930" t="str">
        <f>Coltura!C158</f>
        <v>O37</v>
      </c>
      <c r="C160" s="930" t="str">
        <f>Coltura!D158</f>
        <v>Fava da consumo fresco</v>
      </c>
      <c r="D160" s="41" t="s">
        <v>645</v>
      </c>
      <c r="E160" s="88" t="s">
        <v>645</v>
      </c>
      <c r="F160" s="1235" t="s">
        <v>645</v>
      </c>
      <c r="G160" s="1236"/>
      <c r="H160" s="1236"/>
      <c r="I160" s="1236"/>
      <c r="J160" s="1236"/>
      <c r="K160" s="1237"/>
      <c r="L160" s="1237"/>
      <c r="M160" s="1237"/>
      <c r="N160" s="1237"/>
      <c r="P160" s="1235"/>
      <c r="Q160" s="1235"/>
      <c r="R160" s="1235"/>
      <c r="S160" s="1235"/>
      <c r="T160" s="1235"/>
      <c r="U160" s="1235"/>
      <c r="V160" s="1235"/>
      <c r="W160" s="1235"/>
      <c r="X160" s="1236"/>
      <c r="Y160" s="1236"/>
      <c r="Z160" s="1236"/>
      <c r="AA160" s="1236"/>
      <c r="AB160" s="1236"/>
      <c r="AC160" s="1237"/>
      <c r="AD160" s="1237"/>
      <c r="AE160" s="1237"/>
      <c r="AF160" s="1237"/>
      <c r="AG160" s="1237"/>
      <c r="AH160" s="88" t="s">
        <v>645</v>
      </c>
      <c r="AI160" s="1235"/>
      <c r="AJ160" s="1235"/>
      <c r="AK160" s="1235"/>
      <c r="AL160" s="1235"/>
      <c r="AM160" s="1235"/>
      <c r="AN160" s="1235"/>
      <c r="AO160" s="1235"/>
      <c r="AP160" s="1235"/>
      <c r="AQ160" s="1235"/>
      <c r="AR160" s="1235"/>
      <c r="AS160" s="1235"/>
      <c r="AT160" s="1235"/>
      <c r="AU160" s="1235"/>
      <c r="AV160" s="1236"/>
      <c r="AW160" s="1236"/>
      <c r="AX160" s="1236"/>
      <c r="AY160" s="1236"/>
      <c r="AZ160" s="1236"/>
      <c r="BA160" s="1236"/>
      <c r="BB160" s="1236">
        <v>0</v>
      </c>
      <c r="BC160" s="1237"/>
      <c r="BD160" s="1237"/>
      <c r="BE160" s="1237"/>
      <c r="BF160" s="1237"/>
      <c r="BG160" s="1228"/>
      <c r="BH160" s="1239">
        <v>0</v>
      </c>
      <c r="BI160" s="1235">
        <v>0</v>
      </c>
      <c r="BJ160" s="1235">
        <v>0</v>
      </c>
      <c r="BK160" s="1235"/>
      <c r="BL160" s="1240">
        <v>0</v>
      </c>
      <c r="BM160" s="1240">
        <v>0</v>
      </c>
      <c r="BN160" s="1240"/>
      <c r="BO160" s="1239">
        <v>0</v>
      </c>
      <c r="BP160" s="1239">
        <v>0</v>
      </c>
      <c r="BQ160" s="1242"/>
      <c r="BR160" s="1243" t="s">
        <v>570</v>
      </c>
      <c r="BS160" s="1244"/>
      <c r="BV160" s="1245"/>
      <c r="BW160" s="1239"/>
      <c r="BX160" s="1239"/>
      <c r="BY160" s="1239"/>
      <c r="BZ160" s="1239"/>
      <c r="CA160" s="1244"/>
      <c r="CB160" s="1244"/>
      <c r="CC160" s="1244"/>
      <c r="CD160" s="1244"/>
    </row>
    <row r="161" spans="1:82" s="88" customFormat="1" x14ac:dyDescent="0.25">
      <c r="A161" s="1246">
        <f t="shared" si="2"/>
        <v>158</v>
      </c>
      <c r="B161" s="930" t="str">
        <f>Coltura!C159</f>
        <v>O38</v>
      </c>
      <c r="C161" s="930" t="str">
        <f>Coltura!D159</f>
        <v>Finocchio</v>
      </c>
      <c r="D161" s="41" t="s">
        <v>645</v>
      </c>
      <c r="E161" s="1280">
        <v>30</v>
      </c>
      <c r="F161" s="1235">
        <v>160</v>
      </c>
      <c r="G161" s="1236">
        <v>80</v>
      </c>
      <c r="H161" s="1236">
        <v>120</v>
      </c>
      <c r="I161" s="1236">
        <v>50</v>
      </c>
      <c r="J161" s="1236">
        <v>120</v>
      </c>
      <c r="K161" s="1237">
        <v>170</v>
      </c>
      <c r="L161" s="1237">
        <v>250</v>
      </c>
      <c r="M161" s="1237">
        <v>100</v>
      </c>
      <c r="N161" s="1237">
        <v>250</v>
      </c>
      <c r="O161" s="1280">
        <v>24</v>
      </c>
      <c r="P161" s="1235">
        <v>20</v>
      </c>
      <c r="Q161" s="1235">
        <v>20</v>
      </c>
      <c r="R161" s="1235">
        <v>0</v>
      </c>
      <c r="S161" s="1235">
        <v>20</v>
      </c>
      <c r="T161" s="1235">
        <v>0</v>
      </c>
      <c r="U161" s="1235">
        <v>15</v>
      </c>
      <c r="V161" s="1235">
        <v>15</v>
      </c>
      <c r="W161" s="1235">
        <v>0</v>
      </c>
      <c r="X161" s="1236">
        <v>20</v>
      </c>
      <c r="Y161" s="1236">
        <v>10</v>
      </c>
      <c r="Z161" s="1236">
        <v>0</v>
      </c>
      <c r="AA161" s="1236">
        <v>0</v>
      </c>
      <c r="AB161" s="1236">
        <v>0</v>
      </c>
      <c r="AC161" s="1237">
        <v>40</v>
      </c>
      <c r="AD161" s="1237">
        <v>10</v>
      </c>
      <c r="AE161" s="1237">
        <v>0</v>
      </c>
      <c r="AF161" s="1237">
        <v>0</v>
      </c>
      <c r="AG161" s="1237">
        <v>0</v>
      </c>
      <c r="AH161" s="1280">
        <v>36</v>
      </c>
      <c r="AI161" s="1235">
        <v>20</v>
      </c>
      <c r="AJ161" s="1235">
        <v>20</v>
      </c>
      <c r="AK161" s="1235">
        <v>0</v>
      </c>
      <c r="AL161" s="1235">
        <v>0</v>
      </c>
      <c r="AM161" s="1235">
        <v>15</v>
      </c>
      <c r="AN161" s="1235">
        <v>30</v>
      </c>
      <c r="AO161" s="1235">
        <v>20</v>
      </c>
      <c r="AP161" s="1235">
        <v>0</v>
      </c>
      <c r="AQ161" s="1235">
        <v>0</v>
      </c>
      <c r="AR161" s="1235">
        <v>0</v>
      </c>
      <c r="AS161" s="1235">
        <v>0</v>
      </c>
      <c r="AT161" s="1235">
        <v>0</v>
      </c>
      <c r="AU161" s="1235">
        <v>50</v>
      </c>
      <c r="AV161" s="1236">
        <v>20</v>
      </c>
      <c r="AW161" s="1236">
        <v>10</v>
      </c>
      <c r="AX161" s="1236">
        <v>0</v>
      </c>
      <c r="AY161" s="1236">
        <v>0</v>
      </c>
      <c r="AZ161" s="1236">
        <v>0</v>
      </c>
      <c r="BA161" s="1236">
        <v>0</v>
      </c>
      <c r="BB161" s="1236">
        <v>30</v>
      </c>
      <c r="BC161" s="1237">
        <v>40</v>
      </c>
      <c r="BD161" s="1237">
        <v>0</v>
      </c>
      <c r="BE161" s="1237">
        <v>0</v>
      </c>
      <c r="BF161" s="1237">
        <v>0</v>
      </c>
      <c r="BG161" s="1238">
        <v>0</v>
      </c>
      <c r="BH161" s="1239">
        <v>40</v>
      </c>
      <c r="BI161" s="1235">
        <v>0</v>
      </c>
      <c r="BJ161" s="1235">
        <v>0</v>
      </c>
      <c r="BK161" s="1235"/>
      <c r="BL161" s="1240">
        <v>0</v>
      </c>
      <c r="BM161" s="1240">
        <v>0</v>
      </c>
      <c r="BN161" s="1240"/>
      <c r="BO161" s="1239">
        <v>0</v>
      </c>
      <c r="BP161" s="1239">
        <v>0</v>
      </c>
      <c r="BQ161" s="1242"/>
      <c r="BR161" s="1243" t="s">
        <v>570</v>
      </c>
      <c r="BS161" s="1244"/>
      <c r="BV161" s="1245"/>
      <c r="BW161" s="1239"/>
      <c r="BX161" s="1239"/>
      <c r="BY161" s="1239"/>
      <c r="BZ161" s="1239"/>
      <c r="CA161" s="1244"/>
      <c r="CB161" s="1244"/>
      <c r="CC161" s="1244"/>
      <c r="CD161" s="1244"/>
    </row>
    <row r="162" spans="1:82" x14ac:dyDescent="0.25">
      <c r="A162" s="1246">
        <f t="shared" si="2"/>
        <v>159</v>
      </c>
      <c r="B162" s="930" t="str">
        <f>Coltura!C160</f>
        <v>O39</v>
      </c>
      <c r="C162" s="930" t="str">
        <f>Coltura!D160</f>
        <v xml:space="preserve">Fragola </v>
      </c>
      <c r="D162" s="41" t="s">
        <v>645</v>
      </c>
      <c r="E162" s="32">
        <v>30</v>
      </c>
      <c r="F162" s="1224">
        <v>120</v>
      </c>
      <c r="G162" s="1225">
        <v>80</v>
      </c>
      <c r="H162" s="1225">
        <v>100</v>
      </c>
      <c r="I162" s="1225">
        <v>30</v>
      </c>
      <c r="J162" s="1225">
        <v>100</v>
      </c>
      <c r="K162" s="1226">
        <v>130</v>
      </c>
      <c r="L162" s="1226">
        <v>200</v>
      </c>
      <c r="M162" s="1226">
        <v>50</v>
      </c>
      <c r="N162" s="1226">
        <v>200</v>
      </c>
      <c r="O162" s="32">
        <v>24</v>
      </c>
      <c r="P162" s="1224">
        <v>20</v>
      </c>
      <c r="Q162" s="1224">
        <v>20</v>
      </c>
      <c r="R162" s="1224">
        <v>0</v>
      </c>
      <c r="S162" s="1224">
        <v>20</v>
      </c>
      <c r="T162" s="1224">
        <v>0</v>
      </c>
      <c r="U162" s="1224">
        <v>60</v>
      </c>
      <c r="V162" s="1224">
        <v>15</v>
      </c>
      <c r="W162" s="1224">
        <v>0</v>
      </c>
      <c r="X162" s="1225">
        <v>20</v>
      </c>
      <c r="Y162" s="1225">
        <v>0</v>
      </c>
      <c r="Z162" s="1225">
        <v>0</v>
      </c>
      <c r="AA162" s="1225">
        <v>0</v>
      </c>
      <c r="AB162" s="1225">
        <v>0</v>
      </c>
      <c r="AC162" s="1226">
        <v>30</v>
      </c>
      <c r="AD162" s="1226">
        <v>0</v>
      </c>
      <c r="AE162" s="1226">
        <v>0</v>
      </c>
      <c r="AF162" s="1226">
        <v>0</v>
      </c>
      <c r="AG162" s="1226">
        <v>0</v>
      </c>
      <c r="AH162" s="32">
        <v>36</v>
      </c>
      <c r="AI162" s="1224">
        <v>20</v>
      </c>
      <c r="AJ162" s="1224">
        <v>20</v>
      </c>
      <c r="AK162" s="1224">
        <v>0</v>
      </c>
      <c r="AL162" s="1224">
        <v>0</v>
      </c>
      <c r="AM162" s="1224">
        <v>15</v>
      </c>
      <c r="AN162" s="1224">
        <v>20</v>
      </c>
      <c r="AO162" s="1224">
        <v>0</v>
      </c>
      <c r="AP162" s="1224">
        <v>0</v>
      </c>
      <c r="AQ162" s="1224">
        <v>0</v>
      </c>
      <c r="AR162" s="1224">
        <v>0</v>
      </c>
      <c r="AS162" s="1224">
        <v>0</v>
      </c>
      <c r="AT162" s="1224">
        <v>50</v>
      </c>
      <c r="AU162" s="1224">
        <v>40</v>
      </c>
      <c r="AV162" s="1225">
        <v>20</v>
      </c>
      <c r="AW162" s="1225">
        <v>10</v>
      </c>
      <c r="AX162" s="1225">
        <v>0</v>
      </c>
      <c r="AY162" s="1225">
        <v>0</v>
      </c>
      <c r="AZ162" s="1225">
        <v>0</v>
      </c>
      <c r="BA162" s="1248">
        <v>40</v>
      </c>
      <c r="BB162" s="1225">
        <v>70</v>
      </c>
      <c r="BC162" s="1226">
        <v>30</v>
      </c>
      <c r="BD162" s="1226">
        <v>0</v>
      </c>
      <c r="BE162" s="1226">
        <v>0</v>
      </c>
      <c r="BF162" s="1249">
        <v>80</v>
      </c>
      <c r="BG162" s="1238">
        <v>0</v>
      </c>
      <c r="BH162" s="1229">
        <v>110</v>
      </c>
      <c r="BI162" s="1224">
        <v>0</v>
      </c>
      <c r="BJ162" s="1224">
        <v>0</v>
      </c>
      <c r="BL162" s="1230">
        <v>0</v>
      </c>
      <c r="BM162" s="1230">
        <v>0</v>
      </c>
      <c r="BO162" s="1229">
        <v>0</v>
      </c>
      <c r="BP162" s="1229">
        <v>0</v>
      </c>
      <c r="BR162" s="1243" t="s">
        <v>570</v>
      </c>
      <c r="BV162" s="60"/>
    </row>
    <row r="163" spans="1:82" s="88" customFormat="1" x14ac:dyDescent="0.25">
      <c r="A163" s="1246">
        <f t="shared" si="2"/>
        <v>160</v>
      </c>
      <c r="B163" s="930" t="str">
        <f>Coltura!C161</f>
        <v>O40</v>
      </c>
      <c r="C163" s="930" t="str">
        <f>Coltura!D161</f>
        <v>Lattuga</v>
      </c>
      <c r="D163" s="41" t="s">
        <v>645</v>
      </c>
      <c r="E163" s="88">
        <v>32</v>
      </c>
      <c r="F163" s="1235">
        <v>110</v>
      </c>
      <c r="G163" s="1236">
        <v>70</v>
      </c>
      <c r="H163" s="1236">
        <v>90</v>
      </c>
      <c r="I163" s="1236">
        <v>50</v>
      </c>
      <c r="J163" s="1236">
        <v>90</v>
      </c>
      <c r="K163" s="1237">
        <v>150</v>
      </c>
      <c r="L163" s="1237">
        <v>220</v>
      </c>
      <c r="M163" s="1237">
        <v>80</v>
      </c>
      <c r="N163" s="1237">
        <v>220</v>
      </c>
      <c r="O163" s="88">
        <v>26</v>
      </c>
      <c r="P163" s="1235">
        <v>20</v>
      </c>
      <c r="Q163" s="1235">
        <v>20</v>
      </c>
      <c r="R163" s="1235">
        <v>0</v>
      </c>
      <c r="S163" s="1235">
        <v>20</v>
      </c>
      <c r="T163" s="1235">
        <v>0</v>
      </c>
      <c r="U163" s="1235">
        <v>15</v>
      </c>
      <c r="V163" s="1235">
        <v>15</v>
      </c>
      <c r="W163" s="1235">
        <v>20</v>
      </c>
      <c r="X163" s="1236">
        <v>15</v>
      </c>
      <c r="Y163" s="1236">
        <v>10</v>
      </c>
      <c r="Z163" s="1236">
        <v>0</v>
      </c>
      <c r="AA163" s="1236">
        <v>20</v>
      </c>
      <c r="AB163" s="1236">
        <v>0</v>
      </c>
      <c r="AC163" s="1237">
        <v>30</v>
      </c>
      <c r="AD163" s="1237">
        <v>30</v>
      </c>
      <c r="AE163" s="1237">
        <v>0</v>
      </c>
      <c r="AF163" s="1237">
        <v>20</v>
      </c>
      <c r="AG163" s="1237">
        <v>0</v>
      </c>
      <c r="AH163" s="88">
        <v>38</v>
      </c>
      <c r="AI163" s="1235">
        <v>20</v>
      </c>
      <c r="AJ163" s="1235">
        <v>20</v>
      </c>
      <c r="AK163" s="1235">
        <v>0</v>
      </c>
      <c r="AL163" s="1235">
        <v>0</v>
      </c>
      <c r="AM163" s="1235">
        <v>15</v>
      </c>
      <c r="AN163" s="1235">
        <v>0</v>
      </c>
      <c r="AO163" s="1235">
        <v>20</v>
      </c>
      <c r="AP163" s="1235">
        <v>0</v>
      </c>
      <c r="AQ163" s="1235">
        <v>0</v>
      </c>
      <c r="AR163" s="1235">
        <v>0</v>
      </c>
      <c r="AS163" s="1235">
        <v>0</v>
      </c>
      <c r="AT163" s="1235">
        <v>50</v>
      </c>
      <c r="AU163" s="1235">
        <v>40</v>
      </c>
      <c r="AV163" s="1236">
        <v>15</v>
      </c>
      <c r="AW163" s="1236">
        <v>10</v>
      </c>
      <c r="AX163" s="1236">
        <v>20</v>
      </c>
      <c r="AY163" s="1236">
        <v>0</v>
      </c>
      <c r="AZ163" s="1236">
        <v>0</v>
      </c>
      <c r="BA163" s="1236">
        <v>0</v>
      </c>
      <c r="BB163" s="1236">
        <v>45</v>
      </c>
      <c r="BC163" s="1237">
        <v>30</v>
      </c>
      <c r="BD163" s="1237">
        <v>0</v>
      </c>
      <c r="BE163" s="1237">
        <v>0</v>
      </c>
      <c r="BF163" s="1237">
        <v>0</v>
      </c>
      <c r="BG163" s="1238">
        <v>0</v>
      </c>
      <c r="BH163" s="1239">
        <v>30</v>
      </c>
      <c r="BI163" s="1235">
        <v>0</v>
      </c>
      <c r="BJ163" s="1235">
        <v>0</v>
      </c>
      <c r="BK163" s="1235"/>
      <c r="BL163" s="1240">
        <v>0</v>
      </c>
      <c r="BM163" s="1240">
        <v>0</v>
      </c>
      <c r="BN163" s="1240"/>
      <c r="BO163" s="1239">
        <v>0</v>
      </c>
      <c r="BP163" s="1239">
        <v>0</v>
      </c>
      <c r="BQ163" s="1242"/>
      <c r="BR163" s="1243" t="s">
        <v>570</v>
      </c>
      <c r="BS163" s="1244"/>
      <c r="BV163" s="1245"/>
      <c r="BW163" s="1239"/>
      <c r="BX163" s="1239"/>
      <c r="BY163" s="1239"/>
      <c r="BZ163" s="1239"/>
      <c r="CA163" s="1244"/>
      <c r="CB163" s="1244"/>
      <c r="CC163" s="1244"/>
      <c r="CD163" s="1244"/>
    </row>
    <row r="164" spans="1:82" s="88" customFormat="1" x14ac:dyDescent="0.25">
      <c r="A164" s="1246">
        <f t="shared" si="2"/>
        <v>161</v>
      </c>
      <c r="B164" s="930" t="str">
        <f>Coltura!C162</f>
        <v>O41</v>
      </c>
      <c r="C164" s="930" t="str">
        <f>Coltura!D162</f>
        <v>Lattuga coltura protetta</v>
      </c>
      <c r="D164" s="41" t="s">
        <v>645</v>
      </c>
      <c r="E164" s="88" t="s">
        <v>645</v>
      </c>
      <c r="F164" s="1235" t="s">
        <v>645</v>
      </c>
      <c r="G164" s="1236"/>
      <c r="H164" s="1236"/>
      <c r="I164" s="1236"/>
      <c r="J164" s="1236"/>
      <c r="K164" s="1237"/>
      <c r="L164" s="1237"/>
      <c r="M164" s="1237"/>
      <c r="N164" s="1237"/>
      <c r="P164" s="1235"/>
      <c r="Q164" s="1235"/>
      <c r="R164" s="1235"/>
      <c r="S164" s="1235"/>
      <c r="T164" s="1235"/>
      <c r="U164" s="1235"/>
      <c r="V164" s="1235"/>
      <c r="W164" s="1235"/>
      <c r="X164" s="1236"/>
      <c r="Y164" s="1236"/>
      <c r="Z164" s="1236"/>
      <c r="AA164" s="1236"/>
      <c r="AB164" s="1236"/>
      <c r="AC164" s="1237"/>
      <c r="AD164" s="1237"/>
      <c r="AE164" s="1237"/>
      <c r="AF164" s="1237"/>
      <c r="AG164" s="1237"/>
      <c r="AH164" s="88" t="s">
        <v>645</v>
      </c>
      <c r="AI164" s="1235"/>
      <c r="AJ164" s="1235"/>
      <c r="AK164" s="1235"/>
      <c r="AL164" s="1235"/>
      <c r="AM164" s="1235"/>
      <c r="AN164" s="1235"/>
      <c r="AO164" s="1235"/>
      <c r="AP164" s="1235"/>
      <c r="AQ164" s="1235"/>
      <c r="AR164" s="1235"/>
      <c r="AS164" s="1235"/>
      <c r="AT164" s="1235"/>
      <c r="AU164" s="1235"/>
      <c r="AV164" s="1236"/>
      <c r="AW164" s="1236"/>
      <c r="AX164" s="1236"/>
      <c r="AY164" s="1236"/>
      <c r="AZ164" s="1236"/>
      <c r="BA164" s="1236"/>
      <c r="BB164" s="1236">
        <v>0</v>
      </c>
      <c r="BC164" s="1237"/>
      <c r="BD164" s="1237"/>
      <c r="BE164" s="1237"/>
      <c r="BF164" s="1237"/>
      <c r="BG164" s="1228"/>
      <c r="BH164" s="1239">
        <v>0</v>
      </c>
      <c r="BI164" s="1235">
        <v>0</v>
      </c>
      <c r="BJ164" s="1235">
        <v>0</v>
      </c>
      <c r="BK164" s="1235"/>
      <c r="BL164" s="1240">
        <v>0</v>
      </c>
      <c r="BM164" s="1240">
        <v>0</v>
      </c>
      <c r="BN164" s="1240"/>
      <c r="BO164" s="1239">
        <v>0</v>
      </c>
      <c r="BP164" s="1239">
        <v>0</v>
      </c>
      <c r="BQ164" s="1242"/>
      <c r="BR164" s="1243" t="s">
        <v>570</v>
      </c>
      <c r="BS164" s="1244"/>
      <c r="BV164" s="1245"/>
      <c r="BW164" s="1239"/>
      <c r="BX164" s="1239"/>
      <c r="BY164" s="1239"/>
      <c r="BZ164" s="1239"/>
      <c r="CA164" s="1244"/>
      <c r="CB164" s="1244"/>
      <c r="CC164" s="1244"/>
      <c r="CD164" s="1244"/>
    </row>
    <row r="165" spans="1:82" s="88" customFormat="1" x14ac:dyDescent="0.25">
      <c r="A165" s="1246">
        <f t="shared" si="2"/>
        <v>162</v>
      </c>
      <c r="B165" s="930" t="str">
        <f>Coltura!C163</f>
        <v>O42</v>
      </c>
      <c r="C165" s="1289" t="str">
        <f>Coltura!D163</f>
        <v>Melanzana in pieno campo media produzione</v>
      </c>
      <c r="D165" s="41" t="s">
        <v>645</v>
      </c>
      <c r="E165" s="88">
        <v>80</v>
      </c>
      <c r="F165" s="1235">
        <v>250</v>
      </c>
      <c r="G165" s="1236">
        <v>150</v>
      </c>
      <c r="H165" s="1236">
        <v>210</v>
      </c>
      <c r="I165" s="1236">
        <v>75</v>
      </c>
      <c r="J165" s="1236">
        <v>210</v>
      </c>
      <c r="K165" s="1237">
        <v>250</v>
      </c>
      <c r="L165" s="1237">
        <v>300</v>
      </c>
      <c r="M165" s="1254">
        <v>150</v>
      </c>
      <c r="N165" s="1237">
        <v>300</v>
      </c>
      <c r="O165" s="88">
        <v>65</v>
      </c>
      <c r="P165" s="1235">
        <v>45</v>
      </c>
      <c r="Q165" s="1235">
        <v>20</v>
      </c>
      <c r="R165" s="1235">
        <v>0</v>
      </c>
      <c r="S165" s="1235">
        <v>20</v>
      </c>
      <c r="T165" s="1235">
        <v>0</v>
      </c>
      <c r="U165" s="1235">
        <v>0</v>
      </c>
      <c r="V165" s="1235">
        <v>15</v>
      </c>
      <c r="W165" s="1235">
        <v>0</v>
      </c>
      <c r="X165" s="1236">
        <v>30</v>
      </c>
      <c r="Y165" s="1236">
        <v>0</v>
      </c>
      <c r="Z165" s="1236">
        <v>0</v>
      </c>
      <c r="AA165" s="1236">
        <v>0</v>
      </c>
      <c r="AB165" s="1236">
        <v>0</v>
      </c>
      <c r="AC165" s="1237">
        <v>50</v>
      </c>
      <c r="AD165" s="1237">
        <v>0</v>
      </c>
      <c r="AE165" s="1237">
        <v>0</v>
      </c>
      <c r="AF165" s="1237">
        <v>0</v>
      </c>
      <c r="AG165" s="1237">
        <v>0</v>
      </c>
      <c r="AH165" s="88">
        <v>95</v>
      </c>
      <c r="AI165" s="1235">
        <v>45</v>
      </c>
      <c r="AJ165" s="1235">
        <v>20</v>
      </c>
      <c r="AK165" s="1235">
        <v>0</v>
      </c>
      <c r="AL165" s="1235">
        <v>0</v>
      </c>
      <c r="AM165" s="1235">
        <v>0</v>
      </c>
      <c r="AN165" s="1235">
        <v>0</v>
      </c>
      <c r="AO165" s="1235">
        <v>0</v>
      </c>
      <c r="AP165" s="1235">
        <v>0</v>
      </c>
      <c r="AQ165" s="1235">
        <v>0</v>
      </c>
      <c r="AR165" s="1235">
        <v>0</v>
      </c>
      <c r="AS165" s="1235">
        <v>0</v>
      </c>
      <c r="AT165" s="1235">
        <v>0</v>
      </c>
      <c r="AU165" s="1235">
        <v>50</v>
      </c>
      <c r="AV165" s="1236">
        <v>30</v>
      </c>
      <c r="AW165" s="1236">
        <v>10</v>
      </c>
      <c r="AX165" s="1236">
        <v>0</v>
      </c>
      <c r="AY165" s="1236">
        <v>0</v>
      </c>
      <c r="AZ165" s="1236">
        <v>0</v>
      </c>
      <c r="BA165" s="1236">
        <v>0</v>
      </c>
      <c r="BB165" s="1236">
        <v>40</v>
      </c>
      <c r="BC165" s="1237">
        <v>50</v>
      </c>
      <c r="BD165" s="1237">
        <v>0</v>
      </c>
      <c r="BE165" s="1237">
        <v>0</v>
      </c>
      <c r="BF165" s="1237">
        <v>0</v>
      </c>
      <c r="BG165" s="1238">
        <v>0</v>
      </c>
      <c r="BH165" s="1239">
        <v>50</v>
      </c>
      <c r="BI165" s="1235">
        <v>0</v>
      </c>
      <c r="BJ165" s="1235">
        <v>0</v>
      </c>
      <c r="BK165" s="1235"/>
      <c r="BL165" s="1240">
        <v>0</v>
      </c>
      <c r="BM165" s="1240">
        <v>0</v>
      </c>
      <c r="BN165" s="1240"/>
      <c r="BO165" s="1239">
        <v>0</v>
      </c>
      <c r="BP165" s="1239">
        <v>0</v>
      </c>
      <c r="BQ165" s="1242"/>
      <c r="BR165" s="1243" t="s">
        <v>570</v>
      </c>
      <c r="BS165" s="1244"/>
      <c r="BV165" s="1245"/>
      <c r="BW165" s="1239"/>
      <c r="BX165" s="1239"/>
      <c r="BY165" s="1239"/>
      <c r="BZ165" s="1239"/>
      <c r="CA165" s="1244"/>
      <c r="CB165" s="1244"/>
      <c r="CC165" s="1244"/>
      <c r="CD165" s="1244"/>
    </row>
    <row r="166" spans="1:82" s="88" customFormat="1" x14ac:dyDescent="0.25">
      <c r="A166" s="1246">
        <f t="shared" si="2"/>
        <v>163</v>
      </c>
      <c r="B166" s="930" t="str">
        <f>Coltura!C164</f>
        <v>O43</v>
      </c>
      <c r="C166" s="1191" t="str">
        <f>Coltura!D164</f>
        <v>Melanzana coltura protetta alta produzione</v>
      </c>
      <c r="D166" s="1192" t="s">
        <v>645</v>
      </c>
      <c r="E166" s="1280">
        <v>150</v>
      </c>
      <c r="F166" s="1235">
        <v>300</v>
      </c>
      <c r="G166" s="1236">
        <v>200</v>
      </c>
      <c r="H166" s="1236">
        <v>250</v>
      </c>
      <c r="I166" s="1236">
        <v>125</v>
      </c>
      <c r="J166" s="1236">
        <v>250</v>
      </c>
      <c r="K166" s="1237">
        <v>250</v>
      </c>
      <c r="L166" s="1237">
        <v>300</v>
      </c>
      <c r="M166" s="1254">
        <v>200</v>
      </c>
      <c r="N166" s="1237">
        <v>300</v>
      </c>
      <c r="O166" s="1280">
        <v>140</v>
      </c>
      <c r="P166" s="1235">
        <v>45</v>
      </c>
      <c r="Q166" s="1235">
        <v>20</v>
      </c>
      <c r="R166" s="1235">
        <v>0</v>
      </c>
      <c r="S166" s="1235">
        <v>20</v>
      </c>
      <c r="T166" s="1235">
        <v>0</v>
      </c>
      <c r="U166" s="1235">
        <v>0</v>
      </c>
      <c r="V166" s="1235">
        <v>15</v>
      </c>
      <c r="W166" s="1235">
        <v>0</v>
      </c>
      <c r="X166" s="1236">
        <v>30</v>
      </c>
      <c r="Y166" s="1236">
        <v>0</v>
      </c>
      <c r="Z166" s="1236">
        <v>0</v>
      </c>
      <c r="AA166" s="1236">
        <v>0</v>
      </c>
      <c r="AB166" s="1236">
        <v>0</v>
      </c>
      <c r="AC166" s="1237">
        <v>50</v>
      </c>
      <c r="AD166" s="1237">
        <v>0</v>
      </c>
      <c r="AE166" s="1237">
        <v>0</v>
      </c>
      <c r="AF166" s="1237">
        <v>0</v>
      </c>
      <c r="AG166" s="1237">
        <v>0</v>
      </c>
      <c r="AH166" s="1280">
        <v>160</v>
      </c>
      <c r="AI166" s="1235">
        <v>45</v>
      </c>
      <c r="AJ166" s="1235">
        <v>20</v>
      </c>
      <c r="AK166" s="1235">
        <v>0</v>
      </c>
      <c r="AL166" s="1235">
        <v>0</v>
      </c>
      <c r="AM166" s="1235">
        <v>0</v>
      </c>
      <c r="AN166" s="1235">
        <v>0</v>
      </c>
      <c r="AO166" s="1235">
        <v>0</v>
      </c>
      <c r="AP166" s="1235">
        <v>0</v>
      </c>
      <c r="AQ166" s="1235">
        <v>0</v>
      </c>
      <c r="AR166" s="1235">
        <v>0</v>
      </c>
      <c r="AS166" s="1235">
        <v>0</v>
      </c>
      <c r="AT166" s="1235">
        <v>0</v>
      </c>
      <c r="AU166" s="1235">
        <v>50</v>
      </c>
      <c r="AV166" s="1236">
        <v>30</v>
      </c>
      <c r="AW166" s="1236">
        <v>10</v>
      </c>
      <c r="AX166" s="1236">
        <v>0</v>
      </c>
      <c r="AY166" s="1236">
        <v>0</v>
      </c>
      <c r="AZ166" s="1236">
        <v>0</v>
      </c>
      <c r="BA166" s="1236">
        <v>0</v>
      </c>
      <c r="BB166" s="1236">
        <v>40</v>
      </c>
      <c r="BC166" s="1237">
        <v>50</v>
      </c>
      <c r="BD166" s="1237">
        <v>0</v>
      </c>
      <c r="BE166" s="1237">
        <v>0</v>
      </c>
      <c r="BF166" s="1237">
        <v>0</v>
      </c>
      <c r="BG166" s="1238">
        <v>0</v>
      </c>
      <c r="BH166" s="1239">
        <v>50</v>
      </c>
      <c r="BI166" s="1235">
        <v>0</v>
      </c>
      <c r="BJ166" s="1235">
        <v>0</v>
      </c>
      <c r="BK166" s="1235"/>
      <c r="BL166" s="1240">
        <v>0</v>
      </c>
      <c r="BM166" s="1240">
        <v>0</v>
      </c>
      <c r="BN166" s="1240"/>
      <c r="BO166" s="1239">
        <v>0</v>
      </c>
      <c r="BP166" s="1239">
        <v>0</v>
      </c>
      <c r="BQ166" s="1242"/>
      <c r="BR166" s="1287" t="s">
        <v>570</v>
      </c>
      <c r="BS166" s="1244"/>
      <c r="BV166" s="1245"/>
      <c r="BW166" s="1239"/>
      <c r="BX166" s="1239"/>
      <c r="BY166" s="1239"/>
      <c r="BZ166" s="1239"/>
      <c r="CA166" s="1244"/>
      <c r="CB166" s="1244"/>
      <c r="CC166" s="1244"/>
      <c r="CD166" s="1244"/>
    </row>
    <row r="167" spans="1:82" s="88" customFormat="1" x14ac:dyDescent="0.25">
      <c r="A167" s="1246">
        <f t="shared" si="2"/>
        <v>164</v>
      </c>
      <c r="B167" s="930" t="str">
        <f>Coltura!C165</f>
        <v>O44</v>
      </c>
      <c r="C167" s="930" t="str">
        <f>Coltura!D165</f>
        <v>Melone</v>
      </c>
      <c r="D167" s="41" t="s">
        <v>645</v>
      </c>
      <c r="E167" s="88">
        <v>40</v>
      </c>
      <c r="F167" s="1235">
        <v>120</v>
      </c>
      <c r="G167" s="1236">
        <v>80</v>
      </c>
      <c r="H167" s="1236">
        <v>140</v>
      </c>
      <c r="I167" s="1236">
        <v>50</v>
      </c>
      <c r="J167" s="1236">
        <v>140</v>
      </c>
      <c r="K167" s="1237">
        <v>250</v>
      </c>
      <c r="L167" s="1237">
        <v>300</v>
      </c>
      <c r="M167" s="1237">
        <v>100</v>
      </c>
      <c r="N167" s="1237">
        <v>300</v>
      </c>
      <c r="O167" s="88">
        <v>32</v>
      </c>
      <c r="P167" s="1235">
        <v>30</v>
      </c>
      <c r="Q167" s="1235">
        <v>20</v>
      </c>
      <c r="R167" s="1235">
        <v>0</v>
      </c>
      <c r="S167" s="1235">
        <v>15</v>
      </c>
      <c r="T167" s="1235">
        <v>0</v>
      </c>
      <c r="U167" s="1235">
        <v>0</v>
      </c>
      <c r="V167" s="1235">
        <v>15</v>
      </c>
      <c r="W167" s="1235">
        <v>0</v>
      </c>
      <c r="X167" s="1236">
        <v>15</v>
      </c>
      <c r="Y167" s="1236">
        <v>0</v>
      </c>
      <c r="Z167" s="1236">
        <v>0</v>
      </c>
      <c r="AA167" s="1236">
        <v>0</v>
      </c>
      <c r="AB167" s="1236">
        <v>0</v>
      </c>
      <c r="AC167" s="1237">
        <v>40</v>
      </c>
      <c r="AD167" s="1237">
        <v>0</v>
      </c>
      <c r="AE167" s="1237">
        <v>0</v>
      </c>
      <c r="AF167" s="1237">
        <v>0</v>
      </c>
      <c r="AG167" s="1237">
        <v>0</v>
      </c>
      <c r="AH167" s="88">
        <v>48</v>
      </c>
      <c r="AI167" s="1235">
        <v>30</v>
      </c>
      <c r="AJ167" s="1235">
        <v>0</v>
      </c>
      <c r="AK167" s="1235">
        <v>0</v>
      </c>
      <c r="AL167" s="1235">
        <v>0</v>
      </c>
      <c r="AM167" s="1235">
        <v>0</v>
      </c>
      <c r="AN167" s="1235">
        <v>30</v>
      </c>
      <c r="AO167" s="1235">
        <v>20</v>
      </c>
      <c r="AP167" s="1235">
        <v>0</v>
      </c>
      <c r="AQ167" s="1235">
        <v>0</v>
      </c>
      <c r="AR167" s="1235">
        <v>0</v>
      </c>
      <c r="AS167" s="1235">
        <v>0</v>
      </c>
      <c r="AT167" s="1235">
        <v>0</v>
      </c>
      <c r="AU167" s="1235">
        <v>40</v>
      </c>
      <c r="AV167" s="1236">
        <v>15</v>
      </c>
      <c r="AW167" s="1236">
        <v>15</v>
      </c>
      <c r="AX167" s="1236">
        <v>0</v>
      </c>
      <c r="AY167" s="1236">
        <v>0</v>
      </c>
      <c r="AZ167" s="1236">
        <v>0</v>
      </c>
      <c r="BA167" s="1236">
        <v>0</v>
      </c>
      <c r="BB167" s="1236">
        <v>30</v>
      </c>
      <c r="BC167" s="1237">
        <v>40</v>
      </c>
      <c r="BD167" s="1237">
        <v>0</v>
      </c>
      <c r="BE167" s="1237">
        <v>0</v>
      </c>
      <c r="BF167" s="1237">
        <v>0</v>
      </c>
      <c r="BG167" s="1238">
        <v>0</v>
      </c>
      <c r="BH167" s="1239">
        <v>40</v>
      </c>
      <c r="BI167" s="1235">
        <v>0</v>
      </c>
      <c r="BJ167" s="1235">
        <v>0</v>
      </c>
      <c r="BK167" s="1235"/>
      <c r="BL167" s="1240">
        <v>0</v>
      </c>
      <c r="BM167" s="1240">
        <v>0</v>
      </c>
      <c r="BN167" s="1240"/>
      <c r="BO167" s="1239">
        <v>0</v>
      </c>
      <c r="BP167" s="1239">
        <v>0</v>
      </c>
      <c r="BQ167" s="1242"/>
      <c r="BR167" s="1243" t="s">
        <v>570</v>
      </c>
      <c r="BS167" s="1244"/>
      <c r="BV167" s="1245"/>
      <c r="BW167" s="1239"/>
      <c r="BX167" s="1239"/>
      <c r="BY167" s="1239"/>
      <c r="BZ167" s="1239"/>
      <c r="CA167" s="1244"/>
      <c r="CB167" s="1244"/>
      <c r="CC167" s="1244"/>
      <c r="CD167" s="1244"/>
    </row>
    <row r="168" spans="1:82" x14ac:dyDescent="0.25">
      <c r="A168" s="1246">
        <f t="shared" si="2"/>
        <v>165</v>
      </c>
      <c r="B168" s="930" t="str">
        <f>Coltura!C166</f>
        <v>O45</v>
      </c>
      <c r="C168" s="930" t="str">
        <f>Coltura!D166</f>
        <v>Patata</v>
      </c>
      <c r="D168" s="41" t="s">
        <v>645</v>
      </c>
      <c r="E168" s="1286">
        <v>47.5</v>
      </c>
      <c r="F168" s="1224">
        <v>190</v>
      </c>
      <c r="G168" s="1225">
        <v>110</v>
      </c>
      <c r="H168" s="1225">
        <v>160</v>
      </c>
      <c r="I168" s="1225">
        <v>60</v>
      </c>
      <c r="J168" s="1225">
        <v>160</v>
      </c>
      <c r="K168" s="1226">
        <v>270</v>
      </c>
      <c r="L168" s="1226">
        <v>300</v>
      </c>
      <c r="M168" s="1226">
        <v>170</v>
      </c>
      <c r="N168" s="1226">
        <v>300</v>
      </c>
      <c r="O168" s="1286">
        <v>40</v>
      </c>
      <c r="P168" s="1224">
        <v>30</v>
      </c>
      <c r="Q168" s="1224">
        <v>20</v>
      </c>
      <c r="R168" s="1224">
        <v>0</v>
      </c>
      <c r="S168" s="1224">
        <v>20</v>
      </c>
      <c r="T168" s="1224">
        <v>0</v>
      </c>
      <c r="U168" s="1224">
        <v>80</v>
      </c>
      <c r="V168" s="1224">
        <v>40</v>
      </c>
      <c r="W168" s="1224">
        <v>0</v>
      </c>
      <c r="X168" s="1225">
        <v>20</v>
      </c>
      <c r="Y168" s="1225">
        <v>0</v>
      </c>
      <c r="Z168" s="1225">
        <v>0</v>
      </c>
      <c r="AA168" s="1225">
        <v>0</v>
      </c>
      <c r="AB168" s="1225">
        <v>0</v>
      </c>
      <c r="AC168" s="1226">
        <v>50</v>
      </c>
      <c r="AD168" s="1226">
        <v>30</v>
      </c>
      <c r="AE168" s="1226">
        <v>0</v>
      </c>
      <c r="AF168" s="1226">
        <v>0</v>
      </c>
      <c r="AG168" s="1226">
        <v>0</v>
      </c>
      <c r="AH168" s="1286">
        <v>55</v>
      </c>
      <c r="AI168" s="1224">
        <v>30</v>
      </c>
      <c r="AJ168" s="1224">
        <v>20</v>
      </c>
      <c r="AK168" s="1224">
        <v>0</v>
      </c>
      <c r="AL168" s="1224">
        <v>0</v>
      </c>
      <c r="AM168" s="1224">
        <v>15</v>
      </c>
      <c r="AN168" s="1224">
        <v>30</v>
      </c>
      <c r="AO168" s="1224">
        <v>20</v>
      </c>
      <c r="AP168" s="1224">
        <v>0</v>
      </c>
      <c r="AQ168" s="1224">
        <v>0</v>
      </c>
      <c r="AR168" s="1224">
        <v>0</v>
      </c>
      <c r="AS168" s="1224">
        <v>0</v>
      </c>
      <c r="AT168" s="1224">
        <v>0</v>
      </c>
      <c r="AU168" s="1224">
        <v>40</v>
      </c>
      <c r="AV168" s="1225">
        <v>20</v>
      </c>
      <c r="AW168" s="1225">
        <v>20</v>
      </c>
      <c r="AX168" s="1225">
        <v>0</v>
      </c>
      <c r="AY168" s="1225">
        <v>0</v>
      </c>
      <c r="AZ168" s="1225">
        <v>0</v>
      </c>
      <c r="BA168" s="1248">
        <v>0</v>
      </c>
      <c r="BB168" s="1225">
        <v>40</v>
      </c>
      <c r="BC168" s="1226">
        <v>50</v>
      </c>
      <c r="BD168" s="1226">
        <v>0</v>
      </c>
      <c r="BE168" s="1226">
        <v>0</v>
      </c>
      <c r="BF168" s="1249">
        <v>0</v>
      </c>
      <c r="BG168" s="1238">
        <v>40</v>
      </c>
      <c r="BH168" s="1229">
        <v>50</v>
      </c>
      <c r="BI168" s="1224">
        <v>0</v>
      </c>
      <c r="BJ168" s="1224">
        <v>0</v>
      </c>
      <c r="BL168" s="1230">
        <v>0</v>
      </c>
      <c r="BM168" s="1230">
        <v>0</v>
      </c>
      <c r="BO168" s="1229">
        <v>0</v>
      </c>
      <c r="BP168" s="1229">
        <v>0</v>
      </c>
      <c r="BR168" s="1243" t="s">
        <v>570</v>
      </c>
      <c r="BV168" s="60"/>
    </row>
    <row r="169" spans="1:82" x14ac:dyDescent="0.25">
      <c r="A169" s="1246">
        <f t="shared" si="2"/>
        <v>166</v>
      </c>
      <c r="B169" s="930" t="str">
        <f>Coltura!C167</f>
        <v>O46</v>
      </c>
      <c r="C169" s="1191" t="str">
        <f>Coltura!D167</f>
        <v>Peperone in serra alta produzione</v>
      </c>
      <c r="D169" s="41" t="s">
        <v>645</v>
      </c>
      <c r="E169" s="1286">
        <v>70</v>
      </c>
      <c r="F169" s="1224">
        <v>190</v>
      </c>
      <c r="G169" s="1253">
        <v>90</v>
      </c>
      <c r="H169" s="1253">
        <v>170</v>
      </c>
      <c r="I169" s="1253">
        <v>60</v>
      </c>
      <c r="J169" s="1253">
        <v>170</v>
      </c>
      <c r="K169" s="1226">
        <v>275</v>
      </c>
      <c r="L169" s="1226">
        <v>300</v>
      </c>
      <c r="M169" s="1254">
        <v>180</v>
      </c>
      <c r="N169" s="1226">
        <v>300</v>
      </c>
      <c r="O169" s="1286">
        <v>60</v>
      </c>
      <c r="P169" s="1224">
        <v>35</v>
      </c>
      <c r="Q169" s="1224">
        <v>20</v>
      </c>
      <c r="R169" s="1224">
        <v>0</v>
      </c>
      <c r="S169" s="1224">
        <v>20</v>
      </c>
      <c r="T169" s="1224">
        <v>0</v>
      </c>
      <c r="U169" s="1224">
        <v>0</v>
      </c>
      <c r="V169" s="1224">
        <v>0</v>
      </c>
      <c r="W169" s="1224">
        <v>0</v>
      </c>
      <c r="X169" s="1225">
        <v>20</v>
      </c>
      <c r="Y169" s="1225">
        <v>0</v>
      </c>
      <c r="Z169" s="1225">
        <v>0</v>
      </c>
      <c r="AA169" s="1225">
        <v>0</v>
      </c>
      <c r="AB169" s="1225">
        <v>0</v>
      </c>
      <c r="AC169" s="1226">
        <v>50</v>
      </c>
      <c r="AD169" s="1226">
        <v>0</v>
      </c>
      <c r="AE169" s="1226">
        <v>0</v>
      </c>
      <c r="AF169" s="1226">
        <v>0</v>
      </c>
      <c r="AG169" s="1226">
        <v>0</v>
      </c>
      <c r="AH169" s="1286">
        <v>80</v>
      </c>
      <c r="AI169" s="1224">
        <v>35</v>
      </c>
      <c r="AJ169" s="1224">
        <v>20</v>
      </c>
      <c r="AK169" s="1224">
        <v>0</v>
      </c>
      <c r="AL169" s="1224">
        <v>0</v>
      </c>
      <c r="AM169" s="1224">
        <v>0</v>
      </c>
      <c r="AN169" s="1224">
        <v>0</v>
      </c>
      <c r="AO169" s="1224">
        <v>0</v>
      </c>
      <c r="AP169" s="1224">
        <v>0</v>
      </c>
      <c r="AQ169" s="1224">
        <v>0</v>
      </c>
      <c r="AR169" s="1224">
        <v>0</v>
      </c>
      <c r="AS169" s="1224">
        <v>0</v>
      </c>
      <c r="AT169" s="1224">
        <v>0</v>
      </c>
      <c r="AU169" s="1224">
        <v>40</v>
      </c>
      <c r="AV169" s="1225">
        <v>20</v>
      </c>
      <c r="AW169" s="1225">
        <v>10</v>
      </c>
      <c r="AX169" s="1225">
        <v>0</v>
      </c>
      <c r="AY169" s="1225">
        <v>0</v>
      </c>
      <c r="AZ169" s="1225">
        <v>0</v>
      </c>
      <c r="BA169" s="1248">
        <v>0</v>
      </c>
      <c r="BB169" s="1225">
        <v>30</v>
      </c>
      <c r="BC169" s="1226">
        <v>50</v>
      </c>
      <c r="BD169" s="1226">
        <v>0</v>
      </c>
      <c r="BE169" s="1226">
        <v>0</v>
      </c>
      <c r="BF169" s="1249">
        <v>0</v>
      </c>
      <c r="BG169" s="1238">
        <v>0</v>
      </c>
      <c r="BH169" s="1229">
        <v>50</v>
      </c>
      <c r="BI169" s="1224">
        <v>0</v>
      </c>
      <c r="BJ169" s="1224">
        <v>0</v>
      </c>
      <c r="BL169" s="1230">
        <v>0</v>
      </c>
      <c r="BM169" s="1230">
        <v>0</v>
      </c>
      <c r="BO169" s="1229">
        <v>0</v>
      </c>
      <c r="BP169" s="1229">
        <v>0</v>
      </c>
      <c r="BR169" s="1243" t="s">
        <v>570</v>
      </c>
      <c r="BV169" s="60"/>
    </row>
    <row r="170" spans="1:82" s="88" customFormat="1" x14ac:dyDescent="0.25">
      <c r="A170" s="1246">
        <f t="shared" si="2"/>
        <v>167</v>
      </c>
      <c r="B170" s="930" t="str">
        <f>Coltura!C168</f>
        <v>O47</v>
      </c>
      <c r="C170" s="1289" t="str">
        <f>Coltura!D168</f>
        <v>Peperone in serra media produzione</v>
      </c>
      <c r="D170" s="41" t="s">
        <v>645</v>
      </c>
      <c r="E170" s="1288">
        <v>50</v>
      </c>
      <c r="F170" s="1235">
        <v>160</v>
      </c>
      <c r="G170" s="1236">
        <v>75</v>
      </c>
      <c r="H170" s="1236">
        <v>150</v>
      </c>
      <c r="I170" s="1236">
        <v>50</v>
      </c>
      <c r="J170" s="1236">
        <v>150</v>
      </c>
      <c r="K170" s="1237">
        <v>250</v>
      </c>
      <c r="L170" s="1237">
        <v>300</v>
      </c>
      <c r="M170" s="1237">
        <v>120</v>
      </c>
      <c r="N170" s="1237">
        <v>300</v>
      </c>
      <c r="O170" s="1288">
        <v>40</v>
      </c>
      <c r="P170" s="1235">
        <v>35</v>
      </c>
      <c r="Q170" s="1235">
        <v>20</v>
      </c>
      <c r="R170" s="1235">
        <v>0</v>
      </c>
      <c r="S170" s="1235">
        <v>20</v>
      </c>
      <c r="T170" s="1235">
        <v>0</v>
      </c>
      <c r="U170" s="1235">
        <v>0</v>
      </c>
      <c r="V170" s="1235">
        <v>0</v>
      </c>
      <c r="W170" s="1235">
        <v>0</v>
      </c>
      <c r="X170" s="1236">
        <v>20</v>
      </c>
      <c r="Y170" s="1236">
        <v>0</v>
      </c>
      <c r="Z170" s="1236">
        <v>0</v>
      </c>
      <c r="AA170" s="1236">
        <v>0</v>
      </c>
      <c r="AB170" s="1236">
        <v>0</v>
      </c>
      <c r="AC170" s="1237">
        <v>50</v>
      </c>
      <c r="AD170" s="1237">
        <v>0</v>
      </c>
      <c r="AE170" s="1237">
        <v>0</v>
      </c>
      <c r="AF170" s="1237">
        <v>0</v>
      </c>
      <c r="AG170" s="1237">
        <v>0</v>
      </c>
      <c r="AH170" s="1288">
        <v>60</v>
      </c>
      <c r="AI170" s="1235">
        <v>35</v>
      </c>
      <c r="AJ170" s="1235">
        <v>20</v>
      </c>
      <c r="AK170" s="1235">
        <v>0</v>
      </c>
      <c r="AL170" s="1235">
        <v>0</v>
      </c>
      <c r="AM170" s="1235">
        <v>0</v>
      </c>
      <c r="AN170" s="1235">
        <v>0</v>
      </c>
      <c r="AO170" s="1235">
        <v>0</v>
      </c>
      <c r="AP170" s="1235">
        <v>0</v>
      </c>
      <c r="AQ170" s="1235">
        <v>0</v>
      </c>
      <c r="AR170" s="1235">
        <v>0</v>
      </c>
      <c r="AS170" s="1235">
        <v>0</v>
      </c>
      <c r="AT170" s="1235">
        <v>0</v>
      </c>
      <c r="AU170" s="1235">
        <v>40</v>
      </c>
      <c r="AV170" s="1236">
        <v>20</v>
      </c>
      <c r="AW170" s="1236">
        <v>10</v>
      </c>
      <c r="AX170" s="1236">
        <v>0</v>
      </c>
      <c r="AY170" s="1236">
        <v>0</v>
      </c>
      <c r="AZ170" s="1236">
        <v>0</v>
      </c>
      <c r="BA170" s="1236">
        <v>0</v>
      </c>
      <c r="BB170" s="1236">
        <v>30</v>
      </c>
      <c r="BC170" s="1237">
        <v>50</v>
      </c>
      <c r="BD170" s="1237">
        <v>0</v>
      </c>
      <c r="BE170" s="1237">
        <v>0</v>
      </c>
      <c r="BF170" s="1237">
        <v>0</v>
      </c>
      <c r="BG170" s="1228">
        <v>0</v>
      </c>
      <c r="BH170" s="1239">
        <v>50</v>
      </c>
      <c r="BI170" s="1235"/>
      <c r="BJ170" s="1235">
        <v>0</v>
      </c>
      <c r="BK170" s="1235"/>
      <c r="BL170" s="1240">
        <v>0</v>
      </c>
      <c r="BM170" s="1240">
        <v>0</v>
      </c>
      <c r="BN170" s="1240"/>
      <c r="BO170" s="1239">
        <v>0</v>
      </c>
      <c r="BP170" s="1239">
        <v>0</v>
      </c>
      <c r="BQ170" s="1242"/>
      <c r="BR170" s="1243" t="s">
        <v>570</v>
      </c>
      <c r="BS170" s="1244"/>
      <c r="BV170" s="1245"/>
      <c r="BW170" s="1239"/>
      <c r="BX170" s="1239"/>
      <c r="BY170" s="1239"/>
      <c r="BZ170" s="1239"/>
      <c r="CA170" s="1244"/>
      <c r="CB170" s="1244"/>
      <c r="CC170" s="1244"/>
      <c r="CD170" s="1244"/>
    </row>
    <row r="171" spans="1:82" x14ac:dyDescent="0.25">
      <c r="A171" s="1246">
        <f t="shared" si="2"/>
        <v>168</v>
      </c>
      <c r="B171" s="930" t="str">
        <f>Coltura!C169</f>
        <v>O48</v>
      </c>
      <c r="C171" s="930" t="str">
        <f>Coltura!D169</f>
        <v>Piccoli frutti</v>
      </c>
      <c r="D171" s="41" t="s">
        <v>645</v>
      </c>
      <c r="E171" s="32" t="s">
        <v>645</v>
      </c>
      <c r="F171" s="1224" t="s">
        <v>645</v>
      </c>
      <c r="AH171" s="32" t="s">
        <v>645</v>
      </c>
      <c r="BA171" s="1248"/>
      <c r="BB171" s="1225">
        <v>0</v>
      </c>
      <c r="BF171" s="1249"/>
      <c r="BG171" s="1228"/>
      <c r="BH171" s="1229">
        <v>0</v>
      </c>
      <c r="BI171" s="1224">
        <v>0</v>
      </c>
      <c r="BJ171" s="1224">
        <v>0</v>
      </c>
      <c r="BL171" s="1230">
        <v>0</v>
      </c>
      <c r="BM171" s="1230">
        <v>0</v>
      </c>
      <c r="BO171" s="1229">
        <v>0</v>
      </c>
      <c r="BP171" s="1229">
        <v>0</v>
      </c>
      <c r="BR171" s="1243" t="s">
        <v>570</v>
      </c>
      <c r="BV171" s="60"/>
    </row>
    <row r="172" spans="1:82" s="88" customFormat="1" x14ac:dyDescent="0.25">
      <c r="A172" s="1246">
        <f t="shared" si="2"/>
        <v>169</v>
      </c>
      <c r="B172" s="930" t="str">
        <f>Coltura!C170</f>
        <v>O49</v>
      </c>
      <c r="C172" s="930" t="str">
        <f>Coltura!D170</f>
        <v>Pisello da industria (grani)</v>
      </c>
      <c r="D172" s="41" t="s">
        <v>645</v>
      </c>
      <c r="E172" s="88">
        <v>6</v>
      </c>
      <c r="F172" s="1235">
        <v>50</v>
      </c>
      <c r="G172" s="1236">
        <v>100</v>
      </c>
      <c r="H172" s="1236">
        <v>130</v>
      </c>
      <c r="I172" s="1236">
        <v>50</v>
      </c>
      <c r="J172" s="1236">
        <v>130</v>
      </c>
      <c r="K172" s="1237">
        <v>70</v>
      </c>
      <c r="L172" s="1237">
        <v>90</v>
      </c>
      <c r="M172" s="1237">
        <v>50</v>
      </c>
      <c r="N172" s="1237">
        <v>90</v>
      </c>
      <c r="O172" s="88">
        <v>5</v>
      </c>
      <c r="P172" s="1235">
        <v>20</v>
      </c>
      <c r="Q172" s="1235">
        <v>20</v>
      </c>
      <c r="R172" s="1235">
        <v>10</v>
      </c>
      <c r="S172" s="1235">
        <v>15</v>
      </c>
      <c r="T172" s="1235">
        <v>0</v>
      </c>
      <c r="U172" s="1235">
        <v>15</v>
      </c>
      <c r="V172" s="1235">
        <v>15</v>
      </c>
      <c r="W172" s="1235">
        <v>0</v>
      </c>
      <c r="X172" s="1236">
        <v>10</v>
      </c>
      <c r="Y172" s="1236">
        <v>10</v>
      </c>
      <c r="Z172" s="1236">
        <v>0</v>
      </c>
      <c r="AA172" s="1236">
        <v>0</v>
      </c>
      <c r="AB172" s="1236">
        <v>0</v>
      </c>
      <c r="AC172" s="1237">
        <v>15</v>
      </c>
      <c r="AD172" s="1237">
        <v>30</v>
      </c>
      <c r="AE172" s="1237">
        <v>0</v>
      </c>
      <c r="AF172" s="1237">
        <v>0</v>
      </c>
      <c r="AG172" s="1237">
        <v>0</v>
      </c>
      <c r="AH172" s="88">
        <v>7</v>
      </c>
      <c r="AI172" s="1235">
        <v>20</v>
      </c>
      <c r="AJ172" s="1235">
        <v>20</v>
      </c>
      <c r="AK172" s="1235">
        <v>10</v>
      </c>
      <c r="AL172" s="1235">
        <v>0</v>
      </c>
      <c r="AM172" s="1235">
        <v>15</v>
      </c>
      <c r="AN172" s="1235">
        <v>30</v>
      </c>
      <c r="AO172" s="1235">
        <v>0</v>
      </c>
      <c r="AP172" s="1235">
        <v>20</v>
      </c>
      <c r="AQ172" s="1235">
        <v>0</v>
      </c>
      <c r="AR172" s="1235">
        <v>0</v>
      </c>
      <c r="AS172" s="1235">
        <v>0</v>
      </c>
      <c r="AT172" s="1235">
        <v>0</v>
      </c>
      <c r="AU172" s="1235">
        <v>20</v>
      </c>
      <c r="AV172" s="1236">
        <v>20</v>
      </c>
      <c r="AW172" s="1236">
        <v>10</v>
      </c>
      <c r="AX172" s="1236">
        <v>20</v>
      </c>
      <c r="AY172" s="1236">
        <v>0</v>
      </c>
      <c r="AZ172" s="1236">
        <v>0</v>
      </c>
      <c r="BA172" s="1236">
        <v>0</v>
      </c>
      <c r="BB172" s="1236">
        <v>50</v>
      </c>
      <c r="BC172" s="1237">
        <v>15</v>
      </c>
      <c r="BD172" s="1237">
        <v>0</v>
      </c>
      <c r="BE172" s="1237">
        <v>0</v>
      </c>
      <c r="BF172" s="1237">
        <v>0</v>
      </c>
      <c r="BG172" s="1238">
        <v>0</v>
      </c>
      <c r="BH172" s="1239">
        <v>15</v>
      </c>
      <c r="BI172" s="1235">
        <v>0</v>
      </c>
      <c r="BJ172" s="1235">
        <v>0</v>
      </c>
      <c r="BK172" s="1235"/>
      <c r="BL172" s="1240">
        <v>0</v>
      </c>
      <c r="BM172" s="1240">
        <v>0</v>
      </c>
      <c r="BN172" s="1240"/>
      <c r="BO172" s="1239">
        <v>0</v>
      </c>
      <c r="BP172" s="1239">
        <v>0</v>
      </c>
      <c r="BQ172" s="1242"/>
      <c r="BR172" s="1243" t="s">
        <v>570</v>
      </c>
      <c r="BS172" s="1244"/>
      <c r="BV172" s="1245"/>
      <c r="BW172" s="1239"/>
      <c r="BX172" s="1239"/>
      <c r="BY172" s="1239"/>
      <c r="BZ172" s="1239"/>
      <c r="CA172" s="1244"/>
      <c r="CB172" s="1244"/>
      <c r="CC172" s="1244"/>
      <c r="CD172" s="1244"/>
    </row>
    <row r="173" spans="1:82" x14ac:dyDescent="0.25">
      <c r="A173" s="1246">
        <f t="shared" si="2"/>
        <v>170</v>
      </c>
      <c r="B173" s="930" t="str">
        <f>Coltura!C171</f>
        <v>O50</v>
      </c>
      <c r="C173" s="930" t="str">
        <f>Coltura!D171</f>
        <v>Pisello da mercato fresco (baccelli)</v>
      </c>
      <c r="D173" s="41" t="s">
        <v>645</v>
      </c>
      <c r="E173" s="32">
        <v>6</v>
      </c>
      <c r="F173" s="1224">
        <v>50</v>
      </c>
      <c r="G173" s="1225">
        <v>100</v>
      </c>
      <c r="H173" s="1225">
        <v>150</v>
      </c>
      <c r="I173" s="1225">
        <v>50</v>
      </c>
      <c r="J173" s="1225">
        <v>150</v>
      </c>
      <c r="K173" s="1226">
        <v>70</v>
      </c>
      <c r="L173" s="1226">
        <v>90</v>
      </c>
      <c r="M173" s="1226">
        <v>50</v>
      </c>
      <c r="N173" s="1226">
        <v>90</v>
      </c>
      <c r="O173" s="32">
        <v>5</v>
      </c>
      <c r="P173" s="1224">
        <v>20</v>
      </c>
      <c r="Q173" s="1224">
        <v>20</v>
      </c>
      <c r="R173" s="1224">
        <v>10</v>
      </c>
      <c r="S173" s="1224">
        <v>20</v>
      </c>
      <c r="T173" s="1224">
        <v>0</v>
      </c>
      <c r="U173" s="1224">
        <v>15</v>
      </c>
      <c r="V173" s="1224">
        <v>15</v>
      </c>
      <c r="W173" s="1224">
        <v>0</v>
      </c>
      <c r="X173" s="1225">
        <v>10</v>
      </c>
      <c r="Y173" s="1225">
        <v>10</v>
      </c>
      <c r="Z173" s="1225">
        <v>0</v>
      </c>
      <c r="AA173" s="1225">
        <v>0</v>
      </c>
      <c r="AB173" s="1225">
        <v>0</v>
      </c>
      <c r="AC173" s="1226">
        <v>15</v>
      </c>
      <c r="AD173" s="1226">
        <v>30</v>
      </c>
      <c r="AE173" s="1226">
        <v>0</v>
      </c>
      <c r="AF173" s="1226">
        <v>0</v>
      </c>
      <c r="AG173" s="1226">
        <v>0</v>
      </c>
      <c r="AH173" s="32">
        <v>7</v>
      </c>
      <c r="AI173" s="1224">
        <v>20</v>
      </c>
      <c r="AJ173" s="1224">
        <v>20</v>
      </c>
      <c r="AK173" s="1224">
        <v>10</v>
      </c>
      <c r="AL173" s="1224">
        <v>0</v>
      </c>
      <c r="AM173" s="1224">
        <v>15</v>
      </c>
      <c r="AN173" s="1224">
        <v>30</v>
      </c>
      <c r="AO173" s="1224">
        <v>0</v>
      </c>
      <c r="AP173" s="1224">
        <v>20</v>
      </c>
      <c r="AQ173" s="1224">
        <v>0</v>
      </c>
      <c r="AR173" s="1224">
        <v>0</v>
      </c>
      <c r="AS173" s="1224">
        <v>0</v>
      </c>
      <c r="AT173" s="1224">
        <v>0</v>
      </c>
      <c r="AU173" s="1224">
        <v>20</v>
      </c>
      <c r="AV173" s="1225">
        <v>20</v>
      </c>
      <c r="AW173" s="1225">
        <v>10</v>
      </c>
      <c r="AX173" s="1225">
        <v>20</v>
      </c>
      <c r="AY173" s="1225">
        <v>0</v>
      </c>
      <c r="AZ173" s="1225">
        <v>0</v>
      </c>
      <c r="BA173" s="1248">
        <v>0</v>
      </c>
      <c r="BB173" s="1225">
        <v>50</v>
      </c>
      <c r="BC173" s="1226">
        <v>15</v>
      </c>
      <c r="BD173" s="1226">
        <v>0</v>
      </c>
      <c r="BE173" s="1226">
        <v>0</v>
      </c>
      <c r="BF173" s="1249">
        <v>0</v>
      </c>
      <c r="BG173" s="1238">
        <v>0</v>
      </c>
      <c r="BH173" s="1229">
        <v>15</v>
      </c>
      <c r="BI173" s="1224">
        <v>0</v>
      </c>
      <c r="BJ173" s="1224">
        <v>0</v>
      </c>
      <c r="BL173" s="1230">
        <v>0</v>
      </c>
      <c r="BM173" s="1230">
        <v>0</v>
      </c>
      <c r="BO173" s="1229">
        <v>0</v>
      </c>
      <c r="BP173" s="1229">
        <v>0</v>
      </c>
      <c r="BR173" s="1243" t="s">
        <v>570</v>
      </c>
      <c r="BV173" s="60"/>
    </row>
    <row r="174" spans="1:82" s="88" customFormat="1" x14ac:dyDescent="0.25">
      <c r="A174" s="1246">
        <f t="shared" si="2"/>
        <v>171</v>
      </c>
      <c r="B174" s="930" t="str">
        <f>Coltura!C172</f>
        <v>O51</v>
      </c>
      <c r="C174" s="930" t="str">
        <f>Coltura!D172</f>
        <v>Pomodoro da industria media produzione</v>
      </c>
      <c r="D174" s="41" t="s">
        <v>645</v>
      </c>
      <c r="E174" s="1280">
        <v>70</v>
      </c>
      <c r="F174" s="1235">
        <v>130</v>
      </c>
      <c r="G174" s="1236">
        <v>130</v>
      </c>
      <c r="H174" s="1236">
        <v>190</v>
      </c>
      <c r="I174" s="1236">
        <v>80</v>
      </c>
      <c r="J174" s="1236">
        <v>190</v>
      </c>
      <c r="K174" s="1237">
        <v>200</v>
      </c>
      <c r="L174" s="1237">
        <v>250</v>
      </c>
      <c r="M174" s="1237">
        <v>120</v>
      </c>
      <c r="N174" s="1237">
        <v>250</v>
      </c>
      <c r="O174" s="1280">
        <v>60</v>
      </c>
      <c r="P174" s="1235">
        <v>20</v>
      </c>
      <c r="Q174" s="1235">
        <v>20</v>
      </c>
      <c r="R174" s="1235">
        <v>20</v>
      </c>
      <c r="S174" s="1235">
        <v>20</v>
      </c>
      <c r="T174" s="1235">
        <v>0</v>
      </c>
      <c r="U174" s="1235">
        <v>60</v>
      </c>
      <c r="V174" s="1235">
        <v>15</v>
      </c>
      <c r="W174" s="1235">
        <v>0</v>
      </c>
      <c r="X174" s="1236">
        <v>20</v>
      </c>
      <c r="Y174" s="1236">
        <v>10</v>
      </c>
      <c r="Z174" s="1236">
        <v>0</v>
      </c>
      <c r="AA174" s="1236">
        <v>0</v>
      </c>
      <c r="AB174" s="1236">
        <v>0</v>
      </c>
      <c r="AC174" s="1237">
        <v>40</v>
      </c>
      <c r="AD174" s="1237">
        <v>30</v>
      </c>
      <c r="AE174" s="1237">
        <v>0</v>
      </c>
      <c r="AF174" s="1237">
        <v>0</v>
      </c>
      <c r="AG174" s="1237">
        <v>0</v>
      </c>
      <c r="AH174" s="1280">
        <v>80</v>
      </c>
      <c r="AI174" s="1235">
        <v>20</v>
      </c>
      <c r="AJ174" s="1235">
        <v>20</v>
      </c>
      <c r="AK174" s="1235">
        <v>20</v>
      </c>
      <c r="AL174" s="1235">
        <v>0</v>
      </c>
      <c r="AM174" s="1235">
        <v>15</v>
      </c>
      <c r="AN174" s="1235">
        <v>30</v>
      </c>
      <c r="AO174" s="1235">
        <v>20</v>
      </c>
      <c r="AP174" s="1235">
        <v>0</v>
      </c>
      <c r="AQ174" s="1235">
        <v>0</v>
      </c>
      <c r="AR174" s="1235">
        <v>0</v>
      </c>
      <c r="AS174" s="1235">
        <v>0</v>
      </c>
      <c r="AT174" s="1235">
        <v>0</v>
      </c>
      <c r="AU174" s="1235">
        <v>40</v>
      </c>
      <c r="AV174" s="1236">
        <v>20</v>
      </c>
      <c r="AW174" s="1236">
        <v>10</v>
      </c>
      <c r="AX174" s="1236">
        <v>0</v>
      </c>
      <c r="AY174" s="1236">
        <v>0</v>
      </c>
      <c r="AZ174" s="1236">
        <v>0</v>
      </c>
      <c r="BA174" s="1236">
        <v>0</v>
      </c>
      <c r="BB174" s="1236">
        <v>30</v>
      </c>
      <c r="BC174" s="1237">
        <v>40</v>
      </c>
      <c r="BD174" s="1237">
        <v>0</v>
      </c>
      <c r="BE174" s="1237">
        <v>0</v>
      </c>
      <c r="BF174" s="1237">
        <v>0</v>
      </c>
      <c r="BG174" s="1238">
        <v>0</v>
      </c>
      <c r="BH174" s="1239">
        <v>40</v>
      </c>
      <c r="BI174" s="1235">
        <v>0</v>
      </c>
      <c r="BJ174" s="1235">
        <v>0</v>
      </c>
      <c r="BK174" s="1235"/>
      <c r="BL174" s="1240">
        <v>0</v>
      </c>
      <c r="BM174" s="1240">
        <v>0</v>
      </c>
      <c r="BN174" s="1240"/>
      <c r="BO174" s="1239">
        <v>0</v>
      </c>
      <c r="BP174" s="1239">
        <v>0</v>
      </c>
      <c r="BQ174" s="1242"/>
      <c r="BR174" s="1243" t="s">
        <v>570</v>
      </c>
      <c r="BS174" s="1244"/>
      <c r="BV174" s="1245"/>
      <c r="BW174" s="1239"/>
      <c r="BX174" s="1239"/>
      <c r="BY174" s="1239"/>
      <c r="BZ174" s="1239"/>
      <c r="CA174" s="1244"/>
      <c r="CB174" s="1244"/>
      <c r="CC174" s="1244"/>
      <c r="CD174" s="1244"/>
    </row>
    <row r="175" spans="1:82" s="88" customFormat="1" x14ac:dyDescent="0.25">
      <c r="A175" s="1246">
        <f t="shared" si="2"/>
        <v>172</v>
      </c>
      <c r="B175" s="930" t="str">
        <f>Coltura!C173</f>
        <v>O52</v>
      </c>
      <c r="C175" s="930" t="str">
        <f>Coltura!D173</f>
        <v>Pomodoro da industria alta produzione</v>
      </c>
      <c r="D175" s="41" t="s">
        <v>645</v>
      </c>
      <c r="E175" s="88">
        <v>90</v>
      </c>
      <c r="F175" s="1235">
        <v>150</v>
      </c>
      <c r="G175" s="1236">
        <v>150</v>
      </c>
      <c r="H175" s="1236">
        <v>190</v>
      </c>
      <c r="I175" s="1236">
        <v>100</v>
      </c>
      <c r="J175" s="1236">
        <v>190</v>
      </c>
      <c r="K175" s="1237">
        <v>230</v>
      </c>
      <c r="L175" s="1237">
        <v>280</v>
      </c>
      <c r="M175" s="1237">
        <v>150</v>
      </c>
      <c r="N175" s="1237">
        <v>280</v>
      </c>
      <c r="O175" s="1280">
        <v>80</v>
      </c>
      <c r="P175" s="1235">
        <v>20</v>
      </c>
      <c r="Q175" s="1235">
        <v>20</v>
      </c>
      <c r="R175" s="1235">
        <v>20</v>
      </c>
      <c r="S175" s="1235">
        <v>20</v>
      </c>
      <c r="T175" s="1235">
        <v>0</v>
      </c>
      <c r="U175" s="1235">
        <v>60</v>
      </c>
      <c r="V175" s="1235">
        <v>15</v>
      </c>
      <c r="W175" s="1235">
        <v>0</v>
      </c>
      <c r="X175" s="1236">
        <v>20</v>
      </c>
      <c r="Y175" s="1236">
        <v>10</v>
      </c>
      <c r="Z175" s="1236">
        <v>0</v>
      </c>
      <c r="AA175" s="1236">
        <v>0</v>
      </c>
      <c r="AB175" s="1236">
        <v>0</v>
      </c>
      <c r="AC175" s="1237">
        <v>40</v>
      </c>
      <c r="AD175" s="1237">
        <v>30</v>
      </c>
      <c r="AE175" s="1237">
        <v>0</v>
      </c>
      <c r="AF175" s="1237">
        <v>0</v>
      </c>
      <c r="AG175" s="1237">
        <v>0</v>
      </c>
      <c r="AH175" s="1280">
        <v>100</v>
      </c>
      <c r="AI175" s="1235">
        <v>20</v>
      </c>
      <c r="AJ175" s="1235">
        <v>20</v>
      </c>
      <c r="AK175" s="1235">
        <v>20</v>
      </c>
      <c r="AL175" s="1235">
        <v>0</v>
      </c>
      <c r="AM175" s="1235">
        <v>15</v>
      </c>
      <c r="AN175" s="1235">
        <v>30</v>
      </c>
      <c r="AO175" s="1235">
        <v>20</v>
      </c>
      <c r="AP175" s="1235">
        <v>0</v>
      </c>
      <c r="AQ175" s="1235">
        <v>0</v>
      </c>
      <c r="AR175" s="1235">
        <v>0</v>
      </c>
      <c r="AS175" s="1235">
        <v>0</v>
      </c>
      <c r="AT175" s="1235">
        <v>0</v>
      </c>
      <c r="AU175" s="1235">
        <v>40</v>
      </c>
      <c r="AV175" s="1236">
        <v>20</v>
      </c>
      <c r="AW175" s="1236">
        <v>10</v>
      </c>
      <c r="AX175" s="1236">
        <v>0</v>
      </c>
      <c r="AY175" s="1236">
        <v>0</v>
      </c>
      <c r="AZ175" s="1236">
        <v>0</v>
      </c>
      <c r="BA175" s="1236">
        <v>0</v>
      </c>
      <c r="BB175" s="1236">
        <v>30</v>
      </c>
      <c r="BC175" s="1237">
        <v>40</v>
      </c>
      <c r="BD175" s="1237">
        <v>0</v>
      </c>
      <c r="BE175" s="1237">
        <v>0</v>
      </c>
      <c r="BF175" s="1237">
        <v>0</v>
      </c>
      <c r="BG175" s="1238">
        <v>0</v>
      </c>
      <c r="BH175" s="1239">
        <v>40</v>
      </c>
      <c r="BI175" s="1235">
        <v>0</v>
      </c>
      <c r="BJ175" s="1235">
        <v>0</v>
      </c>
      <c r="BK175" s="1235"/>
      <c r="BL175" s="1240">
        <v>0</v>
      </c>
      <c r="BM175" s="1240">
        <v>0</v>
      </c>
      <c r="BN175" s="1240"/>
      <c r="BO175" s="1239">
        <v>0</v>
      </c>
      <c r="BP175" s="1239">
        <v>0</v>
      </c>
      <c r="BQ175" s="1242"/>
      <c r="BR175" s="1243" t="s">
        <v>570</v>
      </c>
      <c r="BS175" s="1244"/>
      <c r="BV175" s="1245"/>
      <c r="BW175" s="1239"/>
      <c r="BX175" s="1239"/>
      <c r="BY175" s="1239"/>
      <c r="BZ175" s="1239"/>
      <c r="CA175" s="1244"/>
      <c r="CB175" s="1244"/>
      <c r="CC175" s="1244"/>
      <c r="CD175" s="1244"/>
    </row>
    <row r="176" spans="1:82" x14ac:dyDescent="0.25">
      <c r="A176" s="1246">
        <f t="shared" si="2"/>
        <v>173</v>
      </c>
      <c r="B176" s="930" t="str">
        <f>Coltura!C174</f>
        <v>O53</v>
      </c>
      <c r="C176" s="930" t="str">
        <f>Coltura!D174</f>
        <v>Pomodoro da mensa a pieno campo</v>
      </c>
      <c r="D176" s="41" t="s">
        <v>645</v>
      </c>
      <c r="E176" s="1286">
        <v>70</v>
      </c>
      <c r="F176" s="1224">
        <v>130</v>
      </c>
      <c r="G176" s="1225">
        <v>130</v>
      </c>
      <c r="H176" s="1225">
        <v>190</v>
      </c>
      <c r="I176" s="1225">
        <v>80</v>
      </c>
      <c r="J176" s="1225">
        <v>190</v>
      </c>
      <c r="K176" s="1226">
        <v>200</v>
      </c>
      <c r="L176" s="1226">
        <v>250</v>
      </c>
      <c r="M176" s="1226">
        <v>120</v>
      </c>
      <c r="N176" s="1226">
        <v>250</v>
      </c>
      <c r="O176" s="1286">
        <v>60</v>
      </c>
      <c r="P176" s="1224">
        <v>20</v>
      </c>
      <c r="Q176" s="1224">
        <v>20</v>
      </c>
      <c r="R176" s="1224">
        <v>20</v>
      </c>
      <c r="S176" s="1224">
        <v>20</v>
      </c>
      <c r="T176" s="1224">
        <v>0</v>
      </c>
      <c r="U176" s="1224">
        <v>15</v>
      </c>
      <c r="V176" s="1224">
        <v>15</v>
      </c>
      <c r="W176" s="1224">
        <v>0</v>
      </c>
      <c r="X176" s="1225">
        <v>30</v>
      </c>
      <c r="Y176" s="1225">
        <v>10</v>
      </c>
      <c r="Z176" s="1225">
        <v>0</v>
      </c>
      <c r="AA176" s="1225">
        <v>0</v>
      </c>
      <c r="AB176" s="1225">
        <v>0</v>
      </c>
      <c r="AC176" s="1226">
        <v>40</v>
      </c>
      <c r="AD176" s="1226">
        <v>30</v>
      </c>
      <c r="AE176" s="1226">
        <v>0</v>
      </c>
      <c r="AF176" s="1226">
        <v>0</v>
      </c>
      <c r="AG176" s="1226">
        <v>0</v>
      </c>
      <c r="AH176" s="1286">
        <v>80</v>
      </c>
      <c r="AI176" s="1224">
        <v>20</v>
      </c>
      <c r="AJ176" s="1224">
        <v>15</v>
      </c>
      <c r="AK176" s="1224">
        <v>20</v>
      </c>
      <c r="AL176" s="1224">
        <v>0</v>
      </c>
      <c r="AM176" s="1224">
        <v>15</v>
      </c>
      <c r="AN176" s="1224">
        <v>30</v>
      </c>
      <c r="AO176" s="1224">
        <v>20</v>
      </c>
      <c r="AP176" s="1224">
        <v>0</v>
      </c>
      <c r="AQ176" s="1224">
        <v>0</v>
      </c>
      <c r="AR176" s="1224">
        <v>0</v>
      </c>
      <c r="AS176" s="1224">
        <v>0</v>
      </c>
      <c r="AT176" s="1224">
        <v>0</v>
      </c>
      <c r="AU176" s="1224">
        <v>40</v>
      </c>
      <c r="AV176" s="1225">
        <v>30</v>
      </c>
      <c r="AW176" s="1225">
        <v>10</v>
      </c>
      <c r="AX176" s="1225">
        <v>0</v>
      </c>
      <c r="AY176" s="1225">
        <v>0</v>
      </c>
      <c r="AZ176" s="1225">
        <v>0</v>
      </c>
      <c r="BA176" s="1248">
        <v>0</v>
      </c>
      <c r="BB176" s="1225">
        <v>40</v>
      </c>
      <c r="BC176" s="1226">
        <v>50</v>
      </c>
      <c r="BD176" s="1226">
        <v>0</v>
      </c>
      <c r="BE176" s="1226">
        <v>0</v>
      </c>
      <c r="BF176" s="1249">
        <v>0</v>
      </c>
      <c r="BG176" s="1238">
        <v>0</v>
      </c>
      <c r="BH176" s="1229">
        <v>50</v>
      </c>
      <c r="BI176" s="1224">
        <v>0</v>
      </c>
      <c r="BJ176" s="1224">
        <v>0</v>
      </c>
      <c r="BL176" s="1230">
        <v>0</v>
      </c>
      <c r="BM176" s="1230">
        <v>0</v>
      </c>
      <c r="BO176" s="1229">
        <v>0</v>
      </c>
      <c r="BP176" s="1229">
        <v>0</v>
      </c>
      <c r="BR176" s="1243" t="s">
        <v>570</v>
      </c>
      <c r="BV176" s="60"/>
    </row>
    <row r="177" spans="1:82" s="88" customFormat="1" x14ac:dyDescent="0.25">
      <c r="A177" s="1246">
        <f t="shared" si="2"/>
        <v>174</v>
      </c>
      <c r="B177" s="930" t="str">
        <f>Coltura!C175</f>
        <v>O54</v>
      </c>
      <c r="C177" s="930" t="str">
        <f>Coltura!D175</f>
        <v>Pomodoro da mensa in serra</v>
      </c>
      <c r="D177" s="41" t="s">
        <v>645</v>
      </c>
      <c r="E177" s="88">
        <v>115</v>
      </c>
      <c r="F177" s="1235">
        <v>230</v>
      </c>
      <c r="G177" s="1236">
        <v>150</v>
      </c>
      <c r="H177" s="1236">
        <v>220</v>
      </c>
      <c r="I177" s="1236">
        <v>80</v>
      </c>
      <c r="J177" s="1236">
        <v>220</v>
      </c>
      <c r="K177" s="1237">
        <v>250</v>
      </c>
      <c r="L177" s="1237">
        <v>300</v>
      </c>
      <c r="M177" s="1237">
        <v>180</v>
      </c>
      <c r="N177" s="1237">
        <v>300</v>
      </c>
      <c r="O177" s="88">
        <v>90</v>
      </c>
      <c r="P177" s="1235">
        <v>30</v>
      </c>
      <c r="Q177" s="1235">
        <v>20</v>
      </c>
      <c r="R177" s="1235">
        <v>0</v>
      </c>
      <c r="S177" s="1235">
        <v>20</v>
      </c>
      <c r="T177" s="1235">
        <v>0</v>
      </c>
      <c r="U177" s="1235">
        <v>0</v>
      </c>
      <c r="V177" s="1235">
        <v>0</v>
      </c>
      <c r="W177" s="1235">
        <v>0</v>
      </c>
      <c r="X177" s="1236">
        <v>30</v>
      </c>
      <c r="Y177" s="1236">
        <v>10</v>
      </c>
      <c r="Z177" s="1236">
        <v>0</v>
      </c>
      <c r="AA177" s="1236">
        <v>0</v>
      </c>
      <c r="AB177" s="1236">
        <v>0</v>
      </c>
      <c r="AC177" s="1237">
        <v>50</v>
      </c>
      <c r="AD177" s="1237">
        <v>30</v>
      </c>
      <c r="AE177" s="1237">
        <v>0</v>
      </c>
      <c r="AF177" s="1237">
        <v>0</v>
      </c>
      <c r="AG177" s="1237">
        <v>0</v>
      </c>
      <c r="AH177" s="88">
        <v>140</v>
      </c>
      <c r="AI177" s="1235">
        <v>30</v>
      </c>
      <c r="AJ177" s="1235">
        <v>20</v>
      </c>
      <c r="AK177" s="1235">
        <v>0</v>
      </c>
      <c r="AL177" s="1235">
        <v>0</v>
      </c>
      <c r="AM177" s="1235">
        <v>0</v>
      </c>
      <c r="AN177" s="1235">
        <v>0</v>
      </c>
      <c r="AO177" s="1235">
        <v>0</v>
      </c>
      <c r="AP177" s="1235">
        <v>0</v>
      </c>
      <c r="AQ177" s="1235">
        <v>0</v>
      </c>
      <c r="AR177" s="1235">
        <v>0</v>
      </c>
      <c r="AS177" s="1235">
        <v>0</v>
      </c>
      <c r="AT177" s="1235">
        <v>0</v>
      </c>
      <c r="AU177" s="1235">
        <v>40</v>
      </c>
      <c r="AV177" s="1236">
        <v>30</v>
      </c>
      <c r="AW177" s="1236">
        <v>10</v>
      </c>
      <c r="AX177" s="1236">
        <v>0</v>
      </c>
      <c r="AY177" s="1236">
        <v>0</v>
      </c>
      <c r="AZ177" s="1236">
        <v>0</v>
      </c>
      <c r="BA177" s="1236">
        <v>0</v>
      </c>
      <c r="BB177" s="1236">
        <v>40</v>
      </c>
      <c r="BC177" s="1237">
        <v>50</v>
      </c>
      <c r="BD177" s="1237">
        <v>0</v>
      </c>
      <c r="BE177" s="1237">
        <v>0</v>
      </c>
      <c r="BF177" s="1237">
        <v>0</v>
      </c>
      <c r="BG177" s="1238">
        <v>0</v>
      </c>
      <c r="BH177" s="1239">
        <v>50</v>
      </c>
      <c r="BI177" s="1235">
        <v>0</v>
      </c>
      <c r="BJ177" s="1235">
        <v>0</v>
      </c>
      <c r="BK177" s="1235"/>
      <c r="BL177" s="1240">
        <v>0</v>
      </c>
      <c r="BM177" s="1240">
        <v>0</v>
      </c>
      <c r="BN177" s="1240"/>
      <c r="BO177" s="1239">
        <v>0</v>
      </c>
      <c r="BP177" s="1239">
        <v>0</v>
      </c>
      <c r="BQ177" s="1242"/>
      <c r="BR177" s="1243" t="s">
        <v>570</v>
      </c>
      <c r="BS177" s="1244"/>
      <c r="BV177" s="1245"/>
      <c r="BW177" s="1239"/>
      <c r="BX177" s="1239"/>
      <c r="BY177" s="1239"/>
      <c r="BZ177" s="1239"/>
      <c r="CA177" s="1244"/>
      <c r="CB177" s="1244"/>
      <c r="CC177" s="1244"/>
      <c r="CD177" s="1244"/>
    </row>
    <row r="178" spans="1:82" s="88" customFormat="1" x14ac:dyDescent="0.25">
      <c r="A178" s="1246">
        <f t="shared" si="2"/>
        <v>175</v>
      </c>
      <c r="B178" s="930" t="str">
        <f>Coltura!C176</f>
        <v>O55</v>
      </c>
      <c r="C178" s="930" t="str">
        <f>Coltura!D176</f>
        <v>Porro</v>
      </c>
      <c r="D178" s="41" t="s">
        <v>645</v>
      </c>
      <c r="E178" s="1293">
        <v>40</v>
      </c>
      <c r="F178" s="1235">
        <v>180</v>
      </c>
      <c r="G178" s="1236">
        <v>80</v>
      </c>
      <c r="H178" s="1236">
        <v>110</v>
      </c>
      <c r="I178" s="1236">
        <v>50</v>
      </c>
      <c r="J178" s="1236">
        <v>110</v>
      </c>
      <c r="K178" s="1237">
        <v>200</v>
      </c>
      <c r="L178" s="1237">
        <v>250</v>
      </c>
      <c r="M178" s="1237">
        <v>150</v>
      </c>
      <c r="N178" s="1237">
        <v>250</v>
      </c>
      <c r="O178" s="1293">
        <v>35</v>
      </c>
      <c r="P178" s="1235">
        <v>30</v>
      </c>
      <c r="Q178" s="1235">
        <v>20</v>
      </c>
      <c r="R178" s="1235">
        <v>0</v>
      </c>
      <c r="S178" s="1235">
        <v>20</v>
      </c>
      <c r="T178" s="1235">
        <v>0</v>
      </c>
      <c r="U178" s="1235">
        <v>0</v>
      </c>
      <c r="V178" s="1235">
        <v>15</v>
      </c>
      <c r="W178" s="1235">
        <v>0</v>
      </c>
      <c r="X178" s="1236">
        <v>15</v>
      </c>
      <c r="Y178" s="1236">
        <v>0</v>
      </c>
      <c r="Z178" s="1236">
        <v>0</v>
      </c>
      <c r="AA178" s="1236">
        <v>0</v>
      </c>
      <c r="AB178" s="1236">
        <v>0</v>
      </c>
      <c r="AC178" s="1237">
        <v>25</v>
      </c>
      <c r="AD178" s="1237">
        <v>0</v>
      </c>
      <c r="AE178" s="1237">
        <v>0</v>
      </c>
      <c r="AF178" s="1237">
        <v>0</v>
      </c>
      <c r="AG178" s="1237">
        <v>0</v>
      </c>
      <c r="AH178" s="1293">
        <v>50</v>
      </c>
      <c r="AI178" s="1235">
        <v>20</v>
      </c>
      <c r="AJ178" s="1235">
        <v>20</v>
      </c>
      <c r="AK178" s="1235">
        <v>0</v>
      </c>
      <c r="AL178" s="1235">
        <v>0</v>
      </c>
      <c r="AM178" s="1235">
        <v>15</v>
      </c>
      <c r="AN178" s="1235">
        <v>30</v>
      </c>
      <c r="AO178" s="1235">
        <v>0</v>
      </c>
      <c r="AP178" s="1235">
        <v>20</v>
      </c>
      <c r="AQ178" s="1235">
        <v>0</v>
      </c>
      <c r="AR178" s="1235">
        <v>0</v>
      </c>
      <c r="AS178" s="1235">
        <v>0</v>
      </c>
      <c r="AT178" s="1235">
        <v>0</v>
      </c>
      <c r="AU178" s="1235">
        <v>50</v>
      </c>
      <c r="AV178" s="1236">
        <v>15</v>
      </c>
      <c r="AW178" s="1236">
        <v>0</v>
      </c>
      <c r="AX178" s="1236">
        <v>0</v>
      </c>
      <c r="AY178" s="1236">
        <v>0</v>
      </c>
      <c r="AZ178" s="1236">
        <v>0</v>
      </c>
      <c r="BA178" s="1236">
        <v>0</v>
      </c>
      <c r="BB178" s="1236">
        <v>15</v>
      </c>
      <c r="BC178" s="1237">
        <v>25</v>
      </c>
      <c r="BD178" s="1237">
        <v>0</v>
      </c>
      <c r="BE178" s="1237">
        <v>0</v>
      </c>
      <c r="BF178" s="1237">
        <v>0</v>
      </c>
      <c r="BG178" s="1238">
        <v>0</v>
      </c>
      <c r="BH178" s="1239">
        <v>25</v>
      </c>
      <c r="BI178" s="1235">
        <v>0</v>
      </c>
      <c r="BJ178" s="1235">
        <v>0</v>
      </c>
      <c r="BK178" s="1235"/>
      <c r="BL178" s="1240">
        <v>0</v>
      </c>
      <c r="BM178" s="1240">
        <v>0</v>
      </c>
      <c r="BN178" s="1240"/>
      <c r="BO178" s="1239">
        <v>0</v>
      </c>
      <c r="BP178" s="1239">
        <v>0</v>
      </c>
      <c r="BQ178" s="1242"/>
      <c r="BR178" s="1243" t="s">
        <v>570</v>
      </c>
      <c r="BS178" s="1244"/>
      <c r="BV178" s="1245"/>
      <c r="BW178" s="1239"/>
      <c r="BX178" s="1239"/>
      <c r="BY178" s="1239"/>
      <c r="BZ178" s="1239"/>
      <c r="CA178" s="1244"/>
      <c r="CB178" s="1244"/>
      <c r="CC178" s="1244"/>
      <c r="CD178" s="1244"/>
    </row>
    <row r="179" spans="1:82" x14ac:dyDescent="0.25">
      <c r="A179" s="1246">
        <f t="shared" si="2"/>
        <v>176</v>
      </c>
      <c r="B179" s="930" t="str">
        <f>Coltura!C177</f>
        <v>O56</v>
      </c>
      <c r="C179" s="930" t="str">
        <f>Coltura!D177</f>
        <v>Prezzemolo media produzione</v>
      </c>
      <c r="D179" s="41" t="s">
        <v>645</v>
      </c>
      <c r="E179" s="32">
        <v>20</v>
      </c>
      <c r="F179" s="1224">
        <v>80</v>
      </c>
      <c r="G179" s="1225">
        <v>60</v>
      </c>
      <c r="H179" s="1225">
        <v>120</v>
      </c>
      <c r="I179" s="1225">
        <v>40</v>
      </c>
      <c r="J179" s="1225">
        <v>120</v>
      </c>
      <c r="K179" s="1226">
        <v>100</v>
      </c>
      <c r="L179" s="1226">
        <v>150</v>
      </c>
      <c r="M179" s="1226">
        <v>50</v>
      </c>
      <c r="N179" s="1226">
        <v>150</v>
      </c>
      <c r="O179" s="32">
        <v>16</v>
      </c>
      <c r="P179" s="1224">
        <v>15</v>
      </c>
      <c r="Q179" s="1224">
        <v>20</v>
      </c>
      <c r="R179" s="1224">
        <v>0</v>
      </c>
      <c r="S179" s="1224">
        <v>20</v>
      </c>
      <c r="T179" s="1224">
        <v>0</v>
      </c>
      <c r="U179" s="1224">
        <v>15</v>
      </c>
      <c r="V179" s="1224">
        <v>15</v>
      </c>
      <c r="W179" s="1224">
        <v>0</v>
      </c>
      <c r="X179" s="1225">
        <v>15</v>
      </c>
      <c r="Y179" s="1225">
        <v>10</v>
      </c>
      <c r="Z179" s="1225">
        <v>0</v>
      </c>
      <c r="AA179" s="1225">
        <v>0</v>
      </c>
      <c r="AB179" s="1225">
        <v>0</v>
      </c>
      <c r="AC179" s="1226">
        <v>20</v>
      </c>
      <c r="AD179" s="1226">
        <v>30</v>
      </c>
      <c r="AE179" s="1226">
        <v>0</v>
      </c>
      <c r="AF179" s="1226">
        <v>0</v>
      </c>
      <c r="AG179" s="1226">
        <v>0</v>
      </c>
      <c r="AH179" s="32">
        <v>24</v>
      </c>
      <c r="AI179" s="1224">
        <v>15</v>
      </c>
      <c r="AJ179" s="1224">
        <v>20</v>
      </c>
      <c r="AK179" s="1224">
        <v>0</v>
      </c>
      <c r="AL179" s="1224">
        <v>0</v>
      </c>
      <c r="AM179" s="1224">
        <v>15</v>
      </c>
      <c r="AN179" s="1224">
        <v>30</v>
      </c>
      <c r="AO179" s="1224">
        <v>20</v>
      </c>
      <c r="AP179" s="1224">
        <v>0</v>
      </c>
      <c r="AQ179" s="1224">
        <v>0</v>
      </c>
      <c r="AR179" s="1224">
        <v>0</v>
      </c>
      <c r="AS179" s="1224">
        <v>0</v>
      </c>
      <c r="AT179" s="1224">
        <v>0</v>
      </c>
      <c r="AU179" s="1224">
        <v>30</v>
      </c>
      <c r="AV179" s="1225">
        <v>15</v>
      </c>
      <c r="AW179" s="1225">
        <v>10</v>
      </c>
      <c r="AX179" s="1225">
        <v>0</v>
      </c>
      <c r="AY179" s="1225">
        <v>0</v>
      </c>
      <c r="AZ179" s="1225">
        <v>0</v>
      </c>
      <c r="BA179" s="1248">
        <v>0</v>
      </c>
      <c r="BB179" s="1225">
        <v>25</v>
      </c>
      <c r="BC179" s="1226">
        <v>20</v>
      </c>
      <c r="BD179" s="1226">
        <v>0</v>
      </c>
      <c r="BE179" s="1226">
        <v>0</v>
      </c>
      <c r="BF179" s="1249">
        <v>0</v>
      </c>
      <c r="BG179" s="1238">
        <v>0</v>
      </c>
      <c r="BH179" s="1229">
        <v>20</v>
      </c>
      <c r="BI179" s="1224">
        <v>0</v>
      </c>
      <c r="BJ179" s="1224">
        <v>0</v>
      </c>
      <c r="BL179" s="1230">
        <v>0</v>
      </c>
      <c r="BM179" s="1230">
        <v>0</v>
      </c>
      <c r="BO179" s="1229">
        <v>0</v>
      </c>
      <c r="BP179" s="1229">
        <v>0</v>
      </c>
      <c r="BR179" s="1243" t="s">
        <v>570</v>
      </c>
      <c r="BV179" s="60"/>
    </row>
    <row r="180" spans="1:82" ht="14.25" customHeight="1" x14ac:dyDescent="0.25">
      <c r="A180" s="1246">
        <f t="shared" si="2"/>
        <v>177</v>
      </c>
      <c r="B180" s="930" t="str">
        <f>Coltura!C178</f>
        <v>O57</v>
      </c>
      <c r="C180" s="1191" t="str">
        <f>Coltura!D178</f>
        <v>Prezzemolo alta produzione più tagli</v>
      </c>
      <c r="D180" s="823" t="s">
        <v>645</v>
      </c>
      <c r="E180" s="1280">
        <v>43.5</v>
      </c>
      <c r="F180" s="1281">
        <f>IF($BR180="sì",(BS180+(BU180*(Codici!$BA$2-1))))</f>
        <v>50</v>
      </c>
      <c r="G180" s="1253">
        <v>80</v>
      </c>
      <c r="H180" s="1253">
        <v>130</v>
      </c>
      <c r="I180" s="1253">
        <v>60</v>
      </c>
      <c r="J180" s="1253">
        <v>130</v>
      </c>
      <c r="K180" s="1282">
        <f>IF($BR180="sì",(BW180+(CA180*(Codici!$BA$2-1))))</f>
        <v>150</v>
      </c>
      <c r="L180" s="1282">
        <f>IF($BR180="sì",(BX180+(CB180*(Codici!$BA$2-1))))</f>
        <v>200</v>
      </c>
      <c r="M180" s="1282">
        <f>IF($BR180="sì",(BY180+(CC180*(Codici!$BA$2-1))))</f>
        <v>100</v>
      </c>
      <c r="N180" s="1282">
        <f>IF($BR180="sì",(BZ180+(CD180*(Codici!$BA$2-1))))</f>
        <v>200</v>
      </c>
      <c r="O180" s="1280">
        <v>35</v>
      </c>
      <c r="P180" s="1235">
        <v>0</v>
      </c>
      <c r="Q180" s="1235">
        <v>20</v>
      </c>
      <c r="R180" s="1235">
        <v>0</v>
      </c>
      <c r="S180" s="1235">
        <v>20</v>
      </c>
      <c r="T180" s="1235">
        <v>0</v>
      </c>
      <c r="U180" s="1235">
        <v>15</v>
      </c>
      <c r="V180" s="1235">
        <v>15</v>
      </c>
      <c r="W180" s="1235">
        <v>0</v>
      </c>
      <c r="X180" s="1236">
        <v>15</v>
      </c>
      <c r="Y180" s="1236">
        <v>10</v>
      </c>
      <c r="Z180" s="1236">
        <v>0</v>
      </c>
      <c r="AA180" s="1236">
        <v>0</v>
      </c>
      <c r="AB180" s="1236">
        <v>0</v>
      </c>
      <c r="AC180" s="1237">
        <v>20</v>
      </c>
      <c r="AD180" s="1237">
        <v>30</v>
      </c>
      <c r="AE180" s="1237">
        <v>0</v>
      </c>
      <c r="AF180" s="1237">
        <v>0</v>
      </c>
      <c r="AG180" s="1237">
        <v>0</v>
      </c>
      <c r="AH180" s="1280">
        <v>52</v>
      </c>
      <c r="AI180" s="1235">
        <v>0</v>
      </c>
      <c r="AJ180" s="1235">
        <v>20</v>
      </c>
      <c r="AK180" s="1235">
        <v>0</v>
      </c>
      <c r="AL180" s="1235">
        <v>0</v>
      </c>
      <c r="AM180" s="1235">
        <v>15</v>
      </c>
      <c r="AN180" s="1235">
        <v>30</v>
      </c>
      <c r="AO180" s="1235">
        <v>20</v>
      </c>
      <c r="AP180" s="1235">
        <v>0</v>
      </c>
      <c r="AQ180" s="1235">
        <v>0</v>
      </c>
      <c r="AR180" s="1235">
        <v>0</v>
      </c>
      <c r="AS180" s="1235">
        <v>0</v>
      </c>
      <c r="AT180" s="1235">
        <v>0</v>
      </c>
      <c r="AU180" s="1235">
        <v>30</v>
      </c>
      <c r="AV180" s="1236">
        <v>15</v>
      </c>
      <c r="AW180" s="1236">
        <v>10</v>
      </c>
      <c r="AX180" s="1236">
        <v>0</v>
      </c>
      <c r="AY180" s="1236">
        <v>0</v>
      </c>
      <c r="AZ180" s="1236">
        <v>0</v>
      </c>
      <c r="BA180" s="1248"/>
      <c r="BB180" s="1236">
        <v>25</v>
      </c>
      <c r="BC180" s="1237">
        <v>20</v>
      </c>
      <c r="BD180" s="1237">
        <v>0</v>
      </c>
      <c r="BE180" s="1237">
        <v>0</v>
      </c>
      <c r="BF180" s="1249">
        <v>0</v>
      </c>
      <c r="BG180" s="1238">
        <v>0</v>
      </c>
      <c r="BH180" s="1239">
        <v>20</v>
      </c>
      <c r="BI180" s="1235">
        <v>0</v>
      </c>
      <c r="BJ180" s="1235">
        <v>0</v>
      </c>
      <c r="BL180" s="1240">
        <v>0</v>
      </c>
      <c r="BM180" s="1240">
        <v>0</v>
      </c>
      <c r="BO180" s="1239">
        <v>0</v>
      </c>
      <c r="BP180" s="1239">
        <v>0</v>
      </c>
      <c r="BR180" s="1287" t="s">
        <v>571</v>
      </c>
      <c r="BS180" s="1244">
        <v>70</v>
      </c>
      <c r="BT180" s="236" t="s">
        <v>1532</v>
      </c>
      <c r="BU180" s="1280">
        <v>20</v>
      </c>
      <c r="BV180" s="1294" t="s">
        <v>1510</v>
      </c>
      <c r="BW180" s="1239">
        <v>150</v>
      </c>
      <c r="BX180" s="1239">
        <v>200</v>
      </c>
      <c r="BY180" s="1239">
        <v>100</v>
      </c>
      <c r="BZ180" s="1239">
        <v>200</v>
      </c>
      <c r="CA180" s="1244">
        <v>0</v>
      </c>
      <c r="CB180" s="1244">
        <v>0</v>
      </c>
      <c r="CC180" s="1244">
        <v>0</v>
      </c>
      <c r="CD180" s="1244">
        <v>0</v>
      </c>
    </row>
    <row r="181" spans="1:82" s="88" customFormat="1" x14ac:dyDescent="0.25">
      <c r="A181" s="1246">
        <f t="shared" si="2"/>
        <v>178</v>
      </c>
      <c r="B181" s="930" t="str">
        <f>Coltura!C179</f>
        <v>O58</v>
      </c>
      <c r="C181" s="930" t="str">
        <f>Coltura!D179</f>
        <v>Radicchio (cicoria a foglie colorate) media produzione</v>
      </c>
      <c r="D181" s="41" t="s">
        <v>645</v>
      </c>
      <c r="E181" s="88">
        <v>20</v>
      </c>
      <c r="F181" s="1235">
        <v>130</v>
      </c>
      <c r="G181" s="1236">
        <v>120</v>
      </c>
      <c r="H181" s="1236">
        <v>160</v>
      </c>
      <c r="I181" s="1236">
        <v>80</v>
      </c>
      <c r="J181" s="1236">
        <v>160</v>
      </c>
      <c r="K181" s="1237">
        <v>140</v>
      </c>
      <c r="L181" s="1237">
        <v>200</v>
      </c>
      <c r="M181" s="1237">
        <v>70</v>
      </c>
      <c r="N181" s="1237">
        <v>200</v>
      </c>
      <c r="O181" s="88">
        <v>16</v>
      </c>
      <c r="P181" s="1235">
        <v>20</v>
      </c>
      <c r="Q181" s="1235">
        <v>20</v>
      </c>
      <c r="R181" s="1235">
        <v>0</v>
      </c>
      <c r="S181" s="1235">
        <v>20</v>
      </c>
      <c r="T181" s="1235">
        <v>0</v>
      </c>
      <c r="U181" s="1235">
        <v>15</v>
      </c>
      <c r="V181" s="1235">
        <v>15</v>
      </c>
      <c r="W181" s="1235">
        <v>0</v>
      </c>
      <c r="X181" s="1236">
        <v>20</v>
      </c>
      <c r="Y181" s="1236">
        <v>10</v>
      </c>
      <c r="Z181" s="1236">
        <v>0</v>
      </c>
      <c r="AA181" s="1236">
        <v>0</v>
      </c>
      <c r="AB181" s="1236">
        <v>0</v>
      </c>
      <c r="AC181" s="1237">
        <v>30</v>
      </c>
      <c r="AD181" s="1237">
        <v>30</v>
      </c>
      <c r="AE181" s="1237">
        <v>0</v>
      </c>
      <c r="AF181" s="1237">
        <v>0</v>
      </c>
      <c r="AG181" s="1237">
        <v>0</v>
      </c>
      <c r="AH181" s="88">
        <v>24</v>
      </c>
      <c r="AI181" s="1235">
        <v>20</v>
      </c>
      <c r="AJ181" s="1235">
        <v>20</v>
      </c>
      <c r="AK181" s="1235">
        <v>0</v>
      </c>
      <c r="AL181" s="1235">
        <v>0</v>
      </c>
      <c r="AM181" s="1235">
        <v>15</v>
      </c>
      <c r="AN181" s="1235">
        <v>30</v>
      </c>
      <c r="AO181" s="1235">
        <v>20</v>
      </c>
      <c r="AP181" s="1235">
        <v>0</v>
      </c>
      <c r="AQ181" s="1235">
        <v>0</v>
      </c>
      <c r="AR181" s="1235">
        <v>0</v>
      </c>
      <c r="AS181" s="1235">
        <v>0</v>
      </c>
      <c r="AT181" s="1235">
        <v>0</v>
      </c>
      <c r="AU181" s="1235">
        <v>30</v>
      </c>
      <c r="AV181" s="1236">
        <v>20</v>
      </c>
      <c r="AW181" s="1236">
        <v>10</v>
      </c>
      <c r="AX181" s="1236">
        <v>0</v>
      </c>
      <c r="AY181" s="1236">
        <v>0</v>
      </c>
      <c r="AZ181" s="1236">
        <v>0</v>
      </c>
      <c r="BA181" s="1236">
        <v>0</v>
      </c>
      <c r="BB181" s="1236">
        <v>30</v>
      </c>
      <c r="BC181" s="1237">
        <v>30</v>
      </c>
      <c r="BD181" s="1237">
        <v>0</v>
      </c>
      <c r="BE181" s="1237">
        <v>0</v>
      </c>
      <c r="BF181" s="1237">
        <v>0</v>
      </c>
      <c r="BG181" s="1238">
        <v>0</v>
      </c>
      <c r="BH181" s="1239">
        <v>30</v>
      </c>
      <c r="BI181" s="1235">
        <v>0</v>
      </c>
      <c r="BJ181" s="1235">
        <v>0</v>
      </c>
      <c r="BK181" s="1235"/>
      <c r="BL181" s="1240">
        <v>0</v>
      </c>
      <c r="BM181" s="1240">
        <v>0</v>
      </c>
      <c r="BN181" s="1240"/>
      <c r="BO181" s="1239">
        <v>0</v>
      </c>
      <c r="BP181" s="1239">
        <v>0</v>
      </c>
      <c r="BQ181" s="1242"/>
      <c r="BR181" s="1243" t="s">
        <v>570</v>
      </c>
      <c r="BS181" s="1244"/>
      <c r="BV181" s="1245"/>
      <c r="BW181" s="1239"/>
      <c r="BX181" s="1239"/>
      <c r="BY181" s="1239"/>
      <c r="BZ181" s="1239"/>
      <c r="CA181" s="1244"/>
      <c r="CB181" s="1244"/>
      <c r="CC181" s="1244"/>
      <c r="CD181" s="1244"/>
    </row>
    <row r="182" spans="1:82" s="88" customFormat="1" x14ac:dyDescent="0.25">
      <c r="A182" s="1246">
        <f t="shared" si="2"/>
        <v>179</v>
      </c>
      <c r="B182" s="930" t="str">
        <f>Coltura!C180</f>
        <v>O59</v>
      </c>
      <c r="C182" s="1191" t="str">
        <f>Coltura!D180</f>
        <v>Radicchio (cicoria a foglie colorate) alta produzione</v>
      </c>
      <c r="D182" s="823" t="s">
        <v>645</v>
      </c>
      <c r="E182" s="1280">
        <v>35</v>
      </c>
      <c r="F182" s="1235">
        <v>150</v>
      </c>
      <c r="G182" s="1236">
        <v>120</v>
      </c>
      <c r="H182" s="1236">
        <v>160</v>
      </c>
      <c r="I182" s="1236">
        <v>80</v>
      </c>
      <c r="J182" s="1236">
        <v>160</v>
      </c>
      <c r="K182" s="1237">
        <v>150</v>
      </c>
      <c r="L182" s="1237">
        <v>210</v>
      </c>
      <c r="M182" s="1237">
        <v>90</v>
      </c>
      <c r="N182" s="1237">
        <v>210</v>
      </c>
      <c r="O182" s="88">
        <v>30</v>
      </c>
      <c r="P182" s="1235">
        <v>20</v>
      </c>
      <c r="Q182" s="1235">
        <v>20</v>
      </c>
      <c r="R182" s="1235">
        <v>0</v>
      </c>
      <c r="S182" s="1235">
        <v>20</v>
      </c>
      <c r="T182" s="1235">
        <v>0</v>
      </c>
      <c r="U182" s="1235">
        <v>15</v>
      </c>
      <c r="V182" s="1235">
        <v>15</v>
      </c>
      <c r="W182" s="1235">
        <v>0</v>
      </c>
      <c r="X182" s="1236">
        <v>20</v>
      </c>
      <c r="Y182" s="1236">
        <v>10</v>
      </c>
      <c r="Z182" s="1236">
        <v>0</v>
      </c>
      <c r="AA182" s="1236">
        <v>0</v>
      </c>
      <c r="AB182" s="1236">
        <v>0</v>
      </c>
      <c r="AC182" s="1237">
        <v>30</v>
      </c>
      <c r="AD182" s="1237">
        <v>30</v>
      </c>
      <c r="AE182" s="1237">
        <v>0</v>
      </c>
      <c r="AF182" s="1237">
        <v>0</v>
      </c>
      <c r="AG182" s="1237">
        <v>0</v>
      </c>
      <c r="AH182" s="88">
        <v>40</v>
      </c>
      <c r="AI182" s="1235">
        <v>20</v>
      </c>
      <c r="AJ182" s="1235">
        <v>20</v>
      </c>
      <c r="AK182" s="1235">
        <v>0</v>
      </c>
      <c r="AL182" s="1235">
        <v>0</v>
      </c>
      <c r="AM182" s="1235">
        <v>15</v>
      </c>
      <c r="AN182" s="1235">
        <v>30</v>
      </c>
      <c r="AO182" s="1235">
        <v>20</v>
      </c>
      <c r="AP182" s="1235">
        <v>0</v>
      </c>
      <c r="AQ182" s="1235">
        <v>0</v>
      </c>
      <c r="AR182" s="1235">
        <v>0</v>
      </c>
      <c r="AS182" s="1235">
        <v>0</v>
      </c>
      <c r="AT182" s="1235">
        <v>0</v>
      </c>
      <c r="AU182" s="1235">
        <v>30</v>
      </c>
      <c r="AV182" s="1236">
        <v>20</v>
      </c>
      <c r="AW182" s="1236">
        <v>10</v>
      </c>
      <c r="AX182" s="1236">
        <v>0</v>
      </c>
      <c r="AY182" s="1236">
        <v>0</v>
      </c>
      <c r="AZ182" s="1236">
        <v>0</v>
      </c>
      <c r="BA182" s="1236">
        <v>0</v>
      </c>
      <c r="BB182" s="1236">
        <v>30</v>
      </c>
      <c r="BC182" s="1237">
        <v>30</v>
      </c>
      <c r="BD182" s="1237">
        <v>0</v>
      </c>
      <c r="BE182" s="1237">
        <v>0</v>
      </c>
      <c r="BF182" s="1237">
        <v>0</v>
      </c>
      <c r="BG182" s="1238">
        <v>0</v>
      </c>
      <c r="BH182" s="1239">
        <v>30</v>
      </c>
      <c r="BI182" s="1235">
        <v>0</v>
      </c>
      <c r="BJ182" s="1235">
        <v>0</v>
      </c>
      <c r="BK182" s="1235"/>
      <c r="BL182" s="1240">
        <v>0</v>
      </c>
      <c r="BM182" s="1240">
        <v>0</v>
      </c>
      <c r="BN182" s="1240"/>
      <c r="BO182" s="1239">
        <v>0</v>
      </c>
      <c r="BP182" s="1239">
        <v>0</v>
      </c>
      <c r="BQ182" s="1242"/>
      <c r="BR182" s="1243" t="s">
        <v>570</v>
      </c>
      <c r="BS182" s="1244"/>
      <c r="BV182" s="1245"/>
      <c r="BW182" s="1239"/>
      <c r="BX182" s="1239"/>
      <c r="BY182" s="1239"/>
      <c r="BZ182" s="1239"/>
      <c r="CA182" s="1244"/>
      <c r="CB182" s="1244"/>
      <c r="CC182" s="1244"/>
      <c r="CD182" s="1244"/>
    </row>
    <row r="183" spans="1:82" s="88" customFormat="1" x14ac:dyDescent="0.25">
      <c r="A183" s="1246">
        <f t="shared" si="2"/>
        <v>180</v>
      </c>
      <c r="B183" s="930" t="str">
        <f>Coltura!C181</f>
        <v>O60</v>
      </c>
      <c r="C183" s="930" t="str">
        <f>Coltura!D181</f>
        <v>Rapa</v>
      </c>
      <c r="D183" s="41" t="s">
        <v>645</v>
      </c>
      <c r="E183" s="1280">
        <v>35</v>
      </c>
      <c r="F183" s="1235" t="s">
        <v>645</v>
      </c>
      <c r="G183" s="1236"/>
      <c r="H183" s="1236"/>
      <c r="I183" s="1236"/>
      <c r="J183" s="1236"/>
      <c r="K183" s="1237"/>
      <c r="L183" s="1237"/>
      <c r="M183" s="1237"/>
      <c r="N183" s="1237"/>
      <c r="P183" s="1235"/>
      <c r="Q183" s="1235"/>
      <c r="R183" s="1235"/>
      <c r="S183" s="1235"/>
      <c r="T183" s="1235"/>
      <c r="U183" s="1235"/>
      <c r="V183" s="1235"/>
      <c r="W183" s="1235"/>
      <c r="X183" s="1236"/>
      <c r="Y183" s="1236"/>
      <c r="Z183" s="1236"/>
      <c r="AA183" s="1236"/>
      <c r="AB183" s="1236"/>
      <c r="AC183" s="1237"/>
      <c r="AD183" s="1237"/>
      <c r="AE183" s="1237"/>
      <c r="AF183" s="1237"/>
      <c r="AG183" s="1237"/>
      <c r="AH183" s="88" t="s">
        <v>645</v>
      </c>
      <c r="AI183" s="1235"/>
      <c r="AJ183" s="1235"/>
      <c r="AK183" s="1235"/>
      <c r="AL183" s="1235"/>
      <c r="AM183" s="1235"/>
      <c r="AN183" s="1235"/>
      <c r="AO183" s="1235"/>
      <c r="AP183" s="1235"/>
      <c r="AQ183" s="1235"/>
      <c r="AR183" s="1235"/>
      <c r="AS183" s="1235"/>
      <c r="AT183" s="1235"/>
      <c r="AU183" s="1235"/>
      <c r="AV183" s="1236"/>
      <c r="AW183" s="1236"/>
      <c r="AX183" s="1236"/>
      <c r="AY183" s="1236"/>
      <c r="AZ183" s="1236"/>
      <c r="BA183" s="1236"/>
      <c r="BB183" s="1236">
        <v>0</v>
      </c>
      <c r="BC183" s="1237"/>
      <c r="BD183" s="1237"/>
      <c r="BE183" s="1237"/>
      <c r="BF183" s="1237"/>
      <c r="BG183" s="1228"/>
      <c r="BH183" s="1239">
        <v>0</v>
      </c>
      <c r="BI183" s="1235">
        <v>0</v>
      </c>
      <c r="BJ183" s="1235">
        <v>0</v>
      </c>
      <c r="BK183" s="1235"/>
      <c r="BL183" s="1240">
        <v>0</v>
      </c>
      <c r="BM183" s="1240">
        <v>0</v>
      </c>
      <c r="BN183" s="1240"/>
      <c r="BO183" s="1239">
        <v>0</v>
      </c>
      <c r="BP183" s="1239">
        <v>0</v>
      </c>
      <c r="BQ183" s="1242"/>
      <c r="BR183" s="1243" t="s">
        <v>570</v>
      </c>
      <c r="BS183" s="1244"/>
      <c r="BV183" s="1245"/>
      <c r="BW183" s="1239"/>
      <c r="BX183" s="1239"/>
      <c r="BY183" s="1239"/>
      <c r="BZ183" s="1239"/>
      <c r="CA183" s="1244"/>
      <c r="CB183" s="1244"/>
      <c r="CC183" s="1244"/>
      <c r="CD183" s="1244"/>
    </row>
    <row r="184" spans="1:82" s="88" customFormat="1" x14ac:dyDescent="0.25">
      <c r="A184" s="1246">
        <f t="shared" si="2"/>
        <v>181</v>
      </c>
      <c r="B184" s="930" t="str">
        <f>Coltura!C182</f>
        <v>O61</v>
      </c>
      <c r="C184" s="930" t="str">
        <f>Coltura!D182</f>
        <v>Ravanello</v>
      </c>
      <c r="D184" s="41" t="s">
        <v>645</v>
      </c>
      <c r="E184" s="88">
        <v>30</v>
      </c>
      <c r="F184" s="1235">
        <v>80</v>
      </c>
      <c r="G184" s="1236">
        <v>60</v>
      </c>
      <c r="H184" s="1236">
        <v>100</v>
      </c>
      <c r="I184" s="1236">
        <v>40</v>
      </c>
      <c r="J184" s="1236">
        <v>100</v>
      </c>
      <c r="K184" s="1237">
        <v>90</v>
      </c>
      <c r="L184" s="1237">
        <v>120</v>
      </c>
      <c r="M184" s="1237">
        <v>60</v>
      </c>
      <c r="N184" s="1237">
        <v>120</v>
      </c>
      <c r="O184" s="88">
        <v>25</v>
      </c>
      <c r="P184" s="1235">
        <v>20</v>
      </c>
      <c r="Q184" s="1235">
        <v>20</v>
      </c>
      <c r="R184" s="1235">
        <v>0</v>
      </c>
      <c r="S184" s="1235">
        <v>15</v>
      </c>
      <c r="T184" s="1235">
        <v>0</v>
      </c>
      <c r="U184" s="1235">
        <v>15</v>
      </c>
      <c r="V184" s="1235">
        <v>15</v>
      </c>
      <c r="W184" s="1235">
        <v>0</v>
      </c>
      <c r="X184" s="1236">
        <v>10</v>
      </c>
      <c r="Y184" s="1236">
        <v>10</v>
      </c>
      <c r="Z184" s="1236">
        <v>0</v>
      </c>
      <c r="AA184" s="1236">
        <v>0</v>
      </c>
      <c r="AB184" s="1236">
        <v>0</v>
      </c>
      <c r="AC184" s="1237">
        <v>20</v>
      </c>
      <c r="AD184" s="1237">
        <v>30</v>
      </c>
      <c r="AE184" s="1237">
        <v>0</v>
      </c>
      <c r="AF184" s="1237">
        <v>0</v>
      </c>
      <c r="AG184" s="1237">
        <v>0</v>
      </c>
      <c r="AH184" s="88">
        <v>35</v>
      </c>
      <c r="AI184" s="1235">
        <v>20</v>
      </c>
      <c r="AJ184" s="1235">
        <v>20</v>
      </c>
      <c r="AK184" s="1235">
        <v>0</v>
      </c>
      <c r="AL184" s="1235">
        <v>0</v>
      </c>
      <c r="AM184" s="1235">
        <v>15</v>
      </c>
      <c r="AN184" s="1235">
        <v>30</v>
      </c>
      <c r="AO184" s="1235">
        <v>20</v>
      </c>
      <c r="AP184" s="1235">
        <v>0</v>
      </c>
      <c r="AQ184" s="1235">
        <v>0</v>
      </c>
      <c r="AR184" s="1235">
        <v>0</v>
      </c>
      <c r="AS184" s="1235">
        <v>0</v>
      </c>
      <c r="AT184" s="1235">
        <v>0</v>
      </c>
      <c r="AU184" s="1235">
        <v>25</v>
      </c>
      <c r="AV184" s="1236">
        <v>10</v>
      </c>
      <c r="AW184" s="1236">
        <v>10</v>
      </c>
      <c r="AX184" s="1236">
        <v>20</v>
      </c>
      <c r="AY184" s="1236">
        <v>0</v>
      </c>
      <c r="AZ184" s="1236">
        <v>0</v>
      </c>
      <c r="BA184" s="1236">
        <v>0</v>
      </c>
      <c r="BB184" s="1236">
        <v>40</v>
      </c>
      <c r="BC184" s="1237">
        <v>20</v>
      </c>
      <c r="BD184" s="1237">
        <v>0</v>
      </c>
      <c r="BE184" s="1237">
        <v>0</v>
      </c>
      <c r="BF184" s="1237">
        <v>0</v>
      </c>
      <c r="BG184" s="1238">
        <v>0</v>
      </c>
      <c r="BH184" s="1239">
        <v>20</v>
      </c>
      <c r="BI184" s="1235">
        <v>0</v>
      </c>
      <c r="BJ184" s="1235">
        <v>0</v>
      </c>
      <c r="BK184" s="1235"/>
      <c r="BL184" s="1240">
        <v>0</v>
      </c>
      <c r="BM184" s="1240">
        <v>0</v>
      </c>
      <c r="BN184" s="1240"/>
      <c r="BO184" s="1239">
        <v>0</v>
      </c>
      <c r="BP184" s="1239">
        <v>0</v>
      </c>
      <c r="BQ184" s="1242"/>
      <c r="BR184" s="1243" t="s">
        <v>570</v>
      </c>
      <c r="BS184" s="1244"/>
      <c r="BV184" s="1245"/>
      <c r="BW184" s="1239"/>
      <c r="BX184" s="1239"/>
      <c r="BY184" s="1239"/>
      <c r="BZ184" s="1239"/>
      <c r="CA184" s="1244"/>
      <c r="CB184" s="1244"/>
      <c r="CC184" s="1244"/>
      <c r="CD184" s="1244"/>
    </row>
    <row r="185" spans="1:82" s="88" customFormat="1" x14ac:dyDescent="0.25">
      <c r="A185" s="1246">
        <f t="shared" si="2"/>
        <v>182</v>
      </c>
      <c r="B185" s="930" t="str">
        <f>Coltura!C183</f>
        <v>O62</v>
      </c>
      <c r="C185" s="1191" t="str">
        <f>Coltura!D183</f>
        <v>Rucola media produzione</v>
      </c>
      <c r="D185" s="41" t="s">
        <v>645</v>
      </c>
      <c r="E185" s="1280">
        <v>18.5</v>
      </c>
      <c r="F185" s="1235">
        <v>110</v>
      </c>
      <c r="G185" s="1236">
        <v>80</v>
      </c>
      <c r="H185" s="1236">
        <v>120</v>
      </c>
      <c r="I185" s="1236">
        <v>50</v>
      </c>
      <c r="J185" s="1236">
        <v>120</v>
      </c>
      <c r="K185" s="1237">
        <v>120</v>
      </c>
      <c r="L185" s="1237">
        <v>160</v>
      </c>
      <c r="M185" s="1237">
        <v>60</v>
      </c>
      <c r="N185" s="1237">
        <v>160</v>
      </c>
      <c r="O185" s="1280">
        <v>15</v>
      </c>
      <c r="P185" s="1235">
        <v>30</v>
      </c>
      <c r="Q185" s="1235">
        <v>20</v>
      </c>
      <c r="R185" s="1235">
        <v>0</v>
      </c>
      <c r="S185" s="1235">
        <v>20</v>
      </c>
      <c r="T185" s="1235">
        <v>0</v>
      </c>
      <c r="U185" s="1235">
        <v>15</v>
      </c>
      <c r="V185" s="1235">
        <v>15</v>
      </c>
      <c r="W185" s="1235">
        <v>0</v>
      </c>
      <c r="X185" s="1236">
        <v>15</v>
      </c>
      <c r="Y185" s="1236">
        <v>10</v>
      </c>
      <c r="Z185" s="1236">
        <v>0</v>
      </c>
      <c r="AA185" s="1236">
        <v>0</v>
      </c>
      <c r="AB185" s="1236">
        <v>0</v>
      </c>
      <c r="AC185" s="1237">
        <v>20</v>
      </c>
      <c r="AD185" s="1237">
        <v>10</v>
      </c>
      <c r="AE185" s="1237">
        <v>0</v>
      </c>
      <c r="AF185" s="1237">
        <v>0</v>
      </c>
      <c r="AG185" s="1237">
        <v>0</v>
      </c>
      <c r="AH185" s="1280">
        <v>22</v>
      </c>
      <c r="AI185" s="1235">
        <v>30</v>
      </c>
      <c r="AJ185" s="1235">
        <v>20</v>
      </c>
      <c r="AK185" s="1235">
        <v>0</v>
      </c>
      <c r="AL185" s="1235">
        <v>0</v>
      </c>
      <c r="AM185" s="1235">
        <v>15</v>
      </c>
      <c r="AN185" s="1235">
        <v>20</v>
      </c>
      <c r="AO185" s="1235">
        <v>0</v>
      </c>
      <c r="AP185" s="1235">
        <v>0</v>
      </c>
      <c r="AQ185" s="1235">
        <v>0</v>
      </c>
      <c r="AR185" s="1235">
        <v>0</v>
      </c>
      <c r="AS185" s="1235">
        <v>0</v>
      </c>
      <c r="AT185" s="1235">
        <v>0</v>
      </c>
      <c r="AU185" s="1235">
        <v>30</v>
      </c>
      <c r="AV185" s="1236">
        <v>15</v>
      </c>
      <c r="AW185" s="1236">
        <v>10</v>
      </c>
      <c r="AX185" s="1236">
        <v>0</v>
      </c>
      <c r="AY185" s="1236">
        <v>0</v>
      </c>
      <c r="AZ185" s="1236">
        <v>0</v>
      </c>
      <c r="BA185" s="1236">
        <v>0</v>
      </c>
      <c r="BB185" s="1236">
        <v>25</v>
      </c>
      <c r="BC185" s="1237">
        <v>20</v>
      </c>
      <c r="BD185" s="1237">
        <v>0</v>
      </c>
      <c r="BE185" s="1237">
        <v>0</v>
      </c>
      <c r="BF185" s="1237">
        <v>0</v>
      </c>
      <c r="BG185" s="1238">
        <v>0</v>
      </c>
      <c r="BH185" s="1239">
        <v>20</v>
      </c>
      <c r="BI185" s="1235">
        <v>0</v>
      </c>
      <c r="BJ185" s="1235">
        <v>0</v>
      </c>
      <c r="BK185" s="1235"/>
      <c r="BL185" s="1240">
        <v>0</v>
      </c>
      <c r="BM185" s="1240">
        <v>0</v>
      </c>
      <c r="BN185" s="1240"/>
      <c r="BO185" s="1239">
        <v>0</v>
      </c>
      <c r="BP185" s="1239">
        <v>0</v>
      </c>
      <c r="BQ185" s="1242"/>
      <c r="BR185" s="1287" t="s">
        <v>570</v>
      </c>
      <c r="BS185" s="1244"/>
      <c r="BV185" s="1245"/>
      <c r="BW185" s="1239"/>
      <c r="BX185" s="1239"/>
      <c r="BY185" s="1239"/>
      <c r="BZ185" s="1239"/>
      <c r="CA185" s="1244"/>
      <c r="CB185" s="1244"/>
      <c r="CC185" s="1244"/>
      <c r="CD185" s="1244"/>
    </row>
    <row r="186" spans="1:82" s="88" customFormat="1" ht="14.25" customHeight="1" x14ac:dyDescent="0.25">
      <c r="A186" s="1246">
        <f t="shared" si="2"/>
        <v>183</v>
      </c>
      <c r="B186" s="930" t="str">
        <f>Coltura!C184</f>
        <v>O63</v>
      </c>
      <c r="C186" s="1191" t="str">
        <f>Coltura!D184</f>
        <v>Rucola alta produzione con più tagli</v>
      </c>
      <c r="D186" s="41" t="s">
        <v>645</v>
      </c>
      <c r="E186" s="88">
        <v>37</v>
      </c>
      <c r="F186" s="1281">
        <f>IF($BR186="sì",(BS186+(BU186*(Codici!$BA$2-1))))</f>
        <v>80</v>
      </c>
      <c r="G186" s="1236">
        <v>80</v>
      </c>
      <c r="H186" s="1236">
        <v>120</v>
      </c>
      <c r="I186" s="1236">
        <v>50</v>
      </c>
      <c r="J186" s="1236">
        <v>120</v>
      </c>
      <c r="K186" s="1282">
        <f>IF($BR186="sì",(BW186+(CA186*(Codici!$BA$2-1))))</f>
        <v>150</v>
      </c>
      <c r="L186" s="1282">
        <f>IF($BR186="sì",(BX186+(CB186*(Codici!$BA$2-1))))</f>
        <v>190</v>
      </c>
      <c r="M186" s="1282">
        <f>IF($BR186="sì",(BY186+(CC186*(Codici!$BA$2-1))))</f>
        <v>90</v>
      </c>
      <c r="N186" s="1282">
        <f>IF($BR186="sì",(BZ186+(CD186*(Codici!$BA$2-1))))</f>
        <v>190</v>
      </c>
      <c r="O186" s="1280">
        <v>30</v>
      </c>
      <c r="P186" s="1235">
        <v>0</v>
      </c>
      <c r="Q186" s="1235">
        <v>20</v>
      </c>
      <c r="R186" s="1235">
        <v>0</v>
      </c>
      <c r="S186" s="1235">
        <v>20</v>
      </c>
      <c r="T186" s="1235">
        <v>0</v>
      </c>
      <c r="U186" s="1235">
        <v>10</v>
      </c>
      <c r="V186" s="1235">
        <v>10</v>
      </c>
      <c r="W186" s="1235">
        <v>0</v>
      </c>
      <c r="X186" s="1236">
        <v>15</v>
      </c>
      <c r="Y186" s="1236">
        <v>10</v>
      </c>
      <c r="Z186" s="1236">
        <v>0</v>
      </c>
      <c r="AA186" s="1236">
        <v>0</v>
      </c>
      <c r="AB186" s="1236">
        <v>0</v>
      </c>
      <c r="AC186" s="1237">
        <v>20</v>
      </c>
      <c r="AD186" s="1237">
        <v>10</v>
      </c>
      <c r="AE186" s="1237">
        <v>0</v>
      </c>
      <c r="AF186" s="1237">
        <v>0</v>
      </c>
      <c r="AG186" s="1237">
        <v>0</v>
      </c>
      <c r="AH186" s="1280">
        <v>44</v>
      </c>
      <c r="AI186" s="1235">
        <v>0</v>
      </c>
      <c r="AJ186" s="1235">
        <v>20</v>
      </c>
      <c r="AK186" s="1235">
        <v>0</v>
      </c>
      <c r="AL186" s="1235">
        <v>0</v>
      </c>
      <c r="AM186" s="1235">
        <v>15</v>
      </c>
      <c r="AN186" s="1235">
        <v>20</v>
      </c>
      <c r="AO186" s="1235">
        <v>0</v>
      </c>
      <c r="AP186" s="1235">
        <v>0</v>
      </c>
      <c r="AQ186" s="1235">
        <v>0</v>
      </c>
      <c r="AR186" s="1235">
        <v>0</v>
      </c>
      <c r="AS186" s="1235">
        <v>0</v>
      </c>
      <c r="AT186" s="1235">
        <v>0</v>
      </c>
      <c r="AU186" s="1235">
        <v>30</v>
      </c>
      <c r="AV186" s="1236">
        <v>15</v>
      </c>
      <c r="AW186" s="1236">
        <v>10</v>
      </c>
      <c r="AX186" s="1236">
        <v>0</v>
      </c>
      <c r="AY186" s="1236">
        <v>0</v>
      </c>
      <c r="AZ186" s="1236">
        <v>0</v>
      </c>
      <c r="BA186" s="1248"/>
      <c r="BB186" s="1236">
        <v>25</v>
      </c>
      <c r="BC186" s="1237">
        <v>20</v>
      </c>
      <c r="BD186" s="1237">
        <v>0</v>
      </c>
      <c r="BE186" s="1237">
        <v>0</v>
      </c>
      <c r="BF186" s="1249">
        <v>0</v>
      </c>
      <c r="BG186" s="1238">
        <v>0</v>
      </c>
      <c r="BH186" s="1239">
        <v>20</v>
      </c>
      <c r="BI186" s="1235">
        <v>0</v>
      </c>
      <c r="BJ186" s="1235">
        <v>0</v>
      </c>
      <c r="BK186" s="1224"/>
      <c r="BL186" s="1240">
        <v>0</v>
      </c>
      <c r="BM186" s="1240">
        <v>0</v>
      </c>
      <c r="BN186" s="1230"/>
      <c r="BO186" s="1239">
        <v>0</v>
      </c>
      <c r="BP186" s="1239">
        <v>0</v>
      </c>
      <c r="BQ186" s="1231"/>
      <c r="BR186" s="1287" t="s">
        <v>571</v>
      </c>
      <c r="BS186" s="1244">
        <v>100</v>
      </c>
      <c r="BT186" s="1295" t="s">
        <v>1532</v>
      </c>
      <c r="BU186" s="1280">
        <v>20</v>
      </c>
      <c r="BV186" s="1296" t="s">
        <v>1510</v>
      </c>
      <c r="BW186" s="1239">
        <v>150</v>
      </c>
      <c r="BX186" s="1239">
        <v>190</v>
      </c>
      <c r="BY186" s="1239">
        <v>90</v>
      </c>
      <c r="BZ186" s="1239">
        <v>190</v>
      </c>
      <c r="CA186" s="1244">
        <v>0</v>
      </c>
      <c r="CB186" s="1244">
        <v>0</v>
      </c>
      <c r="CC186" s="1244">
        <v>0</v>
      </c>
      <c r="CD186" s="1244">
        <v>0</v>
      </c>
    </row>
    <row r="187" spans="1:82" s="88" customFormat="1" x14ac:dyDescent="0.25">
      <c r="A187" s="1246">
        <f t="shared" si="2"/>
        <v>184</v>
      </c>
      <c r="B187" s="930" t="str">
        <f>Coltura!C185</f>
        <v>O64</v>
      </c>
      <c r="C187" s="930" t="str">
        <f>Coltura!D185</f>
        <v>Scalogno</v>
      </c>
      <c r="D187" s="41" t="s">
        <v>645</v>
      </c>
      <c r="E187" s="88">
        <v>8</v>
      </c>
      <c r="F187" s="1235">
        <v>90</v>
      </c>
      <c r="G187" s="1236">
        <v>60</v>
      </c>
      <c r="H187" s="1236">
        <v>90</v>
      </c>
      <c r="I187" s="1236">
        <v>30</v>
      </c>
      <c r="J187" s="1236">
        <v>90</v>
      </c>
      <c r="K187" s="1237">
        <v>60</v>
      </c>
      <c r="L187" s="1237">
        <v>80</v>
      </c>
      <c r="M187" s="1237">
        <v>40</v>
      </c>
      <c r="N187" s="1237">
        <v>80</v>
      </c>
      <c r="O187" s="88">
        <v>6</v>
      </c>
      <c r="P187" s="1235">
        <v>20</v>
      </c>
      <c r="Q187" s="1235">
        <v>20</v>
      </c>
      <c r="R187" s="1235">
        <v>0</v>
      </c>
      <c r="S187" s="1235">
        <v>15</v>
      </c>
      <c r="T187" s="1235">
        <v>0</v>
      </c>
      <c r="U187" s="1235">
        <v>15</v>
      </c>
      <c r="V187" s="1235">
        <v>15</v>
      </c>
      <c r="W187" s="1235">
        <v>0</v>
      </c>
      <c r="X187" s="1236">
        <v>15</v>
      </c>
      <c r="Y187" s="1236">
        <v>10</v>
      </c>
      <c r="Z187" s="1236">
        <v>0</v>
      </c>
      <c r="AA187" s="1236">
        <v>0</v>
      </c>
      <c r="AB187" s="1236">
        <v>0</v>
      </c>
      <c r="AC187" s="1237">
        <v>10</v>
      </c>
      <c r="AD187" s="1237">
        <v>30</v>
      </c>
      <c r="AE187" s="1237">
        <v>0</v>
      </c>
      <c r="AF187" s="1237">
        <v>0</v>
      </c>
      <c r="AG187" s="1237">
        <v>0</v>
      </c>
      <c r="AH187" s="88">
        <v>10</v>
      </c>
      <c r="AI187" s="1235">
        <v>20</v>
      </c>
      <c r="AJ187" s="1235">
        <v>15</v>
      </c>
      <c r="AK187" s="1235">
        <v>0</v>
      </c>
      <c r="AL187" s="1235">
        <v>0</v>
      </c>
      <c r="AM187" s="1235">
        <v>15</v>
      </c>
      <c r="AN187" s="1235">
        <v>30</v>
      </c>
      <c r="AO187" s="1235">
        <v>20</v>
      </c>
      <c r="AP187" s="1235">
        <v>20</v>
      </c>
      <c r="AQ187" s="1235">
        <v>0</v>
      </c>
      <c r="AR187" s="1235">
        <v>0</v>
      </c>
      <c r="AS187" s="1235">
        <v>0</v>
      </c>
      <c r="AT187" s="1235">
        <v>0</v>
      </c>
      <c r="AU187" s="1235">
        <v>40</v>
      </c>
      <c r="AV187" s="1236">
        <v>15</v>
      </c>
      <c r="AW187" s="1236">
        <v>10</v>
      </c>
      <c r="AX187" s="1236">
        <v>0</v>
      </c>
      <c r="AY187" s="1236">
        <v>0</v>
      </c>
      <c r="AZ187" s="1236">
        <v>0</v>
      </c>
      <c r="BA187" s="1236">
        <v>0</v>
      </c>
      <c r="BB187" s="1236">
        <v>25</v>
      </c>
      <c r="BC187" s="1237">
        <v>10</v>
      </c>
      <c r="BD187" s="1237">
        <v>0</v>
      </c>
      <c r="BE187" s="1237">
        <v>0</v>
      </c>
      <c r="BF187" s="1237">
        <v>0</v>
      </c>
      <c r="BG187" s="1238">
        <v>0</v>
      </c>
      <c r="BH187" s="1239">
        <v>10</v>
      </c>
      <c r="BI187" s="1235">
        <v>0</v>
      </c>
      <c r="BJ187" s="1235">
        <v>0</v>
      </c>
      <c r="BK187" s="1235"/>
      <c r="BL187" s="1240">
        <v>0</v>
      </c>
      <c r="BM187" s="1240">
        <v>0</v>
      </c>
      <c r="BN187" s="1240"/>
      <c r="BO187" s="1239">
        <v>0</v>
      </c>
      <c r="BP187" s="1239">
        <v>0</v>
      </c>
      <c r="BQ187" s="1242"/>
      <c r="BR187" s="1243" t="s">
        <v>570</v>
      </c>
      <c r="BS187" s="1244"/>
      <c r="BV187" s="1245"/>
      <c r="BW187" s="1239"/>
      <c r="BX187" s="1239"/>
      <c r="BY187" s="1239"/>
      <c r="BZ187" s="1239"/>
      <c r="CA187" s="1244"/>
      <c r="CB187" s="1244"/>
      <c r="CC187" s="1244"/>
      <c r="CD187" s="1244"/>
    </row>
    <row r="188" spans="1:82" x14ac:dyDescent="0.25">
      <c r="A188" s="1246">
        <f t="shared" si="2"/>
        <v>185</v>
      </c>
      <c r="B188" s="930" t="str">
        <f>Coltura!C186</f>
        <v>O65</v>
      </c>
      <c r="C188" s="930" t="str">
        <f>Coltura!D186</f>
        <v>Sedano media produzione</v>
      </c>
      <c r="D188" s="41" t="s">
        <v>645</v>
      </c>
      <c r="E188" s="32">
        <v>50</v>
      </c>
      <c r="F188" s="1224">
        <v>240</v>
      </c>
      <c r="G188" s="1225">
        <v>120</v>
      </c>
      <c r="H188" s="1225">
        <v>160</v>
      </c>
      <c r="I188" s="1225">
        <v>80</v>
      </c>
      <c r="J188" s="1225">
        <v>160</v>
      </c>
      <c r="K188" s="1226">
        <v>150</v>
      </c>
      <c r="L188" s="1226">
        <v>250</v>
      </c>
      <c r="M188" s="1226">
        <v>100</v>
      </c>
      <c r="N188" s="1226">
        <v>250</v>
      </c>
      <c r="O188" s="32">
        <v>40</v>
      </c>
      <c r="P188" s="1224">
        <v>35</v>
      </c>
      <c r="Q188" s="1224">
        <v>20</v>
      </c>
      <c r="R188" s="1224">
        <v>0</v>
      </c>
      <c r="S188" s="1224">
        <v>20</v>
      </c>
      <c r="T188" s="1224">
        <v>0</v>
      </c>
      <c r="U188" s="1224">
        <v>15</v>
      </c>
      <c r="V188" s="1224">
        <v>15</v>
      </c>
      <c r="W188" s="1224">
        <v>0</v>
      </c>
      <c r="X188" s="1225">
        <v>35</v>
      </c>
      <c r="Y188" s="1225">
        <v>10</v>
      </c>
      <c r="Z188" s="1225">
        <v>10</v>
      </c>
      <c r="AA188" s="1225">
        <v>0</v>
      </c>
      <c r="AB188" s="1225">
        <v>0</v>
      </c>
      <c r="AC188" s="1226">
        <v>20</v>
      </c>
      <c r="AD188" s="1226">
        <v>10</v>
      </c>
      <c r="AE188" s="1226">
        <v>0</v>
      </c>
      <c r="AF188" s="1226">
        <v>0</v>
      </c>
      <c r="AG188" s="1226">
        <v>0</v>
      </c>
      <c r="AH188" s="32">
        <v>60</v>
      </c>
      <c r="AI188" s="1224">
        <v>35</v>
      </c>
      <c r="AJ188" s="1224">
        <v>20</v>
      </c>
      <c r="AK188" s="1224">
        <v>0</v>
      </c>
      <c r="AL188" s="1224">
        <v>0</v>
      </c>
      <c r="AM188" s="1224">
        <v>15</v>
      </c>
      <c r="AN188" s="1224">
        <v>30</v>
      </c>
      <c r="AO188" s="1224">
        <v>20</v>
      </c>
      <c r="AP188" s="1224">
        <v>0</v>
      </c>
      <c r="AQ188" s="1224">
        <v>0</v>
      </c>
      <c r="AR188" s="1224">
        <v>0</v>
      </c>
      <c r="AS188" s="1224">
        <v>0</v>
      </c>
      <c r="AT188" s="1224">
        <v>0</v>
      </c>
      <c r="AU188" s="1224">
        <v>50</v>
      </c>
      <c r="AV188" s="1225">
        <v>35</v>
      </c>
      <c r="AW188" s="1225">
        <v>10</v>
      </c>
      <c r="AX188" s="1225">
        <v>0</v>
      </c>
      <c r="AY188" s="1225">
        <v>0</v>
      </c>
      <c r="AZ188" s="1225">
        <v>0</v>
      </c>
      <c r="BA188" s="1248">
        <v>0</v>
      </c>
      <c r="BB188" s="1225">
        <v>45</v>
      </c>
      <c r="BC188" s="1226">
        <v>20</v>
      </c>
      <c r="BD188" s="1226">
        <v>0</v>
      </c>
      <c r="BE188" s="1226">
        <v>0</v>
      </c>
      <c r="BF188" s="1249">
        <v>0</v>
      </c>
      <c r="BG188" s="1238">
        <v>0</v>
      </c>
      <c r="BH188" s="1229">
        <v>20</v>
      </c>
      <c r="BI188" s="1224">
        <v>0</v>
      </c>
      <c r="BJ188" s="1224">
        <v>0</v>
      </c>
      <c r="BL188" s="1230">
        <v>0</v>
      </c>
      <c r="BM188" s="1230">
        <v>0</v>
      </c>
      <c r="BO188" s="1229">
        <v>0</v>
      </c>
      <c r="BP188" s="1229">
        <v>0</v>
      </c>
      <c r="BR188" s="1243" t="s">
        <v>570</v>
      </c>
      <c r="BV188" s="60"/>
    </row>
    <row r="189" spans="1:82" x14ac:dyDescent="0.25">
      <c r="A189" s="1246">
        <f t="shared" si="2"/>
        <v>186</v>
      </c>
      <c r="B189" s="930" t="str">
        <f>Coltura!C187</f>
        <v>O66</v>
      </c>
      <c r="C189" s="1191" t="str">
        <f>Coltura!D187</f>
        <v>Sedano alta produzione</v>
      </c>
      <c r="D189" s="41" t="s">
        <v>645</v>
      </c>
      <c r="E189" s="1286">
        <v>80</v>
      </c>
      <c r="F189" s="1224">
        <v>270</v>
      </c>
      <c r="G189" s="1225">
        <v>120</v>
      </c>
      <c r="H189" s="1225">
        <v>160</v>
      </c>
      <c r="I189" s="1225">
        <v>80</v>
      </c>
      <c r="J189" s="1225">
        <v>160</v>
      </c>
      <c r="K189" s="1226">
        <v>200</v>
      </c>
      <c r="L189" s="1226">
        <v>300</v>
      </c>
      <c r="M189" s="1226">
        <v>150</v>
      </c>
      <c r="N189" s="1226">
        <v>300</v>
      </c>
      <c r="O189" s="1286">
        <v>70</v>
      </c>
      <c r="P189" s="1224">
        <v>35</v>
      </c>
      <c r="Q189" s="1224">
        <v>20</v>
      </c>
      <c r="R189" s="1224">
        <v>0</v>
      </c>
      <c r="S189" s="1224">
        <v>20</v>
      </c>
      <c r="T189" s="1224">
        <v>0</v>
      </c>
      <c r="U189" s="1224">
        <v>15</v>
      </c>
      <c r="V189" s="1224">
        <v>15</v>
      </c>
      <c r="W189" s="1224">
        <v>0</v>
      </c>
      <c r="X189" s="1225">
        <v>35</v>
      </c>
      <c r="Y189" s="1225">
        <v>10</v>
      </c>
      <c r="Z189" s="1225">
        <v>10</v>
      </c>
      <c r="AA189" s="1225">
        <v>0</v>
      </c>
      <c r="AB189" s="1225">
        <v>0</v>
      </c>
      <c r="AC189" s="1226">
        <v>20</v>
      </c>
      <c r="AD189" s="1226">
        <v>10</v>
      </c>
      <c r="AE189" s="1226">
        <v>0</v>
      </c>
      <c r="AF189" s="1226">
        <v>0</v>
      </c>
      <c r="AG189" s="1226">
        <v>0</v>
      </c>
      <c r="AH189" s="1286">
        <v>90</v>
      </c>
      <c r="AI189" s="1224">
        <v>35</v>
      </c>
      <c r="AJ189" s="1224">
        <v>20</v>
      </c>
      <c r="AK189" s="1224">
        <v>0</v>
      </c>
      <c r="AL189" s="1224">
        <v>0</v>
      </c>
      <c r="AM189" s="1224">
        <v>15</v>
      </c>
      <c r="AN189" s="1224">
        <v>30</v>
      </c>
      <c r="AO189" s="1224">
        <v>20</v>
      </c>
      <c r="AP189" s="1224">
        <v>0</v>
      </c>
      <c r="AQ189" s="1224">
        <v>0</v>
      </c>
      <c r="AR189" s="1224">
        <v>0</v>
      </c>
      <c r="AS189" s="1224">
        <v>0</v>
      </c>
      <c r="AT189" s="1224">
        <v>0</v>
      </c>
      <c r="AU189" s="1224">
        <v>50</v>
      </c>
      <c r="AV189" s="1225">
        <v>35</v>
      </c>
      <c r="AW189" s="1225">
        <v>10</v>
      </c>
      <c r="AX189" s="1225">
        <v>0</v>
      </c>
      <c r="AY189" s="1225">
        <v>0</v>
      </c>
      <c r="AZ189" s="1225">
        <v>0</v>
      </c>
      <c r="BA189" s="1248">
        <v>0</v>
      </c>
      <c r="BB189" s="1225">
        <v>45</v>
      </c>
      <c r="BC189" s="1226">
        <v>20</v>
      </c>
      <c r="BD189" s="1226">
        <v>0</v>
      </c>
      <c r="BE189" s="1226">
        <v>0</v>
      </c>
      <c r="BF189" s="1249">
        <v>0</v>
      </c>
      <c r="BG189" s="1238">
        <v>0</v>
      </c>
      <c r="BH189" s="1229">
        <v>20</v>
      </c>
      <c r="BI189" s="1224">
        <v>0</v>
      </c>
      <c r="BJ189" s="1224">
        <v>0</v>
      </c>
      <c r="BL189" s="1230">
        <v>0</v>
      </c>
      <c r="BM189" s="1230">
        <v>0</v>
      </c>
      <c r="BO189" s="1229">
        <v>0</v>
      </c>
      <c r="BP189" s="1229">
        <v>0</v>
      </c>
      <c r="BR189" s="1243" t="s">
        <v>570</v>
      </c>
      <c r="BV189" s="60"/>
    </row>
    <row r="190" spans="1:82" s="88" customFormat="1" ht="16.2" customHeight="1" x14ac:dyDescent="0.25">
      <c r="A190" s="1246">
        <f t="shared" si="2"/>
        <v>187</v>
      </c>
      <c r="B190" s="930" t="str">
        <f>Coltura!C188</f>
        <v>O67</v>
      </c>
      <c r="C190" s="1191" t="str">
        <f>Coltura!D188</f>
        <v>Spinacio alta produzione con più tagli</v>
      </c>
      <c r="D190" s="41" t="s">
        <v>645</v>
      </c>
      <c r="E190" s="1280">
        <v>27.5</v>
      </c>
      <c r="F190" s="1252">
        <f>IF($BR190="sì",(BS190+(BU190*(Codici!$BA$2-1))))</f>
        <v>110</v>
      </c>
      <c r="G190" s="1236">
        <v>50</v>
      </c>
      <c r="H190" s="1236">
        <v>70</v>
      </c>
      <c r="I190" s="1236">
        <v>30</v>
      </c>
      <c r="J190" s="1236">
        <v>70</v>
      </c>
      <c r="K190" s="1282">
        <f>IF($BR190="sì",(BW190+(CA190*(Codici!$BA$2-1))))</f>
        <v>130</v>
      </c>
      <c r="L190" s="1282">
        <f>IF($BR190="sì",(BX190+(CB190*(Codici!$BA$2-1))))</f>
        <v>150</v>
      </c>
      <c r="M190" s="1282">
        <f>IF($BR190="sì",(BY190+(CC190*(Codici!$BA$2-1))))</f>
        <v>30</v>
      </c>
      <c r="N190" s="1282">
        <f>IF($BR190="sì",(BZ190+(CD190*(Codici!$BA$2-1))))</f>
        <v>150</v>
      </c>
      <c r="O190" s="1280">
        <v>22</v>
      </c>
      <c r="P190" s="1235">
        <v>0</v>
      </c>
      <c r="Q190" s="1235">
        <v>20</v>
      </c>
      <c r="R190" s="1235">
        <v>0</v>
      </c>
      <c r="S190" s="1235">
        <v>20</v>
      </c>
      <c r="T190" s="1235">
        <v>0</v>
      </c>
      <c r="U190" s="1235">
        <v>20</v>
      </c>
      <c r="V190" s="1235">
        <v>20</v>
      </c>
      <c r="W190" s="1235">
        <v>0</v>
      </c>
      <c r="X190" s="1236">
        <v>20</v>
      </c>
      <c r="Y190" s="1236">
        <v>0</v>
      </c>
      <c r="Z190" s="1236">
        <v>0</v>
      </c>
      <c r="AA190" s="1236">
        <v>0</v>
      </c>
      <c r="AB190" s="1236">
        <v>0</v>
      </c>
      <c r="AC190" s="1237">
        <v>20</v>
      </c>
      <c r="AD190" s="1237">
        <v>0</v>
      </c>
      <c r="AE190" s="1237">
        <v>0</v>
      </c>
      <c r="AF190" s="1237">
        <v>0</v>
      </c>
      <c r="AG190" s="1237">
        <v>0</v>
      </c>
      <c r="AH190" s="1280">
        <v>33</v>
      </c>
      <c r="AI190" s="1235">
        <v>0</v>
      </c>
      <c r="AJ190" s="1235">
        <v>20</v>
      </c>
      <c r="AK190" s="1235">
        <v>0</v>
      </c>
      <c r="AL190" s="1235">
        <v>0</v>
      </c>
      <c r="AM190" s="1235">
        <v>15</v>
      </c>
      <c r="AN190" s="1235">
        <v>20</v>
      </c>
      <c r="AO190" s="1235">
        <v>0</v>
      </c>
      <c r="AP190" s="1235">
        <v>0</v>
      </c>
      <c r="AQ190" s="1235">
        <v>0</v>
      </c>
      <c r="AR190" s="1235">
        <v>0</v>
      </c>
      <c r="AS190" s="1235">
        <v>0</v>
      </c>
      <c r="AT190" s="1235">
        <v>0</v>
      </c>
      <c r="AU190" s="1235">
        <v>40</v>
      </c>
      <c r="AV190" s="1236">
        <v>20</v>
      </c>
      <c r="AW190" s="1236">
        <v>10</v>
      </c>
      <c r="AX190" s="1236">
        <v>0</v>
      </c>
      <c r="AY190" s="1236">
        <v>0</v>
      </c>
      <c r="AZ190" s="1236">
        <v>0</v>
      </c>
      <c r="BA190" s="1248">
        <v>0</v>
      </c>
      <c r="BB190" s="1236">
        <v>30</v>
      </c>
      <c r="BC190" s="1237">
        <v>20</v>
      </c>
      <c r="BD190" s="1237">
        <v>0</v>
      </c>
      <c r="BE190" s="1237">
        <v>0</v>
      </c>
      <c r="BF190" s="1249">
        <v>0</v>
      </c>
      <c r="BG190" s="1238">
        <v>0</v>
      </c>
      <c r="BH190" s="1239">
        <v>20</v>
      </c>
      <c r="BI190" s="1235">
        <v>0</v>
      </c>
      <c r="BJ190" s="1235">
        <v>0</v>
      </c>
      <c r="BK190" s="1224"/>
      <c r="BL190" s="1240">
        <v>0</v>
      </c>
      <c r="BM190" s="1240">
        <v>0</v>
      </c>
      <c r="BN190" s="1230"/>
      <c r="BO190" s="1239">
        <v>0</v>
      </c>
      <c r="BP190" s="1239">
        <v>0</v>
      </c>
      <c r="BQ190" s="1231"/>
      <c r="BR190" s="1287" t="s">
        <v>571</v>
      </c>
      <c r="BS190" s="1244">
        <v>150</v>
      </c>
      <c r="BT190" s="236" t="s">
        <v>1532</v>
      </c>
      <c r="BU190" s="1280">
        <v>40</v>
      </c>
      <c r="BV190" s="1294" t="s">
        <v>1510</v>
      </c>
      <c r="BW190" s="1239">
        <v>130</v>
      </c>
      <c r="BX190" s="1239">
        <v>150</v>
      </c>
      <c r="BY190" s="1239">
        <v>30</v>
      </c>
      <c r="BZ190" s="1239">
        <v>150</v>
      </c>
      <c r="CA190" s="1244">
        <v>0</v>
      </c>
      <c r="CB190" s="1244">
        <v>0</v>
      </c>
      <c r="CC190" s="1244">
        <v>0</v>
      </c>
      <c r="CD190" s="1244">
        <v>0</v>
      </c>
    </row>
    <row r="191" spans="1:82" x14ac:dyDescent="0.25">
      <c r="A191" s="1246">
        <f t="shared" si="2"/>
        <v>188</v>
      </c>
      <c r="B191" s="930" t="str">
        <f>Coltura!C189</f>
        <v>O68</v>
      </c>
      <c r="C191" s="1289" t="str">
        <f>Coltura!D189</f>
        <v>Spinacio media produzione</v>
      </c>
      <c r="D191" s="41" t="s">
        <v>645</v>
      </c>
      <c r="E191" s="88">
        <v>20</v>
      </c>
      <c r="F191" s="1235">
        <v>150</v>
      </c>
      <c r="G191" s="1236">
        <v>50</v>
      </c>
      <c r="H191" s="1236">
        <v>70</v>
      </c>
      <c r="I191" s="1236">
        <v>30</v>
      </c>
      <c r="J191" s="1236">
        <v>70</v>
      </c>
      <c r="K191" s="1237">
        <v>100</v>
      </c>
      <c r="L191" s="1237">
        <v>120</v>
      </c>
      <c r="M191" s="1237">
        <v>30</v>
      </c>
      <c r="N191" s="1237">
        <v>120</v>
      </c>
      <c r="O191" s="88">
        <v>16</v>
      </c>
      <c r="P191" s="1235">
        <v>20</v>
      </c>
      <c r="Q191" s="1235">
        <v>20</v>
      </c>
      <c r="R191" s="1235">
        <v>0</v>
      </c>
      <c r="S191" s="1235">
        <v>20</v>
      </c>
      <c r="T191" s="1235">
        <v>0</v>
      </c>
      <c r="U191" s="1235">
        <v>20</v>
      </c>
      <c r="V191" s="1235">
        <v>20</v>
      </c>
      <c r="W191" s="1235">
        <v>0</v>
      </c>
      <c r="X191" s="1236">
        <v>20</v>
      </c>
      <c r="Y191" s="1236">
        <v>0</v>
      </c>
      <c r="Z191" s="1236">
        <v>0</v>
      </c>
      <c r="AA191" s="1236">
        <v>0</v>
      </c>
      <c r="AB191" s="1236">
        <v>0</v>
      </c>
      <c r="AC191" s="1237">
        <v>20</v>
      </c>
      <c r="AD191" s="1237">
        <v>0</v>
      </c>
      <c r="AE191" s="1237">
        <v>0</v>
      </c>
      <c r="AF191" s="1237">
        <v>0</v>
      </c>
      <c r="AG191" s="1237">
        <v>0</v>
      </c>
      <c r="AH191" s="88">
        <v>24</v>
      </c>
      <c r="AI191" s="1235">
        <v>20</v>
      </c>
      <c r="AJ191" s="1235">
        <v>20</v>
      </c>
      <c r="AK191" s="1235">
        <v>0</v>
      </c>
      <c r="AL191" s="1235">
        <v>0</v>
      </c>
      <c r="AM191" s="1235">
        <v>15</v>
      </c>
      <c r="AN191" s="1235">
        <v>20</v>
      </c>
      <c r="AO191" s="1235">
        <v>0</v>
      </c>
      <c r="AP191" s="1235">
        <v>0</v>
      </c>
      <c r="AQ191" s="1235">
        <v>0</v>
      </c>
      <c r="AR191" s="1235">
        <v>0</v>
      </c>
      <c r="AS191" s="1235">
        <v>0</v>
      </c>
      <c r="AT191" s="1235">
        <v>0</v>
      </c>
      <c r="AU191" s="1235">
        <v>40</v>
      </c>
      <c r="AV191" s="1236">
        <v>20</v>
      </c>
      <c r="AW191" s="1236">
        <v>10</v>
      </c>
      <c r="AX191" s="1236">
        <v>0</v>
      </c>
      <c r="AY191" s="1236">
        <v>0</v>
      </c>
      <c r="AZ191" s="1236">
        <v>0</v>
      </c>
      <c r="BA191" s="1236">
        <v>0</v>
      </c>
      <c r="BB191" s="1236">
        <v>30</v>
      </c>
      <c r="BC191" s="1237">
        <v>20</v>
      </c>
      <c r="BD191" s="1237">
        <v>0</v>
      </c>
      <c r="BE191" s="1237">
        <v>0</v>
      </c>
      <c r="BF191" s="1237">
        <v>0</v>
      </c>
      <c r="BG191" s="1238">
        <v>0</v>
      </c>
      <c r="BH191" s="1239">
        <v>20</v>
      </c>
      <c r="BI191" s="1235">
        <v>0</v>
      </c>
      <c r="BJ191" s="1235">
        <v>0</v>
      </c>
      <c r="BK191" s="1235"/>
      <c r="BL191" s="1240">
        <v>0</v>
      </c>
      <c r="BM191" s="1240">
        <v>0</v>
      </c>
      <c r="BN191" s="1240"/>
      <c r="BO191" s="1239">
        <v>0</v>
      </c>
      <c r="BP191" s="1239">
        <v>0</v>
      </c>
      <c r="BQ191" s="1242"/>
      <c r="BR191" s="1243" t="s">
        <v>570</v>
      </c>
      <c r="BV191" s="60"/>
    </row>
    <row r="192" spans="1:82" s="88" customFormat="1" x14ac:dyDescent="0.25">
      <c r="A192" s="1246">
        <f t="shared" si="2"/>
        <v>189</v>
      </c>
      <c r="B192" s="930" t="str">
        <f>Coltura!C190</f>
        <v>O69</v>
      </c>
      <c r="C192" s="930" t="str">
        <f>Coltura!D190</f>
        <v>Verza - cavolo da mercato media produzione</v>
      </c>
      <c r="D192" s="41" t="s">
        <v>645</v>
      </c>
      <c r="E192" s="88">
        <v>24</v>
      </c>
      <c r="F192" s="1235">
        <v>130</v>
      </c>
      <c r="G192" s="1236">
        <v>90</v>
      </c>
      <c r="H192" s="1236">
        <v>120</v>
      </c>
      <c r="I192" s="1236">
        <v>30</v>
      </c>
      <c r="J192" s="1236">
        <v>120</v>
      </c>
      <c r="K192" s="1237">
        <v>150</v>
      </c>
      <c r="L192" s="1237">
        <v>190</v>
      </c>
      <c r="M192" s="1237">
        <v>30</v>
      </c>
      <c r="N192" s="1237">
        <v>190</v>
      </c>
      <c r="O192" s="88">
        <v>19</v>
      </c>
      <c r="P192" s="1235">
        <v>25</v>
      </c>
      <c r="Q192" s="1235">
        <v>20</v>
      </c>
      <c r="R192" s="1235">
        <v>0</v>
      </c>
      <c r="S192" s="1235">
        <v>20</v>
      </c>
      <c r="T192" s="1235">
        <v>0</v>
      </c>
      <c r="U192" s="1235">
        <v>0</v>
      </c>
      <c r="V192" s="1235">
        <v>0</v>
      </c>
      <c r="W192" s="1235">
        <v>0</v>
      </c>
      <c r="X192" s="1236">
        <v>15</v>
      </c>
      <c r="Y192" s="1236">
        <v>10</v>
      </c>
      <c r="Z192" s="1236">
        <v>0</v>
      </c>
      <c r="AA192" s="1236">
        <v>0</v>
      </c>
      <c r="AB192" s="1236">
        <v>0</v>
      </c>
      <c r="AC192" s="1237">
        <v>30</v>
      </c>
      <c r="AD192" s="1237">
        <v>30</v>
      </c>
      <c r="AE192" s="1237">
        <v>0</v>
      </c>
      <c r="AF192" s="1237">
        <v>0</v>
      </c>
      <c r="AG192" s="1237">
        <v>0</v>
      </c>
      <c r="AH192" s="88">
        <v>29</v>
      </c>
      <c r="AI192" s="1235">
        <v>25</v>
      </c>
      <c r="AJ192" s="1235">
        <v>20</v>
      </c>
      <c r="AK192" s="1235">
        <v>0</v>
      </c>
      <c r="AL192" s="1235">
        <v>0</v>
      </c>
      <c r="AM192" s="1235">
        <v>15</v>
      </c>
      <c r="AN192" s="1235">
        <v>30</v>
      </c>
      <c r="AO192" s="1235">
        <v>20</v>
      </c>
      <c r="AP192" s="1235">
        <v>0</v>
      </c>
      <c r="AQ192" s="1235">
        <v>0</v>
      </c>
      <c r="AR192" s="1235">
        <v>0</v>
      </c>
      <c r="AS192" s="1235">
        <v>0</v>
      </c>
      <c r="AT192" s="1235">
        <v>0</v>
      </c>
      <c r="AU192" s="1235">
        <v>50</v>
      </c>
      <c r="AV192" s="1236">
        <v>15</v>
      </c>
      <c r="AW192" s="1236">
        <v>10</v>
      </c>
      <c r="AX192" s="1236">
        <v>0</v>
      </c>
      <c r="AY192" s="1236">
        <v>0</v>
      </c>
      <c r="AZ192" s="1236">
        <v>0</v>
      </c>
      <c r="BA192" s="1236">
        <v>0</v>
      </c>
      <c r="BB192" s="1236">
        <v>25</v>
      </c>
      <c r="BC192" s="1237">
        <v>30</v>
      </c>
      <c r="BD192" s="1237">
        <v>0</v>
      </c>
      <c r="BE192" s="1237">
        <v>0</v>
      </c>
      <c r="BF192" s="1237">
        <v>0</v>
      </c>
      <c r="BG192" s="1238">
        <v>0</v>
      </c>
      <c r="BH192" s="1239">
        <v>30</v>
      </c>
      <c r="BI192" s="1235">
        <v>0</v>
      </c>
      <c r="BJ192" s="1235">
        <v>0</v>
      </c>
      <c r="BK192" s="1235"/>
      <c r="BL192" s="1240">
        <v>0</v>
      </c>
      <c r="BM192" s="1240">
        <v>0</v>
      </c>
      <c r="BN192" s="1240"/>
      <c r="BO192" s="1239">
        <v>0</v>
      </c>
      <c r="BP192" s="1239">
        <v>0</v>
      </c>
      <c r="BQ192" s="1242"/>
      <c r="BR192" s="1243" t="s">
        <v>570</v>
      </c>
      <c r="BS192" s="1244"/>
      <c r="BV192" s="1245"/>
      <c r="BW192" s="1239"/>
      <c r="BX192" s="1239"/>
      <c r="BY192" s="1239"/>
      <c r="BZ192" s="1239"/>
      <c r="CA192" s="1244"/>
      <c r="CB192" s="1244"/>
      <c r="CC192" s="1244"/>
      <c r="CD192" s="1244"/>
    </row>
    <row r="193" spans="1:82" s="88" customFormat="1" x14ac:dyDescent="0.25">
      <c r="A193" s="1246">
        <f t="shared" si="2"/>
        <v>190</v>
      </c>
      <c r="B193" s="930" t="str">
        <f>Coltura!C191</f>
        <v>O70</v>
      </c>
      <c r="C193" s="1191" t="str">
        <f>Coltura!D191</f>
        <v>Verza - cavolo da mercato alta produzione</v>
      </c>
      <c r="D193" s="41" t="s">
        <v>645</v>
      </c>
      <c r="E193" s="1280">
        <v>50</v>
      </c>
      <c r="F193" s="1235">
        <v>160</v>
      </c>
      <c r="G193" s="1236">
        <v>90</v>
      </c>
      <c r="H193" s="1236">
        <v>120</v>
      </c>
      <c r="I193" s="1236">
        <v>30</v>
      </c>
      <c r="J193" s="1236">
        <v>120</v>
      </c>
      <c r="K193" s="1237">
        <v>180</v>
      </c>
      <c r="L193" s="1237">
        <v>220</v>
      </c>
      <c r="M193" s="1237">
        <v>30</v>
      </c>
      <c r="N193" s="1237">
        <v>220</v>
      </c>
      <c r="O193" s="1280">
        <v>40</v>
      </c>
      <c r="P193" s="1235">
        <v>25</v>
      </c>
      <c r="Q193" s="1235">
        <v>20</v>
      </c>
      <c r="R193" s="1235">
        <v>0</v>
      </c>
      <c r="S193" s="1235">
        <v>20</v>
      </c>
      <c r="T193" s="1235">
        <v>0</v>
      </c>
      <c r="U193" s="1235">
        <v>0</v>
      </c>
      <c r="V193" s="1235">
        <v>0</v>
      </c>
      <c r="W193" s="1235">
        <v>0</v>
      </c>
      <c r="X193" s="1236">
        <v>15</v>
      </c>
      <c r="Y193" s="1236">
        <v>10</v>
      </c>
      <c r="Z193" s="1236">
        <v>0</v>
      </c>
      <c r="AA193" s="1236">
        <v>0</v>
      </c>
      <c r="AB193" s="1236">
        <v>0</v>
      </c>
      <c r="AC193" s="1237">
        <v>30</v>
      </c>
      <c r="AD193" s="1237">
        <v>30</v>
      </c>
      <c r="AE193" s="1237">
        <v>0</v>
      </c>
      <c r="AF193" s="1237">
        <v>0</v>
      </c>
      <c r="AG193" s="1237">
        <v>0</v>
      </c>
      <c r="AH193" s="1280">
        <v>60</v>
      </c>
      <c r="AI193" s="1235">
        <v>25</v>
      </c>
      <c r="AJ193" s="1235">
        <v>20</v>
      </c>
      <c r="AK193" s="1235">
        <v>0</v>
      </c>
      <c r="AL193" s="1235">
        <v>0</v>
      </c>
      <c r="AM193" s="1235">
        <v>15</v>
      </c>
      <c r="AN193" s="1235">
        <v>30</v>
      </c>
      <c r="AO193" s="1235">
        <v>20</v>
      </c>
      <c r="AP193" s="1235">
        <v>0</v>
      </c>
      <c r="AQ193" s="1235">
        <v>0</v>
      </c>
      <c r="AR193" s="1235">
        <v>0</v>
      </c>
      <c r="AS193" s="1235">
        <v>0</v>
      </c>
      <c r="AT193" s="1235">
        <v>0</v>
      </c>
      <c r="AU193" s="1235">
        <v>50</v>
      </c>
      <c r="AV193" s="1236">
        <v>15</v>
      </c>
      <c r="AW193" s="1236">
        <v>10</v>
      </c>
      <c r="AX193" s="1236">
        <v>0</v>
      </c>
      <c r="AY193" s="1236">
        <v>0</v>
      </c>
      <c r="AZ193" s="1236">
        <v>0</v>
      </c>
      <c r="BA193" s="1236">
        <v>0</v>
      </c>
      <c r="BB193" s="1236">
        <v>25</v>
      </c>
      <c r="BC193" s="1237">
        <v>30</v>
      </c>
      <c r="BD193" s="1237">
        <v>0</v>
      </c>
      <c r="BE193" s="1237">
        <v>0</v>
      </c>
      <c r="BF193" s="1237">
        <v>0</v>
      </c>
      <c r="BG193" s="1238">
        <v>0</v>
      </c>
      <c r="BH193" s="1239">
        <v>30</v>
      </c>
      <c r="BI193" s="1235">
        <v>0</v>
      </c>
      <c r="BJ193" s="1235">
        <v>0</v>
      </c>
      <c r="BK193" s="1235"/>
      <c r="BL193" s="1240">
        <v>0</v>
      </c>
      <c r="BM193" s="1240">
        <v>0</v>
      </c>
      <c r="BN193" s="1240"/>
      <c r="BO193" s="1239">
        <v>0</v>
      </c>
      <c r="BP193" s="1239">
        <v>0</v>
      </c>
      <c r="BQ193" s="1242"/>
      <c r="BR193" s="1243" t="s">
        <v>570</v>
      </c>
      <c r="BS193" s="1244"/>
      <c r="BV193" s="1245"/>
      <c r="BW193" s="1239"/>
      <c r="BX193" s="1239"/>
      <c r="BY193" s="1239"/>
      <c r="BZ193" s="1239"/>
      <c r="CA193" s="1244"/>
      <c r="CB193" s="1244"/>
      <c r="CC193" s="1244"/>
      <c r="CD193" s="1244"/>
    </row>
    <row r="194" spans="1:82" x14ac:dyDescent="0.25">
      <c r="A194" s="1246">
        <f t="shared" si="2"/>
        <v>191</v>
      </c>
      <c r="B194" s="930" t="str">
        <f>Coltura!C192</f>
        <v>O71</v>
      </c>
      <c r="C194" s="930" t="str">
        <f>Coltura!D192</f>
        <v>Verza da industria</v>
      </c>
      <c r="D194" s="41" t="s">
        <v>645</v>
      </c>
      <c r="E194" s="32">
        <v>35</v>
      </c>
      <c r="F194" s="1224">
        <v>150</v>
      </c>
      <c r="G194" s="1225">
        <v>100</v>
      </c>
      <c r="H194" s="1225">
        <v>150</v>
      </c>
      <c r="I194" s="1225">
        <v>0</v>
      </c>
      <c r="J194" s="1225">
        <v>150</v>
      </c>
      <c r="K194" s="1226">
        <v>150</v>
      </c>
      <c r="L194" s="1226">
        <v>190</v>
      </c>
      <c r="M194" s="1226">
        <v>0</v>
      </c>
      <c r="N194" s="1226">
        <v>190</v>
      </c>
      <c r="O194" s="32">
        <v>28</v>
      </c>
      <c r="P194" s="1224">
        <v>30</v>
      </c>
      <c r="Q194" s="1224">
        <v>20</v>
      </c>
      <c r="R194" s="1224">
        <v>0</v>
      </c>
      <c r="S194" s="1224">
        <v>15</v>
      </c>
      <c r="T194" s="1224">
        <v>0</v>
      </c>
      <c r="U194" s="1224">
        <v>0</v>
      </c>
      <c r="V194" s="1224">
        <v>0</v>
      </c>
      <c r="W194" s="1224">
        <v>0</v>
      </c>
      <c r="X194" s="1225">
        <v>20</v>
      </c>
      <c r="Y194" s="1225">
        <v>10</v>
      </c>
      <c r="Z194" s="1225">
        <v>0</v>
      </c>
      <c r="AA194" s="1225">
        <v>0</v>
      </c>
      <c r="AB194" s="1225">
        <v>0</v>
      </c>
      <c r="AC194" s="1226">
        <v>40</v>
      </c>
      <c r="AD194" s="1226">
        <v>30</v>
      </c>
      <c r="AE194" s="1226">
        <v>0</v>
      </c>
      <c r="AF194" s="1226">
        <v>0</v>
      </c>
      <c r="AG194" s="1226">
        <v>0</v>
      </c>
      <c r="AH194" s="32">
        <v>42</v>
      </c>
      <c r="AI194" s="1224">
        <v>20</v>
      </c>
      <c r="AJ194" s="1224">
        <v>20</v>
      </c>
      <c r="AK194" s="1224">
        <v>0</v>
      </c>
      <c r="AL194" s="1224">
        <v>0</v>
      </c>
      <c r="AM194" s="1224">
        <v>15</v>
      </c>
      <c r="AN194" s="1224">
        <v>30</v>
      </c>
      <c r="AO194" s="1224">
        <v>20</v>
      </c>
      <c r="AP194" s="1224">
        <v>0</v>
      </c>
      <c r="AQ194" s="1224">
        <v>0</v>
      </c>
      <c r="AR194" s="1224">
        <v>0</v>
      </c>
      <c r="AS194" s="1224">
        <v>0</v>
      </c>
      <c r="AT194" s="1224">
        <v>0</v>
      </c>
      <c r="AU194" s="1224">
        <v>40</v>
      </c>
      <c r="AV194" s="1225">
        <v>20</v>
      </c>
      <c r="AW194" s="1225">
        <v>10</v>
      </c>
      <c r="AX194" s="1225">
        <v>0</v>
      </c>
      <c r="AY194" s="1225">
        <v>0</v>
      </c>
      <c r="AZ194" s="1225">
        <v>0</v>
      </c>
      <c r="BA194" s="1248">
        <v>0</v>
      </c>
      <c r="BB194" s="1225">
        <v>30</v>
      </c>
      <c r="BC194" s="1226">
        <v>40</v>
      </c>
      <c r="BD194" s="1226">
        <v>0</v>
      </c>
      <c r="BE194" s="1226">
        <v>0</v>
      </c>
      <c r="BF194" s="1249">
        <v>0</v>
      </c>
      <c r="BG194" s="1238">
        <v>0</v>
      </c>
      <c r="BH194" s="1229">
        <v>40</v>
      </c>
      <c r="BI194" s="1224">
        <v>0</v>
      </c>
      <c r="BJ194" s="1224">
        <v>0</v>
      </c>
      <c r="BL194" s="1230">
        <v>0</v>
      </c>
      <c r="BM194" s="1230">
        <v>0</v>
      </c>
      <c r="BO194" s="1229">
        <v>0</v>
      </c>
      <c r="BP194" s="1229">
        <v>0</v>
      </c>
      <c r="BR194" s="1243" t="s">
        <v>570</v>
      </c>
      <c r="BV194" s="60"/>
    </row>
    <row r="195" spans="1:82" s="88" customFormat="1" x14ac:dyDescent="0.25">
      <c r="A195" s="1246">
        <f t="shared" si="2"/>
        <v>192</v>
      </c>
      <c r="B195" s="930" t="str">
        <f>Coltura!C193</f>
        <v>O72</v>
      </c>
      <c r="C195" s="930" t="str">
        <f>Coltura!D193</f>
        <v>Zucca</v>
      </c>
      <c r="D195" s="41" t="s">
        <v>645</v>
      </c>
      <c r="E195" s="88">
        <v>35</v>
      </c>
      <c r="F195" s="1235">
        <v>110</v>
      </c>
      <c r="G195" s="1236">
        <v>70</v>
      </c>
      <c r="H195" s="1236">
        <v>110</v>
      </c>
      <c r="I195" s="1236">
        <v>50</v>
      </c>
      <c r="J195" s="1236">
        <v>110</v>
      </c>
      <c r="K195" s="1237">
        <v>200</v>
      </c>
      <c r="L195" s="1237">
        <v>260</v>
      </c>
      <c r="M195" s="1237">
        <v>100</v>
      </c>
      <c r="N195" s="1237">
        <v>260</v>
      </c>
      <c r="O195" s="88">
        <v>28</v>
      </c>
      <c r="P195" s="1235">
        <v>30</v>
      </c>
      <c r="Q195" s="1235">
        <v>20</v>
      </c>
      <c r="R195" s="1235">
        <v>0</v>
      </c>
      <c r="S195" s="1235">
        <v>15</v>
      </c>
      <c r="T195" s="1235">
        <v>0</v>
      </c>
      <c r="U195" s="1235">
        <v>15</v>
      </c>
      <c r="V195" s="1235">
        <v>15</v>
      </c>
      <c r="W195" s="1235">
        <v>0</v>
      </c>
      <c r="X195" s="1236">
        <v>20</v>
      </c>
      <c r="Y195" s="1236">
        <v>10</v>
      </c>
      <c r="Z195" s="1236">
        <v>0</v>
      </c>
      <c r="AA195" s="1236">
        <v>0</v>
      </c>
      <c r="AB195" s="1236">
        <v>0</v>
      </c>
      <c r="AC195" s="1237">
        <v>40</v>
      </c>
      <c r="AD195" s="1237">
        <v>30</v>
      </c>
      <c r="AE195" s="1237">
        <v>0</v>
      </c>
      <c r="AF195" s="1237">
        <v>0</v>
      </c>
      <c r="AG195" s="1237">
        <v>0</v>
      </c>
      <c r="AH195" s="88">
        <v>42</v>
      </c>
      <c r="AI195" s="1235">
        <v>30</v>
      </c>
      <c r="AJ195" s="1235">
        <v>15</v>
      </c>
      <c r="AK195" s="1235">
        <v>0</v>
      </c>
      <c r="AL195" s="1235">
        <v>0</v>
      </c>
      <c r="AM195" s="1235">
        <v>15</v>
      </c>
      <c r="AN195" s="1235">
        <v>30</v>
      </c>
      <c r="AO195" s="1235">
        <v>20</v>
      </c>
      <c r="AP195" s="1235">
        <v>0</v>
      </c>
      <c r="AQ195" s="1235">
        <v>0</v>
      </c>
      <c r="AR195" s="1235">
        <v>0</v>
      </c>
      <c r="AS195" s="1235">
        <v>0</v>
      </c>
      <c r="AT195" s="1235">
        <v>0</v>
      </c>
      <c r="AU195" s="1235">
        <v>30</v>
      </c>
      <c r="AV195" s="1236">
        <v>20</v>
      </c>
      <c r="AW195" s="1236">
        <v>10</v>
      </c>
      <c r="AX195" s="1236">
        <v>0</v>
      </c>
      <c r="AY195" s="1236">
        <v>0</v>
      </c>
      <c r="AZ195" s="1236">
        <v>0</v>
      </c>
      <c r="BA195" s="1236">
        <v>0</v>
      </c>
      <c r="BB195" s="1236">
        <v>30</v>
      </c>
      <c r="BC195" s="1237">
        <v>40</v>
      </c>
      <c r="BD195" s="1237">
        <v>0</v>
      </c>
      <c r="BE195" s="1237">
        <v>0</v>
      </c>
      <c r="BF195" s="1237">
        <v>0</v>
      </c>
      <c r="BG195" s="1238">
        <v>0</v>
      </c>
      <c r="BH195" s="1239">
        <v>40</v>
      </c>
      <c r="BI195" s="1235">
        <v>0</v>
      </c>
      <c r="BJ195" s="1235">
        <v>0</v>
      </c>
      <c r="BK195" s="1235"/>
      <c r="BL195" s="1240">
        <v>0</v>
      </c>
      <c r="BM195" s="1240">
        <v>0</v>
      </c>
      <c r="BN195" s="1240"/>
      <c r="BO195" s="1239">
        <v>0</v>
      </c>
      <c r="BP195" s="1239">
        <v>0</v>
      </c>
      <c r="BQ195" s="1242"/>
      <c r="BR195" s="1243" t="s">
        <v>570</v>
      </c>
      <c r="BS195" s="1244"/>
      <c r="BV195" s="1245"/>
      <c r="BW195" s="1239"/>
      <c r="BX195" s="1239"/>
      <c r="BY195" s="1239"/>
      <c r="BZ195" s="1239"/>
      <c r="CA195" s="1244"/>
      <c r="CB195" s="1244"/>
      <c r="CC195" s="1244"/>
      <c r="CD195" s="1244"/>
    </row>
    <row r="196" spans="1:82" x14ac:dyDescent="0.25">
      <c r="A196" s="1246">
        <f t="shared" si="2"/>
        <v>193</v>
      </c>
      <c r="B196" s="930" t="str">
        <f>Coltura!C194</f>
        <v>O73</v>
      </c>
      <c r="C196" s="930" t="str">
        <f>Coltura!D194</f>
        <v>Zucchino da industria media produzione</v>
      </c>
      <c r="D196" s="41" t="s">
        <v>645</v>
      </c>
      <c r="E196" s="32">
        <v>50</v>
      </c>
      <c r="F196" s="1224">
        <v>175</v>
      </c>
      <c r="G196" s="1225">
        <v>150</v>
      </c>
      <c r="H196" s="1225">
        <v>190</v>
      </c>
      <c r="I196" s="1225">
        <v>30</v>
      </c>
      <c r="J196" s="1225">
        <v>190</v>
      </c>
      <c r="K196" s="1226">
        <v>150</v>
      </c>
      <c r="L196" s="1226">
        <v>200</v>
      </c>
      <c r="M196" s="1226">
        <v>50</v>
      </c>
      <c r="N196" s="1226">
        <v>300</v>
      </c>
      <c r="O196" s="32">
        <v>40</v>
      </c>
      <c r="P196" s="1224">
        <v>30</v>
      </c>
      <c r="Q196" s="1224">
        <v>20</v>
      </c>
      <c r="R196" s="1224">
        <v>0</v>
      </c>
      <c r="S196" s="1224">
        <v>20</v>
      </c>
      <c r="T196" s="1224">
        <v>0</v>
      </c>
      <c r="U196" s="1224">
        <v>0</v>
      </c>
      <c r="V196" s="1224">
        <v>0</v>
      </c>
      <c r="W196" s="1224">
        <v>0</v>
      </c>
      <c r="X196" s="1225">
        <v>30</v>
      </c>
      <c r="Y196" s="1225">
        <v>20</v>
      </c>
      <c r="Z196" s="1225">
        <v>0</v>
      </c>
      <c r="AA196" s="1225">
        <v>0</v>
      </c>
      <c r="AB196" s="1225">
        <v>0</v>
      </c>
      <c r="AC196" s="1226">
        <v>40</v>
      </c>
      <c r="AD196" s="1226">
        <v>30</v>
      </c>
      <c r="AE196" s="1226">
        <v>0</v>
      </c>
      <c r="AF196" s="1226">
        <v>0</v>
      </c>
      <c r="AG196" s="1226">
        <v>0</v>
      </c>
      <c r="AH196" s="32">
        <v>60</v>
      </c>
      <c r="AI196" s="1224">
        <v>30</v>
      </c>
      <c r="AJ196" s="1224">
        <v>20</v>
      </c>
      <c r="AK196" s="1224">
        <v>0</v>
      </c>
      <c r="AL196" s="1224">
        <v>0</v>
      </c>
      <c r="AM196" s="1224">
        <v>15</v>
      </c>
      <c r="AN196" s="1224">
        <v>30</v>
      </c>
      <c r="AO196" s="1224">
        <v>20</v>
      </c>
      <c r="AP196" s="1224">
        <v>0</v>
      </c>
      <c r="AQ196" s="1224">
        <v>0</v>
      </c>
      <c r="AR196" s="1224">
        <v>0</v>
      </c>
      <c r="AS196" s="1224">
        <v>0</v>
      </c>
      <c r="AT196" s="1224">
        <v>0</v>
      </c>
      <c r="AU196" s="1224">
        <v>40</v>
      </c>
      <c r="AV196" s="1225">
        <v>30</v>
      </c>
      <c r="AW196" s="1225">
        <v>10</v>
      </c>
      <c r="AX196" s="1225">
        <v>0</v>
      </c>
      <c r="AY196" s="1225">
        <v>0</v>
      </c>
      <c r="AZ196" s="1225">
        <v>0</v>
      </c>
      <c r="BA196" s="1248">
        <v>0</v>
      </c>
      <c r="BB196" s="1225">
        <v>40</v>
      </c>
      <c r="BC196" s="1226">
        <v>40</v>
      </c>
      <c r="BD196" s="1226">
        <v>0</v>
      </c>
      <c r="BE196" s="1226">
        <v>0</v>
      </c>
      <c r="BF196" s="1249">
        <v>0</v>
      </c>
      <c r="BG196" s="1238">
        <v>0</v>
      </c>
      <c r="BH196" s="1229">
        <v>40</v>
      </c>
      <c r="BI196" s="1224">
        <v>0</v>
      </c>
      <c r="BJ196" s="1224">
        <v>0</v>
      </c>
      <c r="BL196" s="1230">
        <v>0</v>
      </c>
      <c r="BM196" s="1230">
        <v>0</v>
      </c>
      <c r="BO196" s="1229">
        <v>0</v>
      </c>
      <c r="BP196" s="1229">
        <v>0</v>
      </c>
      <c r="BR196" s="1243" t="s">
        <v>570</v>
      </c>
      <c r="BV196" s="60"/>
    </row>
    <row r="197" spans="1:82" x14ac:dyDescent="0.25">
      <c r="A197" s="1246">
        <f t="shared" si="2"/>
        <v>194</v>
      </c>
      <c r="B197" s="930" t="str">
        <f>Coltura!C195</f>
        <v>O74</v>
      </c>
      <c r="C197" s="1191" t="str">
        <f>Coltura!D195</f>
        <v>Zucchino da industria alta produzione</v>
      </c>
      <c r="D197" s="41" t="s">
        <v>645</v>
      </c>
      <c r="E197" s="1286">
        <v>65</v>
      </c>
      <c r="F197" s="1224">
        <v>200</v>
      </c>
      <c r="G197" s="1225">
        <v>150</v>
      </c>
      <c r="H197" s="1225">
        <v>190</v>
      </c>
      <c r="I197" s="1253">
        <v>80</v>
      </c>
      <c r="J197" s="1225">
        <v>190</v>
      </c>
      <c r="K197" s="1226">
        <v>210</v>
      </c>
      <c r="L197" s="1226">
        <v>260</v>
      </c>
      <c r="M197" s="1254">
        <v>120</v>
      </c>
      <c r="N197" s="1226">
        <v>260</v>
      </c>
      <c r="O197" s="1286">
        <v>55</v>
      </c>
      <c r="P197" s="1224">
        <v>30</v>
      </c>
      <c r="Q197" s="1224">
        <v>20</v>
      </c>
      <c r="R197" s="1224">
        <v>0</v>
      </c>
      <c r="S197" s="1224">
        <v>20</v>
      </c>
      <c r="T197" s="1224">
        <v>0</v>
      </c>
      <c r="U197" s="1224">
        <v>0</v>
      </c>
      <c r="V197" s="1224">
        <v>0</v>
      </c>
      <c r="W197" s="1224">
        <v>0</v>
      </c>
      <c r="X197" s="1225">
        <v>30</v>
      </c>
      <c r="Y197" s="1225">
        <v>20</v>
      </c>
      <c r="Z197" s="1225">
        <v>0</v>
      </c>
      <c r="AA197" s="1225">
        <v>0</v>
      </c>
      <c r="AB197" s="1225">
        <v>0</v>
      </c>
      <c r="AC197" s="1226">
        <v>40</v>
      </c>
      <c r="AD197" s="1226">
        <v>30</v>
      </c>
      <c r="AE197" s="1226">
        <v>0</v>
      </c>
      <c r="AF197" s="1226">
        <v>0</v>
      </c>
      <c r="AG197" s="1226">
        <v>0</v>
      </c>
      <c r="AH197" s="1286">
        <v>75</v>
      </c>
      <c r="AI197" s="1224">
        <v>30</v>
      </c>
      <c r="AJ197" s="1224">
        <v>20</v>
      </c>
      <c r="AK197" s="1224">
        <v>0</v>
      </c>
      <c r="AL197" s="1224">
        <v>0</v>
      </c>
      <c r="AM197" s="1224">
        <v>15</v>
      </c>
      <c r="AN197" s="1224">
        <v>30</v>
      </c>
      <c r="AO197" s="1224">
        <v>20</v>
      </c>
      <c r="AP197" s="1224">
        <v>0</v>
      </c>
      <c r="AQ197" s="1224">
        <v>0</v>
      </c>
      <c r="AR197" s="1224">
        <v>0</v>
      </c>
      <c r="AS197" s="1224">
        <v>0</v>
      </c>
      <c r="AT197" s="1224">
        <v>0</v>
      </c>
      <c r="AU197" s="1224">
        <v>40</v>
      </c>
      <c r="AV197" s="1225">
        <v>30</v>
      </c>
      <c r="AW197" s="1225">
        <v>10</v>
      </c>
      <c r="AX197" s="1225">
        <v>0</v>
      </c>
      <c r="AY197" s="1225">
        <v>0</v>
      </c>
      <c r="AZ197" s="1225">
        <v>0</v>
      </c>
      <c r="BA197" s="1248">
        <v>0</v>
      </c>
      <c r="BB197" s="1225">
        <v>40</v>
      </c>
      <c r="BC197" s="1226">
        <v>40</v>
      </c>
      <c r="BD197" s="1226">
        <v>0</v>
      </c>
      <c r="BE197" s="1226">
        <v>0</v>
      </c>
      <c r="BF197" s="1249">
        <v>0</v>
      </c>
      <c r="BG197" s="1238">
        <v>0</v>
      </c>
      <c r="BH197" s="1229">
        <v>40</v>
      </c>
      <c r="BI197" s="1224">
        <v>0</v>
      </c>
      <c r="BJ197" s="1224">
        <v>0</v>
      </c>
      <c r="BL197" s="1230">
        <v>0</v>
      </c>
      <c r="BM197" s="1230">
        <v>0</v>
      </c>
      <c r="BO197" s="1229">
        <v>0</v>
      </c>
      <c r="BP197" s="1229">
        <v>0</v>
      </c>
      <c r="BR197" s="1243" t="s">
        <v>570</v>
      </c>
      <c r="BV197" s="60"/>
    </row>
    <row r="198" spans="1:82" x14ac:dyDescent="0.25">
      <c r="A198" s="1246">
        <f t="shared" si="2"/>
        <v>195</v>
      </c>
      <c r="B198" s="930" t="str">
        <f>Coltura!C196</f>
        <v>O75</v>
      </c>
      <c r="C198" s="930" t="str">
        <f>Coltura!D196</f>
        <v>Zucchino da mercato fresco media produzione</v>
      </c>
      <c r="D198" s="41" t="s">
        <v>645</v>
      </c>
      <c r="E198" s="32">
        <v>40</v>
      </c>
      <c r="F198" s="1224">
        <v>150</v>
      </c>
      <c r="G198" s="1225">
        <v>100</v>
      </c>
      <c r="H198" s="1225">
        <v>150</v>
      </c>
      <c r="I198" s="1225">
        <v>30</v>
      </c>
      <c r="J198" s="1225">
        <v>150</v>
      </c>
      <c r="K198" s="1226">
        <v>150</v>
      </c>
      <c r="L198" s="1226">
        <v>200</v>
      </c>
      <c r="M198" s="1226">
        <v>50</v>
      </c>
      <c r="N198" s="1226">
        <v>300</v>
      </c>
      <c r="O198" s="32">
        <v>32</v>
      </c>
      <c r="P198" s="1224">
        <v>30</v>
      </c>
      <c r="Q198" s="1224">
        <v>20</v>
      </c>
      <c r="R198" s="1224">
        <v>0</v>
      </c>
      <c r="S198" s="1224">
        <v>20</v>
      </c>
      <c r="T198" s="1224">
        <v>0</v>
      </c>
      <c r="U198" s="1224">
        <v>20</v>
      </c>
      <c r="V198" s="1224">
        <v>20</v>
      </c>
      <c r="W198" s="1224">
        <v>0</v>
      </c>
      <c r="X198" s="1225">
        <v>20</v>
      </c>
      <c r="Y198" s="1225">
        <v>20</v>
      </c>
      <c r="Z198" s="1225">
        <v>0</v>
      </c>
      <c r="AA198" s="1225">
        <v>0</v>
      </c>
      <c r="AB198" s="1225">
        <v>0</v>
      </c>
      <c r="AC198" s="1226">
        <v>40</v>
      </c>
      <c r="AD198" s="1226">
        <v>30</v>
      </c>
      <c r="AE198" s="1226">
        <v>0</v>
      </c>
      <c r="AF198" s="1226">
        <v>0</v>
      </c>
      <c r="AG198" s="1226">
        <v>0</v>
      </c>
      <c r="AH198" s="32">
        <v>48</v>
      </c>
      <c r="AI198" s="1224">
        <v>30</v>
      </c>
      <c r="AJ198" s="1224">
        <v>20</v>
      </c>
      <c r="AK198" s="1224">
        <v>0</v>
      </c>
      <c r="AL198" s="1224">
        <v>0</v>
      </c>
      <c r="AM198" s="1224">
        <v>15</v>
      </c>
      <c r="AN198" s="1224">
        <v>30</v>
      </c>
      <c r="AO198" s="1224">
        <v>20</v>
      </c>
      <c r="AP198" s="1224">
        <v>0</v>
      </c>
      <c r="AQ198" s="1224">
        <v>0</v>
      </c>
      <c r="AR198" s="1224">
        <v>0</v>
      </c>
      <c r="AS198" s="1224">
        <v>0</v>
      </c>
      <c r="AT198" s="1224">
        <v>0</v>
      </c>
      <c r="AU198" s="1224">
        <v>40</v>
      </c>
      <c r="AV198" s="1225">
        <v>20</v>
      </c>
      <c r="AW198" s="1225">
        <v>10</v>
      </c>
      <c r="AX198" s="1225">
        <v>0</v>
      </c>
      <c r="AY198" s="1225">
        <v>0</v>
      </c>
      <c r="AZ198" s="1225">
        <v>0</v>
      </c>
      <c r="BA198" s="1248">
        <v>0</v>
      </c>
      <c r="BB198" s="1225">
        <v>30</v>
      </c>
      <c r="BC198" s="1226">
        <v>40</v>
      </c>
      <c r="BD198" s="1226">
        <v>0</v>
      </c>
      <c r="BE198" s="1226">
        <v>0</v>
      </c>
      <c r="BF198" s="1249">
        <v>0</v>
      </c>
      <c r="BG198" s="1238">
        <v>0</v>
      </c>
      <c r="BH198" s="1229">
        <v>40</v>
      </c>
      <c r="BI198" s="1224">
        <v>0</v>
      </c>
      <c r="BJ198" s="1224">
        <v>0</v>
      </c>
      <c r="BL198" s="1230">
        <v>0</v>
      </c>
      <c r="BM198" s="1230">
        <v>0</v>
      </c>
      <c r="BO198" s="1229">
        <v>0</v>
      </c>
      <c r="BP198" s="1229">
        <v>0</v>
      </c>
      <c r="BR198" s="1243" t="s">
        <v>570</v>
      </c>
      <c r="BV198" s="60"/>
    </row>
    <row r="199" spans="1:82" x14ac:dyDescent="0.25">
      <c r="A199" s="1246">
        <f t="shared" si="2"/>
        <v>196</v>
      </c>
      <c r="B199" s="930" t="str">
        <f>Coltura!C197</f>
        <v>O76</v>
      </c>
      <c r="C199" s="1191" t="str">
        <f>Coltura!D197</f>
        <v>Zucchino da mercato  fresco alta produzione</v>
      </c>
      <c r="D199" s="41" t="s">
        <v>645</v>
      </c>
      <c r="E199" s="1286">
        <v>50</v>
      </c>
      <c r="F199" s="1224">
        <v>180</v>
      </c>
      <c r="G199" s="1253">
        <v>120</v>
      </c>
      <c r="H199" s="1253">
        <v>170</v>
      </c>
      <c r="I199" s="1253">
        <v>80</v>
      </c>
      <c r="J199" s="1253">
        <v>170</v>
      </c>
      <c r="K199" s="1226">
        <v>210</v>
      </c>
      <c r="L199" s="1226">
        <v>260</v>
      </c>
      <c r="M199" s="1254">
        <v>120</v>
      </c>
      <c r="N199" s="1226">
        <v>260</v>
      </c>
      <c r="O199" s="1286">
        <v>40</v>
      </c>
      <c r="P199" s="1224">
        <v>30</v>
      </c>
      <c r="Q199" s="1224">
        <v>20</v>
      </c>
      <c r="R199" s="1224">
        <v>0</v>
      </c>
      <c r="S199" s="1224">
        <v>20</v>
      </c>
      <c r="T199" s="1224">
        <v>0</v>
      </c>
      <c r="U199" s="1224">
        <v>20</v>
      </c>
      <c r="V199" s="1224">
        <v>20</v>
      </c>
      <c r="W199" s="1224">
        <v>0</v>
      </c>
      <c r="X199" s="1225">
        <v>20</v>
      </c>
      <c r="Y199" s="1225">
        <v>20</v>
      </c>
      <c r="Z199" s="1225">
        <v>0</v>
      </c>
      <c r="AA199" s="1225">
        <v>0</v>
      </c>
      <c r="AB199" s="1225">
        <v>0</v>
      </c>
      <c r="AC199" s="1226">
        <v>40</v>
      </c>
      <c r="AD199" s="1226">
        <v>30</v>
      </c>
      <c r="AE199" s="1226">
        <v>0</v>
      </c>
      <c r="AF199" s="1226">
        <v>0</v>
      </c>
      <c r="AG199" s="1226">
        <v>0</v>
      </c>
      <c r="AH199" s="1286">
        <v>60</v>
      </c>
      <c r="AI199" s="1224">
        <v>30</v>
      </c>
      <c r="AJ199" s="1224">
        <v>20</v>
      </c>
      <c r="AK199" s="1224">
        <v>0</v>
      </c>
      <c r="AL199" s="1224">
        <v>0</v>
      </c>
      <c r="AM199" s="1224">
        <v>15</v>
      </c>
      <c r="AN199" s="1224">
        <v>30</v>
      </c>
      <c r="AO199" s="1224">
        <v>20</v>
      </c>
      <c r="AP199" s="1224">
        <v>0</v>
      </c>
      <c r="AQ199" s="1224">
        <v>0</v>
      </c>
      <c r="AR199" s="1224">
        <v>0</v>
      </c>
      <c r="AS199" s="1224">
        <v>0</v>
      </c>
      <c r="AT199" s="1224">
        <v>0</v>
      </c>
      <c r="AU199" s="1224">
        <v>40</v>
      </c>
      <c r="AV199" s="1225">
        <v>20</v>
      </c>
      <c r="AW199" s="1225">
        <v>10</v>
      </c>
      <c r="AX199" s="1225">
        <v>0</v>
      </c>
      <c r="AY199" s="1225">
        <v>0</v>
      </c>
      <c r="AZ199" s="1225">
        <v>0</v>
      </c>
      <c r="BA199" s="1248">
        <v>0</v>
      </c>
      <c r="BB199" s="1225">
        <v>30</v>
      </c>
      <c r="BC199" s="1226">
        <v>40</v>
      </c>
      <c r="BD199" s="1226">
        <v>0</v>
      </c>
      <c r="BE199" s="1226">
        <v>0</v>
      </c>
      <c r="BF199" s="1249">
        <v>0</v>
      </c>
      <c r="BG199" s="1238">
        <v>0</v>
      </c>
      <c r="BH199" s="1229">
        <v>40</v>
      </c>
      <c r="BI199" s="1224">
        <v>0</v>
      </c>
      <c r="BJ199" s="1224">
        <v>0</v>
      </c>
      <c r="BL199" s="1230">
        <v>0</v>
      </c>
      <c r="BM199" s="1230">
        <v>0</v>
      </c>
      <c r="BO199" s="1229">
        <v>0</v>
      </c>
      <c r="BP199" s="1229">
        <v>0</v>
      </c>
      <c r="BR199" s="1243" t="s">
        <v>570</v>
      </c>
      <c r="BV199" s="60"/>
    </row>
    <row r="200" spans="1:82" x14ac:dyDescent="0.25">
      <c r="A200" s="1246">
        <f t="shared" si="2"/>
        <v>197</v>
      </c>
      <c r="B200" s="930" t="str">
        <f>Coltura!C198</f>
        <v>S1</v>
      </c>
      <c r="C200" s="930" t="str">
        <f>Coltura!D198</f>
        <v>Barbabiertola da seme (fase porta seme)</v>
      </c>
      <c r="D200" s="41" t="s">
        <v>645</v>
      </c>
      <c r="E200" s="32" t="s">
        <v>645</v>
      </c>
      <c r="F200" s="1224">
        <v>140</v>
      </c>
      <c r="G200" s="1225">
        <v>70</v>
      </c>
      <c r="H200" s="1225">
        <v>120</v>
      </c>
      <c r="I200" s="1225">
        <v>50</v>
      </c>
      <c r="J200" s="1225">
        <v>120</v>
      </c>
      <c r="K200" s="1226">
        <v>100</v>
      </c>
      <c r="L200" s="1226">
        <v>150</v>
      </c>
      <c r="M200" s="1226">
        <v>50</v>
      </c>
      <c r="N200" s="1226">
        <v>150</v>
      </c>
      <c r="O200" s="32" t="s">
        <v>645</v>
      </c>
      <c r="P200" s="1224">
        <v>0</v>
      </c>
      <c r="Q200" s="1224">
        <v>20</v>
      </c>
      <c r="R200" s="1224">
        <v>0</v>
      </c>
      <c r="S200" s="1224">
        <v>20</v>
      </c>
      <c r="T200" s="1224">
        <v>0</v>
      </c>
      <c r="U200" s="1224">
        <v>40</v>
      </c>
      <c r="V200" s="1224">
        <v>40</v>
      </c>
      <c r="W200" s="1224">
        <v>0</v>
      </c>
      <c r="X200" s="1225">
        <v>0</v>
      </c>
      <c r="Y200" s="1225">
        <v>20</v>
      </c>
      <c r="Z200" s="1225">
        <v>0</v>
      </c>
      <c r="AA200" s="1225">
        <v>0</v>
      </c>
      <c r="AB200" s="1225">
        <v>0</v>
      </c>
      <c r="AC200" s="1226">
        <v>0</v>
      </c>
      <c r="AD200" s="1226">
        <v>20</v>
      </c>
      <c r="AE200" s="1226">
        <v>0</v>
      </c>
      <c r="AF200" s="1226">
        <v>0</v>
      </c>
      <c r="AG200" s="1226">
        <v>0</v>
      </c>
      <c r="AH200" s="32" t="s">
        <v>645</v>
      </c>
      <c r="AI200" s="1224">
        <v>0</v>
      </c>
      <c r="AJ200" s="1224">
        <v>20</v>
      </c>
      <c r="AK200" s="1224">
        <v>0</v>
      </c>
      <c r="AL200" s="1224">
        <v>0</v>
      </c>
      <c r="AM200" s="1224">
        <v>15</v>
      </c>
      <c r="AN200" s="1224">
        <v>30</v>
      </c>
      <c r="AO200" s="1224">
        <v>0</v>
      </c>
      <c r="AP200" s="1224">
        <v>0</v>
      </c>
      <c r="AQ200" s="1224">
        <v>0</v>
      </c>
      <c r="AR200" s="1224">
        <v>0</v>
      </c>
      <c r="AS200" s="1224">
        <v>0</v>
      </c>
      <c r="AT200" s="1224">
        <v>0</v>
      </c>
      <c r="AU200" s="1224">
        <v>40</v>
      </c>
      <c r="AV200" s="1225">
        <v>0</v>
      </c>
      <c r="AW200" s="1225">
        <v>20</v>
      </c>
      <c r="AX200" s="1225">
        <v>0</v>
      </c>
      <c r="AY200" s="1225">
        <v>0</v>
      </c>
      <c r="AZ200" s="1225">
        <v>20</v>
      </c>
      <c r="BA200" s="1248">
        <v>0</v>
      </c>
      <c r="BB200" s="1225">
        <v>40</v>
      </c>
      <c r="BC200" s="1226">
        <v>0</v>
      </c>
      <c r="BD200" s="1226">
        <v>0</v>
      </c>
      <c r="BE200" s="1226">
        <v>0</v>
      </c>
      <c r="BF200" s="1249">
        <v>0</v>
      </c>
      <c r="BG200" s="1238">
        <v>0</v>
      </c>
      <c r="BH200" s="1229">
        <v>0</v>
      </c>
      <c r="BI200" s="1224">
        <v>0</v>
      </c>
      <c r="BJ200" s="1224">
        <v>0</v>
      </c>
      <c r="BL200" s="1230">
        <v>0</v>
      </c>
      <c r="BM200" s="1230">
        <v>0</v>
      </c>
      <c r="BO200" s="1229">
        <v>0</v>
      </c>
      <c r="BP200" s="1229">
        <v>0</v>
      </c>
      <c r="BR200" s="1243" t="s">
        <v>570</v>
      </c>
      <c r="BV200" s="60"/>
    </row>
    <row r="201" spans="1:82" x14ac:dyDescent="0.25">
      <c r="A201" s="1246">
        <f t="shared" si="2"/>
        <v>198</v>
      </c>
      <c r="B201" s="930" t="str">
        <f>Coltura!C199</f>
        <v>S2</v>
      </c>
      <c r="C201" s="930" t="str">
        <f>Coltura!D199</f>
        <v>Carota da seme (fase portaseme)</v>
      </c>
      <c r="D201" s="41" t="s">
        <v>645</v>
      </c>
      <c r="E201" s="32" t="s">
        <v>645</v>
      </c>
      <c r="F201" s="1224">
        <v>120</v>
      </c>
      <c r="G201" s="1225">
        <v>100</v>
      </c>
      <c r="H201" s="1225">
        <v>150</v>
      </c>
      <c r="I201" s="1225">
        <v>50</v>
      </c>
      <c r="J201" s="1225">
        <v>150</v>
      </c>
      <c r="K201" s="1226">
        <v>150</v>
      </c>
      <c r="L201" s="1226">
        <v>200</v>
      </c>
      <c r="M201" s="1226">
        <v>100</v>
      </c>
      <c r="N201" s="1226">
        <v>200</v>
      </c>
      <c r="O201" s="32" t="s">
        <v>645</v>
      </c>
      <c r="P201" s="1224">
        <v>0</v>
      </c>
      <c r="Q201" s="1224">
        <v>20</v>
      </c>
      <c r="R201" s="1224">
        <v>0</v>
      </c>
      <c r="S201" s="1224">
        <v>15</v>
      </c>
      <c r="T201" s="1224">
        <v>0</v>
      </c>
      <c r="U201" s="1224">
        <v>15</v>
      </c>
      <c r="V201" s="1224">
        <v>15</v>
      </c>
      <c r="W201" s="1224">
        <v>0</v>
      </c>
      <c r="X201" s="1225">
        <v>0</v>
      </c>
      <c r="Y201" s="1225">
        <v>10</v>
      </c>
      <c r="Z201" s="1225">
        <v>0</v>
      </c>
      <c r="AA201" s="1225">
        <v>0</v>
      </c>
      <c r="AB201" s="1225">
        <v>0</v>
      </c>
      <c r="AC201" s="1226">
        <v>0</v>
      </c>
      <c r="AD201" s="1226">
        <v>30</v>
      </c>
      <c r="AE201" s="1226">
        <v>0</v>
      </c>
      <c r="AF201" s="1226">
        <v>0</v>
      </c>
      <c r="AG201" s="1226">
        <v>0</v>
      </c>
      <c r="AH201" s="32" t="s">
        <v>645</v>
      </c>
      <c r="AI201" s="1224">
        <v>0</v>
      </c>
      <c r="AJ201" s="1224">
        <v>20</v>
      </c>
      <c r="AK201" s="1224">
        <v>0</v>
      </c>
      <c r="AL201" s="1224">
        <v>0</v>
      </c>
      <c r="AM201" s="1224">
        <v>15</v>
      </c>
      <c r="AN201" s="1224">
        <v>30</v>
      </c>
      <c r="AO201" s="1224">
        <v>20</v>
      </c>
      <c r="AP201" s="1224">
        <v>0</v>
      </c>
      <c r="AQ201" s="1224">
        <v>0</v>
      </c>
      <c r="AR201" s="1224">
        <v>0</v>
      </c>
      <c r="AS201" s="1224">
        <v>0</v>
      </c>
      <c r="AT201" s="1224">
        <v>0</v>
      </c>
      <c r="AU201" s="1224">
        <v>30</v>
      </c>
      <c r="AV201" s="1225">
        <v>0</v>
      </c>
      <c r="AW201" s="1225">
        <v>10</v>
      </c>
      <c r="AX201" s="1225">
        <v>20</v>
      </c>
      <c r="AY201" s="1225">
        <v>0</v>
      </c>
      <c r="AZ201" s="1225">
        <v>0</v>
      </c>
      <c r="BA201" s="1248">
        <v>0</v>
      </c>
      <c r="BB201" s="1225">
        <v>30</v>
      </c>
      <c r="BC201" s="1226">
        <v>0</v>
      </c>
      <c r="BD201" s="1226">
        <v>0</v>
      </c>
      <c r="BE201" s="1226">
        <v>0</v>
      </c>
      <c r="BF201" s="1249">
        <v>0</v>
      </c>
      <c r="BG201" s="1238">
        <v>0</v>
      </c>
      <c r="BH201" s="1229">
        <v>0</v>
      </c>
      <c r="BI201" s="1224">
        <v>0</v>
      </c>
      <c r="BJ201" s="1224">
        <v>0</v>
      </c>
      <c r="BL201" s="1230">
        <v>0</v>
      </c>
      <c r="BM201" s="1230">
        <v>0</v>
      </c>
      <c r="BO201" s="1229">
        <v>0</v>
      </c>
      <c r="BP201" s="1229">
        <v>0</v>
      </c>
      <c r="BR201" s="1243" t="s">
        <v>570</v>
      </c>
      <c r="BV201" s="60"/>
    </row>
    <row r="202" spans="1:82" x14ac:dyDescent="0.25">
      <c r="A202" s="1246">
        <f t="shared" ref="A202:A238" si="3">(A201+1)</f>
        <v>199</v>
      </c>
      <c r="B202" s="930" t="str">
        <f>Coltura!C200</f>
        <v>S3</v>
      </c>
      <c r="C202" s="930" t="str">
        <f>Coltura!D200</f>
        <v>Carota da seme (fase vivaio)</v>
      </c>
      <c r="D202" s="41" t="s">
        <v>645</v>
      </c>
      <c r="E202" s="32">
        <v>50</v>
      </c>
      <c r="F202" s="1224">
        <v>120</v>
      </c>
      <c r="G202" s="1225">
        <v>150</v>
      </c>
      <c r="H202" s="1225">
        <v>220</v>
      </c>
      <c r="I202" s="1225">
        <v>80</v>
      </c>
      <c r="J202" s="1225">
        <v>220</v>
      </c>
      <c r="K202" s="1226">
        <v>200</v>
      </c>
      <c r="L202" s="1226">
        <v>300</v>
      </c>
      <c r="M202" s="1226">
        <v>100</v>
      </c>
      <c r="N202" s="1226">
        <v>300</v>
      </c>
      <c r="O202" s="32">
        <v>40</v>
      </c>
      <c r="P202" s="1224">
        <v>20</v>
      </c>
      <c r="Q202" s="1224">
        <v>20</v>
      </c>
      <c r="R202" s="1224">
        <v>0</v>
      </c>
      <c r="S202" s="1224">
        <v>15</v>
      </c>
      <c r="T202" s="1224">
        <v>0</v>
      </c>
      <c r="U202" s="1224">
        <v>15</v>
      </c>
      <c r="V202" s="1224">
        <v>15</v>
      </c>
      <c r="W202" s="1224">
        <v>0</v>
      </c>
      <c r="X202" s="1225">
        <v>30</v>
      </c>
      <c r="Y202" s="1225">
        <v>10</v>
      </c>
      <c r="Z202" s="1225">
        <v>0</v>
      </c>
      <c r="AA202" s="1225">
        <v>0</v>
      </c>
      <c r="AB202" s="1225">
        <v>0</v>
      </c>
      <c r="AC202" s="1226">
        <v>40</v>
      </c>
      <c r="AD202" s="1226">
        <v>30</v>
      </c>
      <c r="AE202" s="1226">
        <v>0</v>
      </c>
      <c r="AF202" s="1226">
        <v>0</v>
      </c>
      <c r="AG202" s="1226">
        <v>0</v>
      </c>
      <c r="AH202" s="32">
        <v>60</v>
      </c>
      <c r="AI202" s="1224">
        <v>20</v>
      </c>
      <c r="AJ202" s="1224">
        <v>20</v>
      </c>
      <c r="AK202" s="1224">
        <v>0</v>
      </c>
      <c r="AL202" s="1224">
        <v>0</v>
      </c>
      <c r="AM202" s="1224">
        <v>15</v>
      </c>
      <c r="AN202" s="1224">
        <v>30</v>
      </c>
      <c r="AO202" s="1224">
        <v>20</v>
      </c>
      <c r="AP202" s="1224">
        <v>0</v>
      </c>
      <c r="AQ202" s="1224">
        <v>0</v>
      </c>
      <c r="AR202" s="1224">
        <v>0</v>
      </c>
      <c r="AS202" s="1224">
        <v>0</v>
      </c>
      <c r="AT202" s="1224">
        <v>0</v>
      </c>
      <c r="AU202" s="1224">
        <v>35</v>
      </c>
      <c r="AV202" s="1225">
        <v>30</v>
      </c>
      <c r="AW202" s="1225">
        <v>10</v>
      </c>
      <c r="AX202" s="1225">
        <v>0</v>
      </c>
      <c r="AY202" s="1225">
        <v>0</v>
      </c>
      <c r="AZ202" s="1225">
        <v>0</v>
      </c>
      <c r="BA202" s="1248">
        <v>0</v>
      </c>
      <c r="BB202" s="1225">
        <v>40</v>
      </c>
      <c r="BC202" s="1226">
        <v>40</v>
      </c>
      <c r="BD202" s="1226">
        <v>0</v>
      </c>
      <c r="BE202" s="1226">
        <v>0</v>
      </c>
      <c r="BF202" s="1249">
        <v>0</v>
      </c>
      <c r="BG202" s="1238">
        <v>0</v>
      </c>
      <c r="BH202" s="1229">
        <v>40</v>
      </c>
      <c r="BI202" s="1224">
        <v>0</v>
      </c>
      <c r="BJ202" s="1224">
        <v>0</v>
      </c>
      <c r="BL202" s="1230">
        <v>0</v>
      </c>
      <c r="BM202" s="1230">
        <v>0</v>
      </c>
      <c r="BO202" s="1229">
        <v>0</v>
      </c>
      <c r="BP202" s="1229">
        <v>0</v>
      </c>
      <c r="BR202" s="1243" t="s">
        <v>570</v>
      </c>
      <c r="BV202" s="60"/>
    </row>
    <row r="203" spans="1:82" x14ac:dyDescent="0.25">
      <c r="A203" s="1246">
        <f t="shared" si="3"/>
        <v>200</v>
      </c>
      <c r="B203" s="930" t="str">
        <f>Coltura!C201</f>
        <v>S4</v>
      </c>
      <c r="C203" s="930" t="str">
        <f>Coltura!D201</f>
        <v>Cavoli da seme</v>
      </c>
      <c r="D203" s="41" t="s">
        <v>645</v>
      </c>
      <c r="E203" s="32" t="s">
        <v>645</v>
      </c>
      <c r="F203" s="1224">
        <v>160</v>
      </c>
      <c r="G203" s="1225">
        <v>100</v>
      </c>
      <c r="H203" s="1225">
        <v>150</v>
      </c>
      <c r="I203" s="1225">
        <v>0</v>
      </c>
      <c r="J203" s="1225">
        <v>150</v>
      </c>
      <c r="K203" s="1226">
        <v>100</v>
      </c>
      <c r="L203" s="1226">
        <v>150</v>
      </c>
      <c r="M203" s="1226">
        <v>0</v>
      </c>
      <c r="N203" s="1226">
        <v>150</v>
      </c>
      <c r="O203" s="32" t="s">
        <v>645</v>
      </c>
      <c r="P203" s="1224">
        <v>0</v>
      </c>
      <c r="Q203" s="1224">
        <v>20</v>
      </c>
      <c r="R203" s="1224">
        <v>0</v>
      </c>
      <c r="S203" s="1224">
        <v>20</v>
      </c>
      <c r="T203" s="1224">
        <v>0</v>
      </c>
      <c r="U203" s="1224">
        <v>0</v>
      </c>
      <c r="V203" s="1224">
        <v>0</v>
      </c>
      <c r="W203" s="1224">
        <v>0</v>
      </c>
      <c r="X203" s="1225">
        <v>0</v>
      </c>
      <c r="Y203" s="1225">
        <v>10</v>
      </c>
      <c r="Z203" s="1225">
        <v>0</v>
      </c>
      <c r="AA203" s="1225">
        <v>0</v>
      </c>
      <c r="AB203" s="1225">
        <v>0</v>
      </c>
      <c r="AC203" s="1226">
        <v>0</v>
      </c>
      <c r="AD203" s="1226">
        <v>30</v>
      </c>
      <c r="AE203" s="1226">
        <v>0</v>
      </c>
      <c r="AF203" s="1226">
        <v>0</v>
      </c>
      <c r="AG203" s="1226">
        <v>0</v>
      </c>
      <c r="AH203" s="32" t="s">
        <v>645</v>
      </c>
      <c r="AI203" s="1224">
        <v>0</v>
      </c>
      <c r="AJ203" s="1224">
        <v>20</v>
      </c>
      <c r="AK203" s="1224">
        <v>0</v>
      </c>
      <c r="AL203" s="1224">
        <v>0</v>
      </c>
      <c r="AM203" s="1224">
        <v>15</v>
      </c>
      <c r="AN203" s="1224">
        <v>30</v>
      </c>
      <c r="AO203" s="1224">
        <v>20</v>
      </c>
      <c r="AP203" s="1224">
        <v>0</v>
      </c>
      <c r="AQ203" s="1224">
        <v>0</v>
      </c>
      <c r="AR203" s="1224">
        <v>0</v>
      </c>
      <c r="AS203" s="1224">
        <v>0</v>
      </c>
      <c r="AT203" s="1224">
        <v>0</v>
      </c>
      <c r="AU203" s="1224">
        <v>40</v>
      </c>
      <c r="AV203" s="1225">
        <v>0</v>
      </c>
      <c r="AW203" s="1225">
        <v>10</v>
      </c>
      <c r="AX203" s="1225">
        <v>0</v>
      </c>
      <c r="AY203" s="1225">
        <v>0</v>
      </c>
      <c r="AZ203" s="1225">
        <v>0</v>
      </c>
      <c r="BA203" s="1248">
        <v>0</v>
      </c>
      <c r="BB203" s="1225">
        <v>10</v>
      </c>
      <c r="BC203" s="1226">
        <v>0</v>
      </c>
      <c r="BD203" s="1226">
        <v>0</v>
      </c>
      <c r="BE203" s="1226">
        <v>0</v>
      </c>
      <c r="BF203" s="1249">
        <v>0</v>
      </c>
      <c r="BG203" s="1238">
        <v>0</v>
      </c>
      <c r="BH203" s="1229">
        <v>0</v>
      </c>
      <c r="BI203" s="1224">
        <v>0</v>
      </c>
      <c r="BJ203" s="1224">
        <v>0</v>
      </c>
      <c r="BL203" s="1230">
        <v>0</v>
      </c>
      <c r="BM203" s="1230">
        <v>0</v>
      </c>
      <c r="BO203" s="1229">
        <v>0</v>
      </c>
      <c r="BP203" s="1229">
        <v>0</v>
      </c>
      <c r="BR203" s="1243" t="s">
        <v>570</v>
      </c>
      <c r="BV203" s="60"/>
    </row>
    <row r="204" spans="1:82" x14ac:dyDescent="0.25">
      <c r="A204" s="1246">
        <f t="shared" si="3"/>
        <v>201</v>
      </c>
      <c r="B204" s="930" t="str">
        <f>Coltura!C202</f>
        <v>S5</v>
      </c>
      <c r="C204" s="930" t="str">
        <f>Coltura!D202</f>
        <v>Cetriolo da seme</v>
      </c>
      <c r="D204" s="41" t="s">
        <v>645</v>
      </c>
      <c r="E204" s="32" t="s">
        <v>645</v>
      </c>
      <c r="F204" s="1224">
        <v>180</v>
      </c>
      <c r="G204" s="1225">
        <v>150</v>
      </c>
      <c r="H204" s="1225">
        <v>220</v>
      </c>
      <c r="I204" s="1225">
        <v>75</v>
      </c>
      <c r="J204" s="1225">
        <v>220</v>
      </c>
      <c r="K204" s="1226">
        <v>100</v>
      </c>
      <c r="L204" s="1226">
        <v>150</v>
      </c>
      <c r="M204" s="1226">
        <v>50</v>
      </c>
      <c r="N204" s="1226">
        <v>150</v>
      </c>
      <c r="O204" s="32" t="s">
        <v>645</v>
      </c>
      <c r="P204" s="1224">
        <v>0</v>
      </c>
      <c r="Q204" s="1224">
        <v>20</v>
      </c>
      <c r="R204" s="1224">
        <v>0</v>
      </c>
      <c r="S204" s="1224">
        <v>15</v>
      </c>
      <c r="T204" s="1224">
        <v>0</v>
      </c>
      <c r="U204" s="1224">
        <v>15</v>
      </c>
      <c r="V204" s="1224">
        <v>15</v>
      </c>
      <c r="W204" s="1224">
        <v>0</v>
      </c>
      <c r="X204" s="1225">
        <v>0</v>
      </c>
      <c r="Y204" s="1225">
        <v>10</v>
      </c>
      <c r="Z204" s="1225">
        <v>0</v>
      </c>
      <c r="AA204" s="1225">
        <v>0</v>
      </c>
      <c r="AB204" s="1225">
        <v>0</v>
      </c>
      <c r="AC204" s="1226">
        <v>0</v>
      </c>
      <c r="AD204" s="1226">
        <v>30</v>
      </c>
      <c r="AE204" s="1226">
        <v>0</v>
      </c>
      <c r="AF204" s="1226">
        <v>0</v>
      </c>
      <c r="AG204" s="1226">
        <v>0</v>
      </c>
      <c r="AH204" s="32" t="s">
        <v>645</v>
      </c>
      <c r="AI204" s="1224">
        <v>0</v>
      </c>
      <c r="AJ204" s="1224">
        <v>20</v>
      </c>
      <c r="AK204" s="1224">
        <v>0</v>
      </c>
      <c r="AL204" s="1224">
        <v>0</v>
      </c>
      <c r="AM204" s="1224">
        <v>15</v>
      </c>
      <c r="AN204" s="1224">
        <v>30</v>
      </c>
      <c r="AO204" s="1224">
        <v>20</v>
      </c>
      <c r="AP204" s="1224">
        <v>0</v>
      </c>
      <c r="AQ204" s="1224">
        <v>0</v>
      </c>
      <c r="AR204" s="1224">
        <v>0</v>
      </c>
      <c r="AS204" s="1224">
        <v>0</v>
      </c>
      <c r="AT204" s="1224">
        <v>0</v>
      </c>
      <c r="AU204" s="1224">
        <v>40</v>
      </c>
      <c r="AV204" s="1225">
        <v>0</v>
      </c>
      <c r="AW204" s="1225">
        <v>10</v>
      </c>
      <c r="AX204" s="1225">
        <v>0</v>
      </c>
      <c r="AY204" s="1225">
        <v>0</v>
      </c>
      <c r="AZ204" s="1225">
        <v>0</v>
      </c>
      <c r="BA204" s="1248">
        <v>0</v>
      </c>
      <c r="BB204" s="1225">
        <v>10</v>
      </c>
      <c r="BC204" s="1226">
        <v>0</v>
      </c>
      <c r="BD204" s="1226">
        <v>0</v>
      </c>
      <c r="BE204" s="1226">
        <v>0</v>
      </c>
      <c r="BF204" s="1249">
        <v>0</v>
      </c>
      <c r="BG204" s="1238">
        <v>0</v>
      </c>
      <c r="BH204" s="1229">
        <v>0</v>
      </c>
      <c r="BI204" s="1224">
        <v>0</v>
      </c>
      <c r="BJ204" s="1224">
        <v>0</v>
      </c>
      <c r="BL204" s="1230">
        <v>0</v>
      </c>
      <c r="BM204" s="1230">
        <v>0</v>
      </c>
      <c r="BO204" s="1229">
        <v>0</v>
      </c>
      <c r="BP204" s="1229">
        <v>0</v>
      </c>
      <c r="BR204" s="1243" t="s">
        <v>570</v>
      </c>
      <c r="BV204" s="60"/>
    </row>
    <row r="205" spans="1:82" x14ac:dyDescent="0.25">
      <c r="A205" s="1246">
        <f t="shared" si="3"/>
        <v>202</v>
      </c>
      <c r="B205" s="930" t="str">
        <f>Coltura!C203</f>
        <v>S6</v>
      </c>
      <c r="C205" s="930" t="str">
        <f>Coltura!D203</f>
        <v>Cicoria da seme</v>
      </c>
      <c r="D205" s="41" t="s">
        <v>645</v>
      </c>
      <c r="E205" s="32" t="s">
        <v>645</v>
      </c>
      <c r="F205" s="1224">
        <v>140</v>
      </c>
      <c r="G205" s="1225">
        <v>120</v>
      </c>
      <c r="H205" s="1225">
        <v>160</v>
      </c>
      <c r="I205" s="1225">
        <v>60</v>
      </c>
      <c r="J205" s="1225">
        <v>160</v>
      </c>
      <c r="K205" s="1226">
        <v>120</v>
      </c>
      <c r="L205" s="1226">
        <v>180</v>
      </c>
      <c r="M205" s="1226">
        <v>60</v>
      </c>
      <c r="N205" s="1226">
        <v>180</v>
      </c>
      <c r="O205" s="32" t="s">
        <v>645</v>
      </c>
      <c r="P205" s="1224">
        <v>0</v>
      </c>
      <c r="Q205" s="1224">
        <v>20</v>
      </c>
      <c r="R205" s="1224">
        <v>0</v>
      </c>
      <c r="S205" s="1224">
        <v>15</v>
      </c>
      <c r="T205" s="1224">
        <v>0</v>
      </c>
      <c r="U205" s="1224">
        <v>15</v>
      </c>
      <c r="V205" s="1224">
        <v>15</v>
      </c>
      <c r="W205" s="1224">
        <v>0</v>
      </c>
      <c r="X205" s="1225">
        <v>0</v>
      </c>
      <c r="Y205" s="1225">
        <v>10</v>
      </c>
      <c r="Z205" s="1225">
        <v>0</v>
      </c>
      <c r="AA205" s="1225">
        <v>0</v>
      </c>
      <c r="AB205" s="1225">
        <v>0</v>
      </c>
      <c r="AC205" s="1226">
        <v>0</v>
      </c>
      <c r="AD205" s="1226">
        <v>30</v>
      </c>
      <c r="AE205" s="1226">
        <v>0</v>
      </c>
      <c r="AF205" s="1226">
        <v>0</v>
      </c>
      <c r="AG205" s="1226">
        <v>0</v>
      </c>
      <c r="AH205" s="32" t="s">
        <v>645</v>
      </c>
      <c r="AI205" s="1224">
        <v>0</v>
      </c>
      <c r="AJ205" s="1224">
        <v>20</v>
      </c>
      <c r="AK205" s="1224">
        <v>0</v>
      </c>
      <c r="AL205" s="1224">
        <v>0</v>
      </c>
      <c r="AM205" s="1224">
        <v>15</v>
      </c>
      <c r="AN205" s="1224">
        <v>30</v>
      </c>
      <c r="AO205" s="1224">
        <v>20</v>
      </c>
      <c r="AP205" s="1224">
        <v>0</v>
      </c>
      <c r="AQ205" s="1224">
        <v>0</v>
      </c>
      <c r="AR205" s="1224">
        <v>0</v>
      </c>
      <c r="AS205" s="1224">
        <v>0</v>
      </c>
      <c r="AT205" s="1224">
        <v>0</v>
      </c>
      <c r="AU205" s="1224">
        <v>40</v>
      </c>
      <c r="AV205" s="1225">
        <v>0</v>
      </c>
      <c r="AW205" s="1225">
        <v>10</v>
      </c>
      <c r="AX205" s="1225">
        <v>20</v>
      </c>
      <c r="AY205" s="1225">
        <v>0</v>
      </c>
      <c r="AZ205" s="1225">
        <v>0</v>
      </c>
      <c r="BA205" s="1248">
        <v>0</v>
      </c>
      <c r="BB205" s="1225">
        <v>30</v>
      </c>
      <c r="BC205" s="1226">
        <v>0</v>
      </c>
      <c r="BD205" s="1226">
        <v>0</v>
      </c>
      <c r="BE205" s="1226">
        <v>0</v>
      </c>
      <c r="BF205" s="1249">
        <v>0</v>
      </c>
      <c r="BG205" s="1238">
        <v>0</v>
      </c>
      <c r="BH205" s="1229">
        <v>0</v>
      </c>
      <c r="BI205" s="1224">
        <v>0</v>
      </c>
      <c r="BJ205" s="1224">
        <v>0</v>
      </c>
      <c r="BL205" s="1230">
        <v>0</v>
      </c>
      <c r="BM205" s="1230">
        <v>0</v>
      </c>
      <c r="BO205" s="1229">
        <v>0</v>
      </c>
      <c r="BP205" s="1229">
        <v>0</v>
      </c>
      <c r="BR205" s="1243" t="s">
        <v>570</v>
      </c>
      <c r="BV205" s="60"/>
    </row>
    <row r="206" spans="1:82" x14ac:dyDescent="0.25">
      <c r="A206" s="1246">
        <f t="shared" si="3"/>
        <v>203</v>
      </c>
      <c r="B206" s="930" t="str">
        <f>Coltura!C204</f>
        <v>S7</v>
      </c>
      <c r="C206" s="930" t="str">
        <f>Coltura!D204</f>
        <v>Cipolla da seme (fase portaseme)</v>
      </c>
      <c r="D206" s="41" t="s">
        <v>645</v>
      </c>
      <c r="E206" s="32" t="s">
        <v>645</v>
      </c>
      <c r="F206" s="1224">
        <v>130</v>
      </c>
      <c r="G206" s="1225">
        <v>120</v>
      </c>
      <c r="H206" s="1225">
        <v>160</v>
      </c>
      <c r="I206" s="1225">
        <v>80</v>
      </c>
      <c r="J206" s="1225">
        <v>160</v>
      </c>
      <c r="K206" s="1226">
        <v>120</v>
      </c>
      <c r="L206" s="1226">
        <v>160</v>
      </c>
      <c r="M206" s="1226">
        <v>80</v>
      </c>
      <c r="N206" s="1226">
        <v>160</v>
      </c>
      <c r="O206" s="32" t="s">
        <v>645</v>
      </c>
      <c r="P206" s="1224">
        <v>0</v>
      </c>
      <c r="Q206" s="1224">
        <v>20</v>
      </c>
      <c r="R206" s="1224">
        <v>0</v>
      </c>
      <c r="S206" s="1224">
        <v>15</v>
      </c>
      <c r="T206" s="1224">
        <v>0</v>
      </c>
      <c r="U206" s="1224">
        <v>15</v>
      </c>
      <c r="V206" s="1224">
        <v>15</v>
      </c>
      <c r="W206" s="1224">
        <v>0</v>
      </c>
      <c r="X206" s="1225">
        <v>0</v>
      </c>
      <c r="Y206" s="1225">
        <v>10</v>
      </c>
      <c r="Z206" s="1225">
        <v>0</v>
      </c>
      <c r="AA206" s="1225">
        <v>0</v>
      </c>
      <c r="AB206" s="1225">
        <v>0</v>
      </c>
      <c r="AC206" s="1226">
        <v>0</v>
      </c>
      <c r="AD206" s="1226">
        <v>30</v>
      </c>
      <c r="AE206" s="1226">
        <v>0</v>
      </c>
      <c r="AF206" s="1226">
        <v>0</v>
      </c>
      <c r="AG206" s="1226">
        <v>0</v>
      </c>
      <c r="AH206" s="32" t="s">
        <v>645</v>
      </c>
      <c r="AI206" s="1224">
        <v>0</v>
      </c>
      <c r="AJ206" s="1224">
        <v>20</v>
      </c>
      <c r="AK206" s="1224">
        <v>0</v>
      </c>
      <c r="AL206" s="1224">
        <v>0</v>
      </c>
      <c r="AM206" s="1224">
        <v>15</v>
      </c>
      <c r="AN206" s="1224">
        <v>20</v>
      </c>
      <c r="AO206" s="1224">
        <v>0</v>
      </c>
      <c r="AP206" s="1224">
        <v>20</v>
      </c>
      <c r="AQ206" s="1224">
        <v>0</v>
      </c>
      <c r="AR206" s="1224">
        <v>0</v>
      </c>
      <c r="AS206" s="1224">
        <v>0</v>
      </c>
      <c r="AT206" s="1224">
        <v>0</v>
      </c>
      <c r="AU206" s="1224">
        <v>30</v>
      </c>
      <c r="AV206" s="1225">
        <v>0</v>
      </c>
      <c r="AW206" s="1225">
        <v>10</v>
      </c>
      <c r="AX206" s="1225">
        <v>0</v>
      </c>
      <c r="AY206" s="1225">
        <v>0</v>
      </c>
      <c r="AZ206" s="1225">
        <v>0</v>
      </c>
      <c r="BA206" s="1248">
        <v>0</v>
      </c>
      <c r="BB206" s="1225">
        <v>10</v>
      </c>
      <c r="BC206" s="1226">
        <v>0</v>
      </c>
      <c r="BD206" s="1226">
        <v>0</v>
      </c>
      <c r="BE206" s="1226">
        <v>0</v>
      </c>
      <c r="BF206" s="1249">
        <v>0</v>
      </c>
      <c r="BG206" s="1238">
        <v>0</v>
      </c>
      <c r="BH206" s="1229">
        <v>0</v>
      </c>
      <c r="BI206" s="1224">
        <v>0</v>
      </c>
      <c r="BJ206" s="1224">
        <v>0</v>
      </c>
      <c r="BL206" s="1230">
        <v>0</v>
      </c>
      <c r="BM206" s="1230">
        <v>0</v>
      </c>
      <c r="BO206" s="1229">
        <v>0</v>
      </c>
      <c r="BP206" s="1229">
        <v>0</v>
      </c>
      <c r="BR206" s="1243" t="s">
        <v>570</v>
      </c>
      <c r="BV206" s="60"/>
    </row>
    <row r="207" spans="1:82" x14ac:dyDescent="0.25">
      <c r="A207" s="1246">
        <f t="shared" si="3"/>
        <v>204</v>
      </c>
      <c r="B207" s="930" t="str">
        <f>Coltura!C205</f>
        <v>S8</v>
      </c>
      <c r="C207" s="930" t="str">
        <f>Coltura!D205</f>
        <v>Cipolla da seme (fase vivaio)</v>
      </c>
      <c r="D207" s="41" t="s">
        <v>645</v>
      </c>
      <c r="E207" s="32">
        <v>45</v>
      </c>
      <c r="F207" s="1224">
        <v>130</v>
      </c>
      <c r="G207" s="1225">
        <v>120</v>
      </c>
      <c r="H207" s="1225">
        <v>160</v>
      </c>
      <c r="I207" s="1225">
        <v>80</v>
      </c>
      <c r="J207" s="1225">
        <v>160</v>
      </c>
      <c r="K207" s="1226">
        <v>120</v>
      </c>
      <c r="L207" s="1226">
        <v>160</v>
      </c>
      <c r="M207" s="1226">
        <v>80</v>
      </c>
      <c r="N207" s="1226">
        <v>160</v>
      </c>
      <c r="O207" s="32">
        <v>36</v>
      </c>
      <c r="P207" s="1224">
        <v>0</v>
      </c>
      <c r="Q207" s="1224">
        <v>20</v>
      </c>
      <c r="R207" s="1224">
        <v>0</v>
      </c>
      <c r="S207" s="1224">
        <v>15</v>
      </c>
      <c r="T207" s="1224">
        <v>0</v>
      </c>
      <c r="U207" s="1224">
        <v>15</v>
      </c>
      <c r="V207" s="1224">
        <v>15</v>
      </c>
      <c r="W207" s="1224">
        <v>0</v>
      </c>
      <c r="X207" s="1225">
        <v>20</v>
      </c>
      <c r="Y207" s="1225">
        <v>0</v>
      </c>
      <c r="Z207" s="1225">
        <v>0</v>
      </c>
      <c r="AA207" s="1225">
        <v>0</v>
      </c>
      <c r="AB207" s="1225">
        <v>0</v>
      </c>
      <c r="AC207" s="1226">
        <v>25</v>
      </c>
      <c r="AD207" s="1226">
        <v>0</v>
      </c>
      <c r="AE207" s="1226">
        <v>0</v>
      </c>
      <c r="AF207" s="1226">
        <v>0</v>
      </c>
      <c r="AG207" s="1226">
        <v>0</v>
      </c>
      <c r="AH207" s="32">
        <v>54</v>
      </c>
      <c r="AI207" s="1224">
        <v>20</v>
      </c>
      <c r="AJ207" s="1224">
        <v>20</v>
      </c>
      <c r="AK207" s="1224">
        <v>0</v>
      </c>
      <c r="AL207" s="1224">
        <v>0</v>
      </c>
      <c r="AM207" s="1224">
        <v>15</v>
      </c>
      <c r="AN207" s="1224">
        <v>30</v>
      </c>
      <c r="AO207" s="1224">
        <v>0</v>
      </c>
      <c r="AP207" s="1224">
        <v>20</v>
      </c>
      <c r="AQ207" s="1224">
        <v>0</v>
      </c>
      <c r="AR207" s="1224">
        <v>0</v>
      </c>
      <c r="AS207" s="1224">
        <v>0</v>
      </c>
      <c r="AT207" s="1224">
        <v>0</v>
      </c>
      <c r="AU207" s="1224">
        <v>40</v>
      </c>
      <c r="AV207" s="1225">
        <v>20</v>
      </c>
      <c r="AW207" s="1225">
        <v>10</v>
      </c>
      <c r="AX207" s="1225">
        <v>20</v>
      </c>
      <c r="AY207" s="1225">
        <v>0</v>
      </c>
      <c r="AZ207" s="1225">
        <v>0</v>
      </c>
      <c r="BA207" s="1248">
        <v>0</v>
      </c>
      <c r="BB207" s="1225">
        <v>50</v>
      </c>
      <c r="BC207" s="1226">
        <v>20</v>
      </c>
      <c r="BD207" s="1226">
        <v>0</v>
      </c>
      <c r="BE207" s="1226">
        <v>0</v>
      </c>
      <c r="BF207" s="1249">
        <v>0</v>
      </c>
      <c r="BG207" s="1238">
        <v>0</v>
      </c>
      <c r="BH207" s="1229">
        <v>20</v>
      </c>
      <c r="BI207" s="1224">
        <v>0</v>
      </c>
      <c r="BJ207" s="1224">
        <v>0</v>
      </c>
      <c r="BL207" s="1230">
        <v>0</v>
      </c>
      <c r="BM207" s="1230">
        <v>0</v>
      </c>
      <c r="BO207" s="1229">
        <v>0</v>
      </c>
      <c r="BP207" s="1229">
        <v>0</v>
      </c>
      <c r="BR207" s="1243" t="s">
        <v>570</v>
      </c>
      <c r="BV207" s="60"/>
    </row>
    <row r="208" spans="1:82" x14ac:dyDescent="0.25">
      <c r="A208" s="1246">
        <f t="shared" si="3"/>
        <v>205</v>
      </c>
      <c r="B208" s="930" t="str">
        <f>Coltura!C206</f>
        <v>S9</v>
      </c>
      <c r="C208" s="930" t="str">
        <f>Coltura!D206</f>
        <v>Coriandolo da seme</v>
      </c>
      <c r="D208" s="41" t="s">
        <v>645</v>
      </c>
      <c r="E208" s="32" t="s">
        <v>645</v>
      </c>
      <c r="F208" s="1224">
        <v>70</v>
      </c>
      <c r="G208" s="1225">
        <v>70</v>
      </c>
      <c r="H208" s="1225">
        <v>150</v>
      </c>
      <c r="I208" s="1225">
        <v>40</v>
      </c>
      <c r="J208" s="1225">
        <v>150</v>
      </c>
      <c r="K208" s="1226">
        <v>50</v>
      </c>
      <c r="L208" s="1226">
        <v>120</v>
      </c>
      <c r="M208" s="1226">
        <v>0</v>
      </c>
      <c r="N208" s="1226">
        <v>120</v>
      </c>
      <c r="O208" s="7" t="s">
        <v>645</v>
      </c>
      <c r="P208" s="1224">
        <v>0</v>
      </c>
      <c r="Q208" s="1224">
        <v>20</v>
      </c>
      <c r="R208" s="1224">
        <v>0</v>
      </c>
      <c r="S208" s="1224">
        <v>15</v>
      </c>
      <c r="T208" s="1224">
        <v>0</v>
      </c>
      <c r="U208" s="1224">
        <v>80</v>
      </c>
      <c r="V208" s="1224">
        <v>15</v>
      </c>
      <c r="W208" s="1224">
        <v>0</v>
      </c>
      <c r="X208" s="1225">
        <v>0</v>
      </c>
      <c r="Y208" s="1225">
        <v>10</v>
      </c>
      <c r="Z208" s="1225">
        <v>0</v>
      </c>
      <c r="AA208" s="1225">
        <v>0</v>
      </c>
      <c r="AB208" s="1225">
        <v>0</v>
      </c>
      <c r="AC208" s="1226">
        <v>0</v>
      </c>
      <c r="AD208" s="1226">
        <v>10</v>
      </c>
      <c r="AE208" s="1226">
        <v>0</v>
      </c>
      <c r="AF208" s="1226">
        <v>0</v>
      </c>
      <c r="AG208" s="1226">
        <v>0</v>
      </c>
      <c r="AH208" s="32" t="s">
        <v>645</v>
      </c>
      <c r="AI208" s="1224">
        <v>0</v>
      </c>
      <c r="AJ208" s="1224">
        <v>15</v>
      </c>
      <c r="AK208" s="1224">
        <v>0</v>
      </c>
      <c r="AL208" s="1224">
        <v>0</v>
      </c>
      <c r="AM208" s="1224">
        <v>15</v>
      </c>
      <c r="AN208" s="1224">
        <v>20</v>
      </c>
      <c r="AO208" s="1224">
        <v>20</v>
      </c>
      <c r="AP208" s="1224">
        <v>0</v>
      </c>
      <c r="AQ208" s="1224">
        <v>0</v>
      </c>
      <c r="AR208" s="1224">
        <v>0</v>
      </c>
      <c r="AS208" s="1224">
        <v>0</v>
      </c>
      <c r="AT208" s="1224">
        <v>0</v>
      </c>
      <c r="AU208" s="1224">
        <v>20</v>
      </c>
      <c r="AV208" s="1225">
        <v>0</v>
      </c>
      <c r="AW208" s="1225">
        <v>10</v>
      </c>
      <c r="AX208" s="1225">
        <v>0</v>
      </c>
      <c r="AY208" s="1225">
        <v>0</v>
      </c>
      <c r="AZ208" s="1225">
        <v>0</v>
      </c>
      <c r="BA208" s="1248">
        <v>0</v>
      </c>
      <c r="BB208" s="1225">
        <v>10</v>
      </c>
      <c r="BC208" s="1226">
        <v>0</v>
      </c>
      <c r="BD208" s="1226">
        <v>0</v>
      </c>
      <c r="BE208" s="1226">
        <v>0</v>
      </c>
      <c r="BF208" s="1249">
        <v>0</v>
      </c>
      <c r="BG208" s="1238">
        <v>0</v>
      </c>
      <c r="BH208" s="1229">
        <v>0</v>
      </c>
      <c r="BI208" s="1224">
        <v>0</v>
      </c>
      <c r="BJ208" s="1224">
        <v>0</v>
      </c>
      <c r="BL208" s="1230">
        <v>0</v>
      </c>
      <c r="BM208" s="1230">
        <v>0</v>
      </c>
      <c r="BO208" s="1229">
        <v>0</v>
      </c>
      <c r="BP208" s="1229">
        <v>0</v>
      </c>
      <c r="BR208" s="1243" t="s">
        <v>570</v>
      </c>
      <c r="BV208" s="60"/>
    </row>
    <row r="209" spans="1:74" x14ac:dyDescent="0.25">
      <c r="A209" s="1246">
        <f t="shared" si="3"/>
        <v>206</v>
      </c>
      <c r="B209" s="930" t="str">
        <f>Coltura!C207</f>
        <v>S10</v>
      </c>
      <c r="C209" s="930" t="str">
        <f>Coltura!D207</f>
        <v>Erba medica  da seme</v>
      </c>
      <c r="D209" s="41" t="s">
        <v>645</v>
      </c>
      <c r="E209" s="32" t="s">
        <v>645</v>
      </c>
      <c r="F209" s="1224">
        <v>0</v>
      </c>
      <c r="G209" s="1225">
        <v>60</v>
      </c>
      <c r="H209" s="1225">
        <v>100</v>
      </c>
      <c r="I209" s="1225">
        <v>30</v>
      </c>
      <c r="J209" s="1225">
        <v>100</v>
      </c>
      <c r="K209" s="1226">
        <v>150</v>
      </c>
      <c r="L209" s="1226">
        <v>200</v>
      </c>
      <c r="M209" s="1226">
        <v>0</v>
      </c>
      <c r="N209" s="1226">
        <v>200</v>
      </c>
      <c r="O209" s="32" t="s">
        <v>645</v>
      </c>
      <c r="P209" s="1224">
        <v>0</v>
      </c>
      <c r="Q209" s="1224">
        <v>0</v>
      </c>
      <c r="R209" s="1224">
        <v>0</v>
      </c>
      <c r="S209" s="1224">
        <v>0</v>
      </c>
      <c r="T209" s="1224">
        <v>0</v>
      </c>
      <c r="U209" s="1224">
        <v>0</v>
      </c>
      <c r="V209" s="1224">
        <v>0</v>
      </c>
      <c r="W209" s="1224">
        <v>0</v>
      </c>
      <c r="X209" s="1225">
        <v>0</v>
      </c>
      <c r="Y209" s="1225">
        <v>0</v>
      </c>
      <c r="Z209" s="1225">
        <v>0</v>
      </c>
      <c r="AA209" s="1225">
        <v>0</v>
      </c>
      <c r="AB209" s="1225">
        <v>0</v>
      </c>
      <c r="AC209" s="1226">
        <v>0</v>
      </c>
      <c r="AD209" s="1226">
        <v>0</v>
      </c>
      <c r="AE209" s="1226">
        <v>0</v>
      </c>
      <c r="AF209" s="1226">
        <v>0</v>
      </c>
      <c r="AG209" s="1226">
        <v>0</v>
      </c>
      <c r="AH209" s="32" t="s">
        <v>645</v>
      </c>
      <c r="AI209" s="1224">
        <v>0</v>
      </c>
      <c r="AJ209" s="1224">
        <v>0</v>
      </c>
      <c r="AK209" s="1224">
        <v>0</v>
      </c>
      <c r="AL209" s="1224">
        <v>0</v>
      </c>
      <c r="AM209" s="1224">
        <v>0</v>
      </c>
      <c r="AN209" s="1224">
        <v>0</v>
      </c>
      <c r="AO209" s="1224">
        <v>0</v>
      </c>
      <c r="AP209" s="1224">
        <v>0</v>
      </c>
      <c r="AQ209" s="1224">
        <v>0</v>
      </c>
      <c r="AR209" s="1224">
        <v>0</v>
      </c>
      <c r="AS209" s="1224">
        <v>100</v>
      </c>
      <c r="AT209" s="1224">
        <v>0</v>
      </c>
      <c r="AU209" s="1224">
        <v>100</v>
      </c>
      <c r="AV209" s="1225">
        <v>0</v>
      </c>
      <c r="AW209" s="1225">
        <v>0</v>
      </c>
      <c r="AX209" s="1225">
        <v>0</v>
      </c>
      <c r="AY209" s="1225">
        <v>0</v>
      </c>
      <c r="AZ209" s="1225">
        <v>0</v>
      </c>
      <c r="BA209" s="1248">
        <v>0</v>
      </c>
      <c r="BB209" s="1225">
        <v>0</v>
      </c>
      <c r="BC209" s="1226">
        <v>0</v>
      </c>
      <c r="BD209" s="1226">
        <v>0</v>
      </c>
      <c r="BE209" s="1226">
        <v>0</v>
      </c>
      <c r="BF209" s="1249">
        <v>0</v>
      </c>
      <c r="BG209" s="1238">
        <v>0</v>
      </c>
      <c r="BH209" s="1229">
        <v>0</v>
      </c>
      <c r="BI209" s="1224">
        <v>0</v>
      </c>
      <c r="BJ209" s="1224">
        <v>0</v>
      </c>
      <c r="BL209" s="1230">
        <v>0</v>
      </c>
      <c r="BM209" s="1230">
        <v>0</v>
      </c>
      <c r="BO209" s="1229">
        <v>0</v>
      </c>
      <c r="BP209" s="1229">
        <v>0</v>
      </c>
      <c r="BR209" s="1243" t="s">
        <v>570</v>
      </c>
      <c r="BV209" s="60"/>
    </row>
    <row r="210" spans="1:74" x14ac:dyDescent="0.25">
      <c r="A210" s="1246">
        <f t="shared" si="3"/>
        <v>207</v>
      </c>
      <c r="B210" s="930" t="str">
        <f>Coltura!C208</f>
        <v>S11</v>
      </c>
      <c r="C210" s="930" t="str">
        <f>Coltura!D208</f>
        <v>Finocchio da seme</v>
      </c>
      <c r="D210" s="41" t="s">
        <v>645</v>
      </c>
      <c r="E210" s="32" t="s">
        <v>645</v>
      </c>
      <c r="F210" s="1224">
        <v>100</v>
      </c>
      <c r="G210" s="1225">
        <v>100</v>
      </c>
      <c r="H210" s="1225">
        <v>150</v>
      </c>
      <c r="I210" s="1225">
        <v>50</v>
      </c>
      <c r="J210" s="1225">
        <v>150</v>
      </c>
      <c r="K210" s="1226">
        <v>190</v>
      </c>
      <c r="L210" s="1226">
        <v>280</v>
      </c>
      <c r="M210" s="1226">
        <v>100</v>
      </c>
      <c r="N210" s="1226">
        <v>280</v>
      </c>
      <c r="O210" s="32" t="s">
        <v>645</v>
      </c>
      <c r="P210" s="1224">
        <v>0</v>
      </c>
      <c r="Q210" s="1224">
        <v>20</v>
      </c>
      <c r="R210" s="1224">
        <v>0</v>
      </c>
      <c r="S210" s="1224">
        <v>15</v>
      </c>
      <c r="T210" s="1224">
        <v>0</v>
      </c>
      <c r="U210" s="1224">
        <v>15</v>
      </c>
      <c r="V210" s="1224">
        <v>15</v>
      </c>
      <c r="W210" s="1224">
        <v>0</v>
      </c>
      <c r="X210" s="1225">
        <v>0</v>
      </c>
      <c r="Y210" s="1225">
        <v>10</v>
      </c>
      <c r="Z210" s="1225">
        <v>0</v>
      </c>
      <c r="AA210" s="1225">
        <v>0</v>
      </c>
      <c r="AB210" s="1225">
        <v>0</v>
      </c>
      <c r="AC210" s="1226">
        <v>0</v>
      </c>
      <c r="AD210" s="1226">
        <v>30</v>
      </c>
      <c r="AE210" s="1226">
        <v>0</v>
      </c>
      <c r="AF210" s="1226">
        <v>0</v>
      </c>
      <c r="AG210" s="1226">
        <v>0</v>
      </c>
      <c r="AH210" s="32" t="s">
        <v>645</v>
      </c>
      <c r="AI210" s="1224">
        <v>0</v>
      </c>
      <c r="AJ210" s="1224">
        <v>20</v>
      </c>
      <c r="AK210" s="1224">
        <v>0</v>
      </c>
      <c r="AL210" s="1224">
        <v>0</v>
      </c>
      <c r="AM210" s="1224">
        <v>15</v>
      </c>
      <c r="AN210" s="1224">
        <v>0</v>
      </c>
      <c r="AO210" s="1224">
        <v>20</v>
      </c>
      <c r="AP210" s="1224">
        <v>0</v>
      </c>
      <c r="AQ210" s="1224">
        <v>0</v>
      </c>
      <c r="AR210" s="1224">
        <v>0</v>
      </c>
      <c r="AS210" s="1224">
        <v>0</v>
      </c>
      <c r="AT210" s="1224">
        <v>0</v>
      </c>
      <c r="AU210" s="1224">
        <v>20</v>
      </c>
      <c r="AV210" s="1225">
        <v>0</v>
      </c>
      <c r="AW210" s="1225">
        <v>10</v>
      </c>
      <c r="AX210" s="1225">
        <v>0</v>
      </c>
      <c r="AY210" s="1225">
        <v>0</v>
      </c>
      <c r="AZ210" s="1225">
        <v>0</v>
      </c>
      <c r="BA210" s="1248">
        <v>0</v>
      </c>
      <c r="BB210" s="1225">
        <v>10</v>
      </c>
      <c r="BC210" s="1226">
        <v>0</v>
      </c>
      <c r="BD210" s="1226">
        <v>0</v>
      </c>
      <c r="BE210" s="1226">
        <v>0</v>
      </c>
      <c r="BF210" s="1249">
        <v>0</v>
      </c>
      <c r="BG210" s="1238">
        <v>0</v>
      </c>
      <c r="BH210" s="1229">
        <v>0</v>
      </c>
      <c r="BI210" s="1224">
        <v>0</v>
      </c>
      <c r="BJ210" s="1224">
        <v>0</v>
      </c>
      <c r="BL210" s="1230">
        <v>0</v>
      </c>
      <c r="BM210" s="1230">
        <v>0</v>
      </c>
      <c r="BO210" s="1229">
        <v>0</v>
      </c>
      <c r="BP210" s="1229">
        <v>0</v>
      </c>
      <c r="BR210" s="1243" t="s">
        <v>570</v>
      </c>
      <c r="BV210" s="60"/>
    </row>
    <row r="211" spans="1:74" x14ac:dyDescent="0.25">
      <c r="A211" s="1246">
        <f t="shared" si="3"/>
        <v>208</v>
      </c>
      <c r="B211" s="930" t="str">
        <f>Coltura!C209</f>
        <v>S12</v>
      </c>
      <c r="C211" s="930" t="str">
        <f>Coltura!D209</f>
        <v>Frumento duro da seme (granella)</v>
      </c>
      <c r="D211" s="41" t="s">
        <v>645</v>
      </c>
      <c r="E211" s="32">
        <v>6</v>
      </c>
      <c r="F211" s="1224">
        <v>160</v>
      </c>
      <c r="G211" s="1225">
        <v>60</v>
      </c>
      <c r="H211" s="1225">
        <v>80</v>
      </c>
      <c r="I211" s="1225">
        <v>30</v>
      </c>
      <c r="J211" s="1225">
        <v>80</v>
      </c>
      <c r="K211" s="1226">
        <v>120</v>
      </c>
      <c r="L211" s="1226">
        <v>150</v>
      </c>
      <c r="M211" s="1226">
        <v>30</v>
      </c>
      <c r="N211" s="1226">
        <v>150</v>
      </c>
      <c r="O211" s="32">
        <v>5</v>
      </c>
      <c r="P211" s="1224">
        <v>25</v>
      </c>
      <c r="Q211" s="1224">
        <v>20</v>
      </c>
      <c r="R211" s="1224">
        <v>0</v>
      </c>
      <c r="S211" s="1224">
        <v>15</v>
      </c>
      <c r="T211" s="1224">
        <v>0</v>
      </c>
      <c r="U211" s="1224">
        <v>80</v>
      </c>
      <c r="V211" s="1224">
        <v>40</v>
      </c>
      <c r="W211" s="1224">
        <v>0</v>
      </c>
      <c r="X211" s="1225">
        <v>15</v>
      </c>
      <c r="Y211" s="1225">
        <v>0</v>
      </c>
      <c r="Z211" s="1225">
        <v>0</v>
      </c>
      <c r="AA211" s="1225">
        <v>0</v>
      </c>
      <c r="AB211" s="1225">
        <v>0</v>
      </c>
      <c r="AC211" s="1226">
        <v>10</v>
      </c>
      <c r="AD211" s="1226">
        <v>0</v>
      </c>
      <c r="AE211" s="1226">
        <v>0</v>
      </c>
      <c r="AF211" s="1226">
        <v>0</v>
      </c>
      <c r="AG211" s="1226">
        <v>0</v>
      </c>
      <c r="AH211" s="32">
        <v>7</v>
      </c>
      <c r="AI211" s="1224">
        <v>25</v>
      </c>
      <c r="AJ211" s="1224">
        <v>15</v>
      </c>
      <c r="AK211" s="1224">
        <v>0</v>
      </c>
      <c r="AL211" s="1224">
        <v>0</v>
      </c>
      <c r="AM211" s="1224">
        <v>15</v>
      </c>
      <c r="AN211" s="1224">
        <v>30</v>
      </c>
      <c r="AO211" s="1224">
        <v>0</v>
      </c>
      <c r="AP211" s="1224">
        <v>0</v>
      </c>
      <c r="AQ211" s="1224">
        <v>0</v>
      </c>
      <c r="AR211" s="1224">
        <v>0</v>
      </c>
      <c r="AS211" s="1224">
        <v>0</v>
      </c>
      <c r="AT211" s="1224">
        <v>0</v>
      </c>
      <c r="AU211" s="1224">
        <v>30</v>
      </c>
      <c r="AV211" s="1225">
        <v>15</v>
      </c>
      <c r="AW211" s="1225">
        <v>0</v>
      </c>
      <c r="AX211" s="1225">
        <v>0</v>
      </c>
      <c r="AY211" s="1225">
        <v>0</v>
      </c>
      <c r="AZ211" s="1225">
        <v>0</v>
      </c>
      <c r="BA211" s="1248">
        <v>0</v>
      </c>
      <c r="BB211" s="1225">
        <v>15</v>
      </c>
      <c r="BC211" s="1226">
        <v>10</v>
      </c>
      <c r="BD211" s="1226">
        <v>0</v>
      </c>
      <c r="BE211" s="1226">
        <v>0</v>
      </c>
      <c r="BF211" s="1249">
        <v>0</v>
      </c>
      <c r="BG211" s="1238">
        <v>0</v>
      </c>
      <c r="BH211" s="1229">
        <v>10</v>
      </c>
      <c r="BI211" s="1224">
        <v>0</v>
      </c>
      <c r="BJ211" s="1224">
        <v>0</v>
      </c>
      <c r="BL211" s="1230">
        <v>0</v>
      </c>
      <c r="BM211" s="1230">
        <v>0</v>
      </c>
      <c r="BO211" s="1229">
        <v>0</v>
      </c>
      <c r="BP211" s="1229">
        <v>0</v>
      </c>
      <c r="BR211" s="1243" t="s">
        <v>570</v>
      </c>
      <c r="BV211" s="60"/>
    </row>
    <row r="212" spans="1:74" x14ac:dyDescent="0.25">
      <c r="A212" s="1246">
        <f t="shared" si="3"/>
        <v>209</v>
      </c>
      <c r="B212" s="930" t="str">
        <f>Coltura!C210</f>
        <v>S13</v>
      </c>
      <c r="C212" s="930" t="str">
        <f>Coltura!D210</f>
        <v>Frumento tenero da seme (granella)</v>
      </c>
      <c r="D212" s="41" t="s">
        <v>645</v>
      </c>
      <c r="E212" s="32">
        <v>6</v>
      </c>
      <c r="F212" s="1224">
        <v>140</v>
      </c>
      <c r="G212" s="1225">
        <v>60</v>
      </c>
      <c r="H212" s="1225">
        <v>80</v>
      </c>
      <c r="I212" s="1225">
        <v>30</v>
      </c>
      <c r="J212" s="1225">
        <v>80</v>
      </c>
      <c r="K212" s="1226">
        <v>120</v>
      </c>
      <c r="L212" s="1226">
        <v>150</v>
      </c>
      <c r="M212" s="1226">
        <v>30</v>
      </c>
      <c r="N212" s="1226">
        <v>150</v>
      </c>
      <c r="O212" s="32">
        <v>5</v>
      </c>
      <c r="P212" s="1224">
        <v>30</v>
      </c>
      <c r="Q212" s="1224">
        <v>20</v>
      </c>
      <c r="R212" s="1224">
        <v>0</v>
      </c>
      <c r="S212" s="1224">
        <v>15</v>
      </c>
      <c r="T212" s="1224">
        <v>0</v>
      </c>
      <c r="U212" s="1224">
        <v>80</v>
      </c>
      <c r="V212" s="1224">
        <v>40</v>
      </c>
      <c r="W212" s="1224">
        <v>0</v>
      </c>
      <c r="X212" s="1225">
        <v>15</v>
      </c>
      <c r="Y212" s="1225">
        <v>0</v>
      </c>
      <c r="Z212" s="1225">
        <v>0</v>
      </c>
      <c r="AA212" s="1225">
        <v>0</v>
      </c>
      <c r="AB212" s="1225">
        <v>0</v>
      </c>
      <c r="AC212" s="1226">
        <v>20</v>
      </c>
      <c r="AD212" s="1226">
        <v>0</v>
      </c>
      <c r="AE212" s="1226">
        <v>0</v>
      </c>
      <c r="AF212" s="1226">
        <v>0</v>
      </c>
      <c r="AG212" s="1226">
        <v>0</v>
      </c>
      <c r="AH212" s="32">
        <v>7</v>
      </c>
      <c r="AI212" s="1224">
        <v>30</v>
      </c>
      <c r="AJ212" s="1224">
        <v>15</v>
      </c>
      <c r="AK212" s="1224">
        <v>0</v>
      </c>
      <c r="AL212" s="1224">
        <v>0</v>
      </c>
      <c r="AM212" s="1224">
        <v>15</v>
      </c>
      <c r="AN212" s="1224">
        <v>30</v>
      </c>
      <c r="AO212" s="1224">
        <v>0</v>
      </c>
      <c r="AP212" s="1224">
        <v>0</v>
      </c>
      <c r="AQ212" s="1224">
        <v>0</v>
      </c>
      <c r="AR212" s="1224">
        <v>0</v>
      </c>
      <c r="AS212" s="1224">
        <v>0</v>
      </c>
      <c r="AT212" s="1224">
        <v>0</v>
      </c>
      <c r="AU212" s="1224">
        <v>40</v>
      </c>
      <c r="AV212" s="1225">
        <v>15</v>
      </c>
      <c r="AW212" s="1225">
        <v>0</v>
      </c>
      <c r="AX212" s="1225">
        <v>0</v>
      </c>
      <c r="AY212" s="1225">
        <v>0</v>
      </c>
      <c r="AZ212" s="1225">
        <v>0</v>
      </c>
      <c r="BA212" s="1248">
        <v>0</v>
      </c>
      <c r="BB212" s="1225">
        <v>15</v>
      </c>
      <c r="BC212" s="1226">
        <v>20</v>
      </c>
      <c r="BD212" s="1226">
        <v>0</v>
      </c>
      <c r="BE212" s="1226">
        <v>0</v>
      </c>
      <c r="BF212" s="1249">
        <v>0</v>
      </c>
      <c r="BG212" s="1238">
        <v>0</v>
      </c>
      <c r="BH212" s="1229">
        <v>20</v>
      </c>
      <c r="BI212" s="1224">
        <v>0</v>
      </c>
      <c r="BJ212" s="1224">
        <v>0</v>
      </c>
      <c r="BL212" s="1230">
        <v>0</v>
      </c>
      <c r="BM212" s="1230">
        <v>0</v>
      </c>
      <c r="BO212" s="1229">
        <v>0</v>
      </c>
      <c r="BP212" s="1229">
        <v>0</v>
      </c>
      <c r="BR212" s="1243" t="s">
        <v>570</v>
      </c>
      <c r="BV212" s="60"/>
    </row>
    <row r="213" spans="1:74" x14ac:dyDescent="0.25">
      <c r="A213" s="1246">
        <f t="shared" si="3"/>
        <v>210</v>
      </c>
      <c r="B213" s="930" t="str">
        <f>Coltura!C211</f>
        <v>S14</v>
      </c>
      <c r="C213" s="930" t="str">
        <f>Coltura!D211</f>
        <v>Girasole da seme (granella)</v>
      </c>
      <c r="D213" s="41" t="s">
        <v>645</v>
      </c>
      <c r="E213" s="32">
        <v>3</v>
      </c>
      <c r="F213" s="1224">
        <v>90</v>
      </c>
      <c r="G213" s="1225">
        <v>50</v>
      </c>
      <c r="H213" s="1225">
        <v>100</v>
      </c>
      <c r="I213" s="1225">
        <v>25</v>
      </c>
      <c r="J213" s="1225">
        <v>100</v>
      </c>
      <c r="K213" s="1226">
        <v>120</v>
      </c>
      <c r="L213" s="1226">
        <v>180</v>
      </c>
      <c r="M213" s="1226">
        <v>30</v>
      </c>
      <c r="N213" s="1226">
        <v>180</v>
      </c>
      <c r="O213" s="32">
        <v>2.4</v>
      </c>
      <c r="P213" s="1224">
        <v>25</v>
      </c>
      <c r="Q213" s="1224">
        <v>20</v>
      </c>
      <c r="R213" s="1224">
        <v>0</v>
      </c>
      <c r="S213" s="1224">
        <v>15</v>
      </c>
      <c r="T213" s="1224">
        <v>0</v>
      </c>
      <c r="U213" s="1224">
        <v>80</v>
      </c>
      <c r="V213" s="1224">
        <v>40</v>
      </c>
      <c r="W213" s="1224">
        <v>0</v>
      </c>
      <c r="X213" s="1225">
        <v>10</v>
      </c>
      <c r="Y213" s="1225">
        <v>0</v>
      </c>
      <c r="Z213" s="1225">
        <v>0</v>
      </c>
      <c r="AA213" s="1225">
        <v>0</v>
      </c>
      <c r="AB213" s="1225">
        <v>0</v>
      </c>
      <c r="AC213" s="1226">
        <v>20</v>
      </c>
      <c r="AD213" s="1226">
        <v>0</v>
      </c>
      <c r="AE213" s="1226">
        <v>0</v>
      </c>
      <c r="AF213" s="1226">
        <v>0</v>
      </c>
      <c r="AG213" s="1226">
        <v>0</v>
      </c>
      <c r="AH213" s="32">
        <v>3.6</v>
      </c>
      <c r="AI213" s="1224">
        <v>25</v>
      </c>
      <c r="AJ213" s="1224">
        <v>15</v>
      </c>
      <c r="AK213" s="1224">
        <v>0</v>
      </c>
      <c r="AL213" s="1224">
        <v>0</v>
      </c>
      <c r="AM213" s="1224">
        <v>20</v>
      </c>
      <c r="AN213" s="1224">
        <v>30</v>
      </c>
      <c r="AO213" s="1224">
        <v>0</v>
      </c>
      <c r="AP213" s="1224">
        <v>0</v>
      </c>
      <c r="AQ213" s="1224">
        <v>0</v>
      </c>
      <c r="AR213" s="1224">
        <v>0</v>
      </c>
      <c r="AS213" s="1224">
        <v>0</v>
      </c>
      <c r="AT213" s="1224">
        <v>0</v>
      </c>
      <c r="AU213" s="1224">
        <v>40</v>
      </c>
      <c r="AV213" s="1225">
        <v>10</v>
      </c>
      <c r="AW213" s="1225">
        <v>0</v>
      </c>
      <c r="AX213" s="1225">
        <v>0</v>
      </c>
      <c r="AY213" s="1225">
        <v>0</v>
      </c>
      <c r="AZ213" s="1225">
        <v>0</v>
      </c>
      <c r="BA213" s="1248">
        <v>0</v>
      </c>
      <c r="BB213" s="1225">
        <v>10</v>
      </c>
      <c r="BC213" s="1226">
        <v>20</v>
      </c>
      <c r="BD213" s="1226">
        <v>0</v>
      </c>
      <c r="BE213" s="1226">
        <v>0</v>
      </c>
      <c r="BF213" s="1249">
        <v>0</v>
      </c>
      <c r="BG213" s="1238">
        <v>0</v>
      </c>
      <c r="BH213" s="1229">
        <v>20</v>
      </c>
      <c r="BI213" s="1224">
        <v>0</v>
      </c>
      <c r="BJ213" s="1224">
        <v>0</v>
      </c>
      <c r="BL213" s="1230">
        <v>0</v>
      </c>
      <c r="BM213" s="1230">
        <v>0</v>
      </c>
      <c r="BO213" s="1229">
        <v>0</v>
      </c>
      <c r="BP213" s="1229">
        <v>0</v>
      </c>
      <c r="BR213" s="1243" t="s">
        <v>570</v>
      </c>
      <c r="BV213" s="60"/>
    </row>
    <row r="214" spans="1:74" x14ac:dyDescent="0.25">
      <c r="A214" s="1246">
        <f t="shared" si="3"/>
        <v>211</v>
      </c>
      <c r="B214" s="930" t="str">
        <f>Coltura!C212</f>
        <v>S15</v>
      </c>
      <c r="C214" s="930" t="str">
        <f>Coltura!D212</f>
        <v>Lattuga da seme</v>
      </c>
      <c r="D214" s="41" t="s">
        <v>645</v>
      </c>
      <c r="E214" s="32" t="s">
        <v>645</v>
      </c>
      <c r="F214" s="1224">
        <v>100</v>
      </c>
      <c r="G214" s="1225">
        <v>130</v>
      </c>
      <c r="H214" s="1225">
        <v>210</v>
      </c>
      <c r="I214" s="1225">
        <v>50</v>
      </c>
      <c r="J214" s="1225">
        <v>210</v>
      </c>
      <c r="K214" s="1226">
        <v>180</v>
      </c>
      <c r="L214" s="1226">
        <v>260</v>
      </c>
      <c r="M214" s="1226">
        <v>100</v>
      </c>
      <c r="N214" s="1226">
        <v>260</v>
      </c>
      <c r="O214" s="32" t="s">
        <v>645</v>
      </c>
      <c r="P214" s="1224">
        <v>0</v>
      </c>
      <c r="Q214" s="1224">
        <v>20</v>
      </c>
      <c r="R214" s="1224">
        <v>0</v>
      </c>
      <c r="S214" s="1224">
        <v>15</v>
      </c>
      <c r="T214" s="1224">
        <v>0</v>
      </c>
      <c r="U214" s="1224">
        <v>15</v>
      </c>
      <c r="V214" s="1224">
        <v>15</v>
      </c>
      <c r="W214" s="1224">
        <v>0</v>
      </c>
      <c r="X214" s="1225">
        <v>0</v>
      </c>
      <c r="Y214" s="1225">
        <v>10</v>
      </c>
      <c r="Z214" s="1225">
        <v>0</v>
      </c>
      <c r="AA214" s="1225">
        <v>0</v>
      </c>
      <c r="AB214" s="1225">
        <v>0</v>
      </c>
      <c r="AC214" s="1226">
        <v>0</v>
      </c>
      <c r="AD214" s="1226">
        <v>30</v>
      </c>
      <c r="AE214" s="1226">
        <v>0</v>
      </c>
      <c r="AF214" s="1226">
        <v>0</v>
      </c>
      <c r="AG214" s="1226">
        <v>0</v>
      </c>
      <c r="AH214" s="32" t="s">
        <v>645</v>
      </c>
      <c r="AI214" s="1224">
        <v>0</v>
      </c>
      <c r="AJ214" s="1224">
        <v>20</v>
      </c>
      <c r="AK214" s="1224">
        <v>0</v>
      </c>
      <c r="AL214" s="1224">
        <v>0</v>
      </c>
      <c r="AM214" s="1224">
        <v>15</v>
      </c>
      <c r="AN214" s="1224">
        <v>30</v>
      </c>
      <c r="AO214" s="1224">
        <v>20</v>
      </c>
      <c r="AP214" s="1224">
        <v>0</v>
      </c>
      <c r="AQ214" s="1224">
        <v>0</v>
      </c>
      <c r="AR214" s="1224">
        <v>0</v>
      </c>
      <c r="AS214" s="1224">
        <v>0</v>
      </c>
      <c r="AT214" s="1224">
        <v>0</v>
      </c>
      <c r="AU214" s="1224">
        <v>30</v>
      </c>
      <c r="AV214" s="1225">
        <v>0</v>
      </c>
      <c r="AW214" s="1225">
        <v>10</v>
      </c>
      <c r="AX214" s="1225">
        <v>20</v>
      </c>
      <c r="AY214" s="1225">
        <v>0</v>
      </c>
      <c r="AZ214" s="1225">
        <v>0</v>
      </c>
      <c r="BA214" s="1248">
        <v>0</v>
      </c>
      <c r="BB214" s="1225">
        <v>30</v>
      </c>
      <c r="BC214" s="1226">
        <v>0</v>
      </c>
      <c r="BD214" s="1226">
        <v>0</v>
      </c>
      <c r="BE214" s="1226">
        <v>0</v>
      </c>
      <c r="BF214" s="1249">
        <v>0</v>
      </c>
      <c r="BG214" s="1238">
        <v>0</v>
      </c>
      <c r="BH214" s="1229">
        <v>0</v>
      </c>
      <c r="BI214" s="1224">
        <v>0</v>
      </c>
      <c r="BJ214" s="1224">
        <v>0</v>
      </c>
      <c r="BL214" s="1230">
        <v>0</v>
      </c>
      <c r="BM214" s="1230">
        <v>0</v>
      </c>
      <c r="BO214" s="1229">
        <v>0</v>
      </c>
      <c r="BP214" s="1229">
        <v>0</v>
      </c>
      <c r="BR214" s="1243" t="s">
        <v>570</v>
      </c>
      <c r="BV214" s="60"/>
    </row>
    <row r="215" spans="1:74" x14ac:dyDescent="0.25">
      <c r="A215" s="1246">
        <f t="shared" si="3"/>
        <v>212</v>
      </c>
      <c r="B215" s="930" t="str">
        <f>Coltura!C213</f>
        <v>S16</v>
      </c>
      <c r="C215" s="930" t="str">
        <f>Coltura!D213</f>
        <v>Orzo da seme (granella)</v>
      </c>
      <c r="D215" s="41" t="s">
        <v>645</v>
      </c>
      <c r="E215" s="32">
        <v>6.5</v>
      </c>
      <c r="F215" s="1224">
        <v>125</v>
      </c>
      <c r="G215" s="1225">
        <v>60</v>
      </c>
      <c r="H215" s="1225">
        <v>80</v>
      </c>
      <c r="I215" s="1225">
        <v>30</v>
      </c>
      <c r="J215" s="1225">
        <v>80</v>
      </c>
      <c r="K215" s="1226">
        <v>120</v>
      </c>
      <c r="L215" s="1226">
        <v>150</v>
      </c>
      <c r="M215" s="1226">
        <v>30</v>
      </c>
      <c r="N215" s="1226">
        <v>150</v>
      </c>
      <c r="O215" s="32">
        <v>5.2</v>
      </c>
      <c r="P215" s="1224">
        <v>25</v>
      </c>
      <c r="Q215" s="1224">
        <v>20</v>
      </c>
      <c r="R215" s="1224">
        <v>0</v>
      </c>
      <c r="S215" s="1224">
        <v>15</v>
      </c>
      <c r="T215" s="1224">
        <v>0</v>
      </c>
      <c r="U215" s="1224">
        <v>80</v>
      </c>
      <c r="V215" s="1224">
        <v>40</v>
      </c>
      <c r="W215" s="1224">
        <v>0</v>
      </c>
      <c r="X215" s="1225">
        <v>15</v>
      </c>
      <c r="Y215" s="1225">
        <v>0</v>
      </c>
      <c r="Z215" s="1225">
        <v>0</v>
      </c>
      <c r="AA215" s="1225">
        <v>0</v>
      </c>
      <c r="AB215" s="1225">
        <v>0</v>
      </c>
      <c r="AC215" s="1226">
        <v>15</v>
      </c>
      <c r="AD215" s="1226">
        <v>0</v>
      </c>
      <c r="AE215" s="1226">
        <v>0</v>
      </c>
      <c r="AF215" s="1226">
        <v>0</v>
      </c>
      <c r="AG215" s="1226">
        <v>0</v>
      </c>
      <c r="AH215" s="32">
        <v>7.8</v>
      </c>
      <c r="AI215" s="1224">
        <v>25</v>
      </c>
      <c r="AJ215" s="1224">
        <v>15</v>
      </c>
      <c r="AK215" s="1224">
        <v>0</v>
      </c>
      <c r="AL215" s="1224">
        <v>0</v>
      </c>
      <c r="AM215" s="1224">
        <v>20</v>
      </c>
      <c r="AN215" s="1224">
        <v>30</v>
      </c>
      <c r="AO215" s="1224">
        <v>0</v>
      </c>
      <c r="AP215" s="1224">
        <v>0</v>
      </c>
      <c r="AQ215" s="1224">
        <v>0</v>
      </c>
      <c r="AR215" s="1224">
        <v>0</v>
      </c>
      <c r="AS215" s="1224">
        <v>0</v>
      </c>
      <c r="AT215" s="1224">
        <v>0</v>
      </c>
      <c r="AU215" s="1224">
        <v>40</v>
      </c>
      <c r="AV215" s="1225">
        <v>15</v>
      </c>
      <c r="AW215" s="1225">
        <v>0</v>
      </c>
      <c r="AX215" s="1225">
        <v>0</v>
      </c>
      <c r="AY215" s="1225">
        <v>0</v>
      </c>
      <c r="AZ215" s="1225">
        <v>0</v>
      </c>
      <c r="BA215" s="1248">
        <v>0</v>
      </c>
      <c r="BB215" s="1225">
        <v>15</v>
      </c>
      <c r="BC215" s="1226">
        <v>20</v>
      </c>
      <c r="BD215" s="1226">
        <v>0</v>
      </c>
      <c r="BE215" s="1226">
        <v>0</v>
      </c>
      <c r="BF215" s="1249">
        <v>0</v>
      </c>
      <c r="BG215" s="1238">
        <v>0</v>
      </c>
      <c r="BH215" s="1229">
        <v>20</v>
      </c>
      <c r="BI215" s="1224">
        <v>0</v>
      </c>
      <c r="BJ215" s="1224">
        <v>0</v>
      </c>
      <c r="BL215" s="1230">
        <v>0</v>
      </c>
      <c r="BM215" s="1230">
        <v>0</v>
      </c>
      <c r="BO215" s="1229">
        <v>0</v>
      </c>
      <c r="BP215" s="1229">
        <v>0</v>
      </c>
      <c r="BR215" s="1243" t="s">
        <v>570</v>
      </c>
      <c r="BV215" s="60"/>
    </row>
    <row r="216" spans="1:74" x14ac:dyDescent="0.25">
      <c r="A216" s="1246">
        <f t="shared" si="3"/>
        <v>213</v>
      </c>
      <c r="B216" s="930" t="str">
        <f>Coltura!C214</f>
        <v>S17</v>
      </c>
      <c r="C216" s="930" t="str">
        <f>Coltura!D214</f>
        <v>Pisello proteico da seme (granella)</v>
      </c>
      <c r="D216" s="41" t="s">
        <v>645</v>
      </c>
      <c r="E216" s="32" t="s">
        <v>645</v>
      </c>
      <c r="F216" s="1224">
        <v>50</v>
      </c>
      <c r="G216" s="1225">
        <v>80</v>
      </c>
      <c r="H216" s="1225">
        <v>110</v>
      </c>
      <c r="I216" s="1225">
        <v>50</v>
      </c>
      <c r="J216" s="1225">
        <v>110</v>
      </c>
      <c r="K216" s="1226">
        <v>130</v>
      </c>
      <c r="L216" s="1226">
        <v>190</v>
      </c>
      <c r="M216" s="1226">
        <v>70</v>
      </c>
      <c r="N216" s="1226">
        <v>190</v>
      </c>
      <c r="O216" s="32" t="s">
        <v>645</v>
      </c>
      <c r="P216" s="1224">
        <v>0</v>
      </c>
      <c r="Q216" s="1224">
        <v>20</v>
      </c>
      <c r="R216" s="1224">
        <v>0</v>
      </c>
      <c r="S216" s="1224">
        <v>15</v>
      </c>
      <c r="T216" s="1224">
        <v>0</v>
      </c>
      <c r="U216" s="1224">
        <v>15</v>
      </c>
      <c r="V216" s="1224">
        <v>15</v>
      </c>
      <c r="W216" s="1224">
        <v>0</v>
      </c>
      <c r="X216" s="1225">
        <v>0</v>
      </c>
      <c r="Y216" s="1225">
        <v>15</v>
      </c>
      <c r="Z216" s="1225">
        <v>0</v>
      </c>
      <c r="AA216" s="1225">
        <v>0</v>
      </c>
      <c r="AB216" s="1225">
        <v>0</v>
      </c>
      <c r="AC216" s="1226">
        <v>0</v>
      </c>
      <c r="AD216" s="1226">
        <v>30</v>
      </c>
      <c r="AE216" s="1226">
        <v>0</v>
      </c>
      <c r="AF216" s="1226">
        <v>0</v>
      </c>
      <c r="AG216" s="1226">
        <v>0</v>
      </c>
      <c r="AH216" s="32" t="s">
        <v>645</v>
      </c>
      <c r="AI216" s="1224">
        <v>0</v>
      </c>
      <c r="AJ216" s="1224">
        <v>20</v>
      </c>
      <c r="AK216" s="1224">
        <v>0</v>
      </c>
      <c r="AL216" s="1224">
        <v>0</v>
      </c>
      <c r="AM216" s="1224">
        <v>15</v>
      </c>
      <c r="AN216" s="1224">
        <v>30</v>
      </c>
      <c r="AO216" s="1224">
        <v>20</v>
      </c>
      <c r="AP216" s="1224">
        <v>0</v>
      </c>
      <c r="AQ216" s="1224">
        <v>0</v>
      </c>
      <c r="AR216" s="1224">
        <v>0</v>
      </c>
      <c r="AS216" s="1224">
        <v>0</v>
      </c>
      <c r="AT216" s="1224">
        <v>0</v>
      </c>
      <c r="AU216" s="1224">
        <v>30</v>
      </c>
      <c r="AV216" s="1225">
        <v>0</v>
      </c>
      <c r="AW216" s="1225">
        <v>10</v>
      </c>
      <c r="AX216" s="1225">
        <v>20</v>
      </c>
      <c r="AY216" s="1225">
        <v>0</v>
      </c>
      <c r="AZ216" s="1225">
        <v>0</v>
      </c>
      <c r="BA216" s="1248">
        <v>0</v>
      </c>
      <c r="BB216" s="1225">
        <v>30</v>
      </c>
      <c r="BC216" s="1226">
        <v>0</v>
      </c>
      <c r="BD216" s="1226">
        <v>0</v>
      </c>
      <c r="BE216" s="1226">
        <v>0</v>
      </c>
      <c r="BF216" s="1249">
        <v>0</v>
      </c>
      <c r="BG216" s="1238">
        <v>0</v>
      </c>
      <c r="BH216" s="1229">
        <v>0</v>
      </c>
      <c r="BI216" s="1224">
        <v>0</v>
      </c>
      <c r="BJ216" s="1224">
        <v>0</v>
      </c>
      <c r="BL216" s="1230">
        <v>0</v>
      </c>
      <c r="BM216" s="1230">
        <v>0</v>
      </c>
      <c r="BO216" s="1229">
        <v>0</v>
      </c>
      <c r="BP216" s="1229">
        <v>0</v>
      </c>
      <c r="BR216" s="1243" t="s">
        <v>570</v>
      </c>
      <c r="BV216" s="60"/>
    </row>
    <row r="217" spans="1:74" x14ac:dyDescent="0.25">
      <c r="A217" s="1246">
        <f t="shared" si="3"/>
        <v>214</v>
      </c>
      <c r="B217" s="930" t="str">
        <f>Coltura!C215</f>
        <v>S18</v>
      </c>
      <c r="C217" s="930" t="str">
        <f>Coltura!D215</f>
        <v>Prezzemolo da seme</v>
      </c>
      <c r="D217" s="41" t="s">
        <v>645</v>
      </c>
      <c r="E217" s="32" t="s">
        <v>645</v>
      </c>
      <c r="F217" s="1224">
        <v>100</v>
      </c>
      <c r="G217" s="1225">
        <v>150</v>
      </c>
      <c r="H217" s="1225">
        <v>200</v>
      </c>
      <c r="I217" s="1225">
        <v>100</v>
      </c>
      <c r="J217" s="1225">
        <v>200</v>
      </c>
      <c r="K217" s="1226">
        <v>190</v>
      </c>
      <c r="L217" s="1226">
        <v>280</v>
      </c>
      <c r="M217" s="1226">
        <v>90</v>
      </c>
      <c r="N217" s="1226">
        <v>280</v>
      </c>
      <c r="O217" s="32" t="s">
        <v>645</v>
      </c>
      <c r="P217" s="1224">
        <v>0</v>
      </c>
      <c r="Q217" s="1224">
        <v>20</v>
      </c>
      <c r="R217" s="1224">
        <v>0</v>
      </c>
      <c r="S217" s="1224">
        <v>15</v>
      </c>
      <c r="T217" s="1224">
        <v>0</v>
      </c>
      <c r="U217" s="1224">
        <v>15</v>
      </c>
      <c r="V217" s="1224">
        <v>15</v>
      </c>
      <c r="W217" s="1224">
        <v>0</v>
      </c>
      <c r="X217" s="1225">
        <v>0</v>
      </c>
      <c r="Y217" s="1225">
        <v>10</v>
      </c>
      <c r="Z217" s="1225">
        <v>0</v>
      </c>
      <c r="AA217" s="1225">
        <v>0</v>
      </c>
      <c r="AB217" s="1225">
        <v>0</v>
      </c>
      <c r="AC217" s="1226">
        <v>0</v>
      </c>
      <c r="AD217" s="1226">
        <v>30</v>
      </c>
      <c r="AE217" s="1226">
        <v>0</v>
      </c>
      <c r="AF217" s="1226">
        <v>0</v>
      </c>
      <c r="AG217" s="1226">
        <v>0</v>
      </c>
      <c r="AH217" s="32" t="s">
        <v>645</v>
      </c>
      <c r="AI217" s="1224">
        <v>0</v>
      </c>
      <c r="AJ217" s="1224">
        <v>20</v>
      </c>
      <c r="AK217" s="1224">
        <v>0</v>
      </c>
      <c r="AL217" s="1224">
        <v>0</v>
      </c>
      <c r="AM217" s="1224">
        <v>15</v>
      </c>
      <c r="AN217" s="1224">
        <v>20</v>
      </c>
      <c r="AO217" s="1224">
        <v>20</v>
      </c>
      <c r="AP217" s="1224">
        <v>0</v>
      </c>
      <c r="AQ217" s="1224">
        <v>0</v>
      </c>
      <c r="AR217" s="1224">
        <v>0</v>
      </c>
      <c r="AS217" s="1224">
        <v>0</v>
      </c>
      <c r="AT217" s="1224">
        <v>0</v>
      </c>
      <c r="AU217" s="1224">
        <v>20</v>
      </c>
      <c r="AV217" s="1225">
        <v>0</v>
      </c>
      <c r="AW217" s="1225">
        <v>10</v>
      </c>
      <c r="AX217" s="1225">
        <v>0</v>
      </c>
      <c r="AY217" s="1225">
        <v>0</v>
      </c>
      <c r="AZ217" s="1225">
        <v>0</v>
      </c>
      <c r="BA217" s="1225">
        <v>0</v>
      </c>
      <c r="BB217" s="1225">
        <v>10</v>
      </c>
      <c r="BC217" s="1226">
        <v>0</v>
      </c>
      <c r="BD217" s="1226">
        <v>0</v>
      </c>
      <c r="BE217" s="1226">
        <v>0</v>
      </c>
      <c r="BF217" s="1226">
        <v>0</v>
      </c>
      <c r="BG217" s="1238">
        <v>0</v>
      </c>
      <c r="BH217" s="1229">
        <v>0</v>
      </c>
      <c r="BI217" s="1224">
        <v>0</v>
      </c>
      <c r="BJ217" s="1224">
        <v>0</v>
      </c>
      <c r="BL217" s="1230">
        <v>0</v>
      </c>
      <c r="BM217" s="1230">
        <v>0</v>
      </c>
      <c r="BO217" s="1229">
        <v>0</v>
      </c>
      <c r="BP217" s="1229">
        <v>0</v>
      </c>
      <c r="BR217" s="1243" t="s">
        <v>570</v>
      </c>
      <c r="BV217" s="60"/>
    </row>
    <row r="218" spans="1:74" x14ac:dyDescent="0.25">
      <c r="A218" s="1246">
        <f t="shared" si="3"/>
        <v>215</v>
      </c>
      <c r="B218" s="930" t="str">
        <f>Coltura!C216</f>
        <v>S19</v>
      </c>
      <c r="C218" s="930" t="str">
        <f>Coltura!D216</f>
        <v>Ravanello da seme</v>
      </c>
      <c r="D218" s="41" t="s">
        <v>645</v>
      </c>
      <c r="E218" s="32" t="s">
        <v>645</v>
      </c>
      <c r="F218" s="1224">
        <v>150</v>
      </c>
      <c r="G218" s="1225">
        <v>80</v>
      </c>
      <c r="H218" s="1225">
        <v>120</v>
      </c>
      <c r="I218" s="1225">
        <v>40</v>
      </c>
      <c r="J218" s="1225">
        <v>120</v>
      </c>
      <c r="K218" s="1226">
        <v>120</v>
      </c>
      <c r="L218" s="1226">
        <v>180</v>
      </c>
      <c r="M218" s="1226">
        <v>60</v>
      </c>
      <c r="N218" s="1226">
        <v>180</v>
      </c>
      <c r="O218" s="32" t="s">
        <v>645</v>
      </c>
      <c r="P218" s="1224">
        <v>0</v>
      </c>
      <c r="Q218" s="1224">
        <v>20</v>
      </c>
      <c r="R218" s="1224">
        <v>0</v>
      </c>
      <c r="S218" s="1224">
        <v>15</v>
      </c>
      <c r="T218" s="1224">
        <v>0</v>
      </c>
      <c r="U218" s="1224">
        <v>15</v>
      </c>
      <c r="V218" s="1224">
        <v>15</v>
      </c>
      <c r="W218" s="1224">
        <v>0</v>
      </c>
      <c r="X218" s="1225">
        <v>0</v>
      </c>
      <c r="Y218" s="1225">
        <v>10</v>
      </c>
      <c r="Z218" s="1225">
        <v>0</v>
      </c>
      <c r="AA218" s="1225">
        <v>0</v>
      </c>
      <c r="AB218" s="1225">
        <v>0</v>
      </c>
      <c r="AC218" s="1226">
        <v>0</v>
      </c>
      <c r="AD218" s="1226">
        <v>30</v>
      </c>
      <c r="AE218" s="1226">
        <v>0</v>
      </c>
      <c r="AF218" s="1226">
        <v>0</v>
      </c>
      <c r="AG218" s="1226">
        <v>0</v>
      </c>
      <c r="AH218" s="32" t="s">
        <v>645</v>
      </c>
      <c r="AI218" s="1224">
        <v>0</v>
      </c>
      <c r="AJ218" s="1224">
        <v>20</v>
      </c>
      <c r="AK218" s="1224">
        <v>0</v>
      </c>
      <c r="AL218" s="1224">
        <v>0</v>
      </c>
      <c r="AM218" s="1224">
        <v>15</v>
      </c>
      <c r="AN218" s="1224">
        <v>30</v>
      </c>
      <c r="AO218" s="1224">
        <v>20</v>
      </c>
      <c r="AP218" s="1224">
        <v>0</v>
      </c>
      <c r="AQ218" s="1224">
        <v>0</v>
      </c>
      <c r="AR218" s="1224">
        <v>0</v>
      </c>
      <c r="AS218" s="1224">
        <v>0</v>
      </c>
      <c r="AT218" s="1224">
        <v>0</v>
      </c>
      <c r="AU218" s="1224">
        <v>40</v>
      </c>
      <c r="AV218" s="1225">
        <v>0</v>
      </c>
      <c r="AW218" s="1225">
        <v>10</v>
      </c>
      <c r="AX218" s="1225">
        <v>20</v>
      </c>
      <c r="AY218" s="1225">
        <v>0</v>
      </c>
      <c r="AZ218" s="1225">
        <v>0</v>
      </c>
      <c r="BA218" s="1225">
        <v>0</v>
      </c>
      <c r="BB218" s="1225">
        <v>30</v>
      </c>
      <c r="BC218" s="1226">
        <v>0</v>
      </c>
      <c r="BD218" s="1226">
        <v>0</v>
      </c>
      <c r="BE218" s="1226">
        <v>0</v>
      </c>
      <c r="BF218" s="1226">
        <v>0</v>
      </c>
      <c r="BG218" s="1238">
        <v>0</v>
      </c>
      <c r="BH218" s="1229">
        <v>0</v>
      </c>
      <c r="BI218" s="1224">
        <v>0</v>
      </c>
      <c r="BJ218" s="1224">
        <v>0</v>
      </c>
      <c r="BL218" s="1230">
        <v>0</v>
      </c>
      <c r="BM218" s="1230">
        <v>0</v>
      </c>
      <c r="BO218" s="1229">
        <v>0</v>
      </c>
      <c r="BP218" s="1229">
        <v>0</v>
      </c>
      <c r="BR218" s="1243" t="s">
        <v>570</v>
      </c>
      <c r="BV218" s="60"/>
    </row>
    <row r="219" spans="1:74" x14ac:dyDescent="0.25">
      <c r="A219" s="1246">
        <f t="shared" si="3"/>
        <v>216</v>
      </c>
      <c r="B219" s="930" t="str">
        <f>Coltura!C217</f>
        <v>S20</v>
      </c>
      <c r="C219" s="930" t="str">
        <f>Coltura!D217</f>
        <v>Segale da seme (granella)</v>
      </c>
      <c r="D219" s="41" t="s">
        <v>645</v>
      </c>
      <c r="E219" s="32">
        <v>4</v>
      </c>
      <c r="F219" s="1224">
        <v>100</v>
      </c>
      <c r="G219" s="1225">
        <v>50</v>
      </c>
      <c r="H219" s="1225">
        <v>100</v>
      </c>
      <c r="I219" s="1225">
        <v>0</v>
      </c>
      <c r="J219" s="1225">
        <v>100</v>
      </c>
      <c r="K219" s="1226">
        <v>100</v>
      </c>
      <c r="L219" s="1226">
        <v>150</v>
      </c>
      <c r="M219" s="1226">
        <v>0</v>
      </c>
      <c r="N219" s="1226">
        <v>150</v>
      </c>
      <c r="O219" s="32">
        <v>3</v>
      </c>
      <c r="P219" s="1224">
        <v>30</v>
      </c>
      <c r="Q219" s="1224">
        <v>20</v>
      </c>
      <c r="R219" s="1224">
        <v>0</v>
      </c>
      <c r="S219" s="1224">
        <v>15</v>
      </c>
      <c r="T219" s="1224">
        <v>15</v>
      </c>
      <c r="U219" s="1224">
        <v>80</v>
      </c>
      <c r="V219" s="1224">
        <v>40</v>
      </c>
      <c r="W219" s="1224">
        <v>0</v>
      </c>
      <c r="X219" s="1225">
        <v>12</v>
      </c>
      <c r="Y219" s="1225">
        <v>0</v>
      </c>
      <c r="Z219" s="1225">
        <v>0</v>
      </c>
      <c r="AA219" s="1225">
        <v>0</v>
      </c>
      <c r="AB219" s="1225">
        <v>0</v>
      </c>
      <c r="AC219" s="1226">
        <v>30</v>
      </c>
      <c r="AD219" s="1226">
        <v>0</v>
      </c>
      <c r="AE219" s="1226">
        <v>0</v>
      </c>
      <c r="AF219" s="1226">
        <v>0</v>
      </c>
      <c r="AG219" s="1226">
        <v>50</v>
      </c>
      <c r="AH219" s="32">
        <v>5</v>
      </c>
      <c r="AI219" s="1224">
        <v>30</v>
      </c>
      <c r="AJ219" s="1224">
        <v>15</v>
      </c>
      <c r="AK219" s="1224">
        <v>0</v>
      </c>
      <c r="AL219" s="1224">
        <v>0</v>
      </c>
      <c r="AM219" s="1224">
        <v>15</v>
      </c>
      <c r="AN219" s="1224">
        <v>30</v>
      </c>
      <c r="AO219" s="1224">
        <v>0</v>
      </c>
      <c r="AP219" s="1224">
        <v>0</v>
      </c>
      <c r="AQ219" s="1224">
        <v>0</v>
      </c>
      <c r="AR219" s="1224">
        <v>0</v>
      </c>
      <c r="AS219" s="1224">
        <v>0</v>
      </c>
      <c r="AT219" s="1224">
        <v>0</v>
      </c>
      <c r="AU219" s="1224">
        <v>50</v>
      </c>
      <c r="AV219" s="1225">
        <v>12</v>
      </c>
      <c r="AW219" s="1225">
        <v>0</v>
      </c>
      <c r="AX219" s="1225">
        <v>0</v>
      </c>
      <c r="AY219" s="1225">
        <v>0</v>
      </c>
      <c r="AZ219" s="1225">
        <v>0</v>
      </c>
      <c r="BA219" s="1248">
        <v>0</v>
      </c>
      <c r="BB219" s="1225">
        <v>12</v>
      </c>
      <c r="BC219" s="1226">
        <v>30</v>
      </c>
      <c r="BD219" s="1226">
        <v>0</v>
      </c>
      <c r="BE219" s="1226">
        <v>0</v>
      </c>
      <c r="BF219" s="1249">
        <v>0</v>
      </c>
      <c r="BG219" s="1238">
        <v>0</v>
      </c>
      <c r="BH219" s="1229">
        <v>30</v>
      </c>
      <c r="BI219" s="1224">
        <v>0</v>
      </c>
      <c r="BJ219" s="1224">
        <v>0</v>
      </c>
      <c r="BL219" s="1230">
        <v>0</v>
      </c>
      <c r="BM219" s="1230">
        <v>0</v>
      </c>
      <c r="BO219" s="1229">
        <v>0</v>
      </c>
      <c r="BP219" s="1229">
        <v>0</v>
      </c>
      <c r="BR219" s="1243" t="s">
        <v>570</v>
      </c>
      <c r="BV219" s="60"/>
    </row>
    <row r="220" spans="1:74" x14ac:dyDescent="0.25">
      <c r="A220" s="1246">
        <f t="shared" si="3"/>
        <v>217</v>
      </c>
      <c r="B220" s="930" t="str">
        <f>Coltura!C218</f>
        <v>S21</v>
      </c>
      <c r="C220" s="930" t="str">
        <f>Coltura!D218</f>
        <v>Soia da seme (granella)</v>
      </c>
      <c r="D220" s="41" t="s">
        <v>645</v>
      </c>
      <c r="E220" s="32">
        <v>3.5</v>
      </c>
      <c r="F220" s="1224">
        <v>0</v>
      </c>
      <c r="G220" s="1225">
        <v>50</v>
      </c>
      <c r="H220" s="1225">
        <v>100</v>
      </c>
      <c r="I220" s="1225">
        <v>30</v>
      </c>
      <c r="J220" s="1225">
        <v>100</v>
      </c>
      <c r="K220" s="1226">
        <v>80</v>
      </c>
      <c r="L220" s="1226">
        <v>120</v>
      </c>
      <c r="M220" s="1226">
        <v>30</v>
      </c>
      <c r="N220" s="1226">
        <v>120</v>
      </c>
      <c r="O220" s="32" t="s">
        <v>645</v>
      </c>
      <c r="P220" s="1224">
        <v>0</v>
      </c>
      <c r="Q220" s="1224">
        <v>0</v>
      </c>
      <c r="R220" s="1224">
        <v>0</v>
      </c>
      <c r="S220" s="1224">
        <v>15</v>
      </c>
      <c r="T220" s="1224">
        <v>0</v>
      </c>
      <c r="U220" s="1224">
        <v>40</v>
      </c>
      <c r="V220" s="1224">
        <v>40</v>
      </c>
      <c r="W220" s="1224">
        <v>0</v>
      </c>
      <c r="X220" s="1225">
        <v>0</v>
      </c>
      <c r="Y220" s="1225">
        <v>0</v>
      </c>
      <c r="Z220" s="1225">
        <v>0</v>
      </c>
      <c r="AA220" s="1225">
        <v>0</v>
      </c>
      <c r="AB220" s="1225">
        <v>10</v>
      </c>
      <c r="AC220" s="1226">
        <v>0</v>
      </c>
      <c r="AD220" s="1226">
        <v>0</v>
      </c>
      <c r="AE220" s="1226">
        <v>0</v>
      </c>
      <c r="AF220" s="1226">
        <v>0</v>
      </c>
      <c r="AG220" s="1226">
        <v>0</v>
      </c>
      <c r="AH220" s="32" t="s">
        <v>645</v>
      </c>
      <c r="AI220" s="1224">
        <v>0</v>
      </c>
      <c r="AJ220" s="1224">
        <v>15</v>
      </c>
      <c r="AK220" s="1224">
        <v>0</v>
      </c>
      <c r="AL220" s="1224">
        <v>0</v>
      </c>
      <c r="AM220" s="1224">
        <v>20</v>
      </c>
      <c r="AN220" s="1224">
        <v>30</v>
      </c>
      <c r="AO220" s="1224">
        <v>120</v>
      </c>
      <c r="AP220" s="1224">
        <v>0</v>
      </c>
      <c r="AQ220" s="1224">
        <v>0</v>
      </c>
      <c r="AR220" s="1224">
        <v>0</v>
      </c>
      <c r="AS220" s="1224">
        <v>0</v>
      </c>
      <c r="AT220" s="1224">
        <v>0</v>
      </c>
      <c r="AU220" s="1224">
        <v>120</v>
      </c>
      <c r="AV220" s="1225">
        <v>0</v>
      </c>
      <c r="AW220" s="1225">
        <v>0</v>
      </c>
      <c r="AX220" s="1225">
        <v>0</v>
      </c>
      <c r="AY220" s="1225">
        <v>0</v>
      </c>
      <c r="AZ220" s="1225">
        <v>0</v>
      </c>
      <c r="BA220" s="1225">
        <v>0</v>
      </c>
      <c r="BB220" s="1225">
        <v>0</v>
      </c>
      <c r="BC220" s="1226">
        <v>0</v>
      </c>
      <c r="BD220" s="1226">
        <v>0</v>
      </c>
      <c r="BE220" s="1226">
        <v>0</v>
      </c>
      <c r="BF220" s="1226">
        <v>0</v>
      </c>
      <c r="BG220" s="1238">
        <v>0</v>
      </c>
      <c r="BH220" s="1229">
        <v>0</v>
      </c>
      <c r="BI220" s="1224">
        <v>0</v>
      </c>
      <c r="BJ220" s="1224">
        <v>0</v>
      </c>
      <c r="BL220" s="1230">
        <v>0</v>
      </c>
      <c r="BM220" s="1230">
        <v>0</v>
      </c>
      <c r="BO220" s="1229">
        <v>0</v>
      </c>
      <c r="BP220" s="1229">
        <v>0</v>
      </c>
      <c r="BR220" s="1243" t="s">
        <v>570</v>
      </c>
      <c r="BV220" s="60"/>
    </row>
    <row r="221" spans="1:74" x14ac:dyDescent="0.25">
      <c r="A221" s="1246">
        <f t="shared" si="3"/>
        <v>218</v>
      </c>
      <c r="B221" s="930" t="str">
        <f>Coltura!C219</f>
        <v>S22</v>
      </c>
      <c r="C221" s="930" t="str">
        <f>Coltura!D219</f>
        <v>Triticale da seme (granella)</v>
      </c>
      <c r="D221" s="41" t="s">
        <v>645</v>
      </c>
      <c r="E221" s="32">
        <v>7.5</v>
      </c>
      <c r="F221" s="1224">
        <v>140</v>
      </c>
      <c r="G221" s="1225">
        <v>50</v>
      </c>
      <c r="H221" s="1225">
        <v>100</v>
      </c>
      <c r="I221" s="1225">
        <v>0</v>
      </c>
      <c r="J221" s="1225">
        <v>100</v>
      </c>
      <c r="K221" s="1226">
        <v>125</v>
      </c>
      <c r="L221" s="1226">
        <v>175</v>
      </c>
      <c r="M221" s="1226">
        <v>0</v>
      </c>
      <c r="N221" s="1226">
        <v>175</v>
      </c>
      <c r="O221" s="32">
        <v>6.5</v>
      </c>
      <c r="P221" s="1224">
        <v>30</v>
      </c>
      <c r="Q221" s="1224">
        <v>20</v>
      </c>
      <c r="R221" s="1224">
        <v>0</v>
      </c>
      <c r="S221" s="1224">
        <v>15</v>
      </c>
      <c r="T221" s="1224">
        <v>15</v>
      </c>
      <c r="U221" s="1224">
        <v>80</v>
      </c>
      <c r="V221" s="1224">
        <v>40</v>
      </c>
      <c r="W221" s="1224">
        <v>0</v>
      </c>
      <c r="X221" s="1225">
        <v>12</v>
      </c>
      <c r="Y221" s="1225">
        <v>0</v>
      </c>
      <c r="Z221" s="1225">
        <v>0</v>
      </c>
      <c r="AA221" s="1225">
        <v>0</v>
      </c>
      <c r="AB221" s="1225">
        <v>0</v>
      </c>
      <c r="AC221" s="1226">
        <v>30</v>
      </c>
      <c r="AD221" s="1226">
        <v>0</v>
      </c>
      <c r="AE221" s="1226">
        <v>0</v>
      </c>
      <c r="AF221" s="1226">
        <v>0</v>
      </c>
      <c r="AG221" s="1226">
        <v>50</v>
      </c>
      <c r="AH221" s="32">
        <v>8.5</v>
      </c>
      <c r="AI221" s="1224">
        <v>30</v>
      </c>
      <c r="AJ221" s="1224">
        <v>15</v>
      </c>
      <c r="AK221" s="1224">
        <v>0</v>
      </c>
      <c r="AL221" s="1224">
        <v>0</v>
      </c>
      <c r="AM221" s="1224">
        <v>15</v>
      </c>
      <c r="AN221" s="1224">
        <v>30</v>
      </c>
      <c r="AO221" s="1224">
        <v>0</v>
      </c>
      <c r="AP221" s="1224">
        <v>10</v>
      </c>
      <c r="AQ221" s="1224">
        <v>0</v>
      </c>
      <c r="AR221" s="1224">
        <v>0</v>
      </c>
      <c r="AS221" s="1224">
        <v>0</v>
      </c>
      <c r="AT221" s="1224">
        <v>0</v>
      </c>
      <c r="AU221" s="1224">
        <v>50</v>
      </c>
      <c r="AV221" s="1225">
        <v>12</v>
      </c>
      <c r="AW221" s="1225">
        <v>0</v>
      </c>
      <c r="AX221" s="1225">
        <v>0</v>
      </c>
      <c r="AY221" s="1225">
        <v>0</v>
      </c>
      <c r="AZ221" s="1225">
        <v>0</v>
      </c>
      <c r="BA221" s="1248">
        <v>0</v>
      </c>
      <c r="BB221" s="1225">
        <v>12</v>
      </c>
      <c r="BC221" s="1226">
        <v>30</v>
      </c>
      <c r="BD221" s="1226">
        <v>0</v>
      </c>
      <c r="BE221" s="1226">
        <v>0</v>
      </c>
      <c r="BF221" s="1249">
        <v>0</v>
      </c>
      <c r="BG221" s="1238">
        <v>0</v>
      </c>
      <c r="BH221" s="1229">
        <v>30</v>
      </c>
      <c r="BI221" s="1224">
        <v>0</v>
      </c>
      <c r="BJ221" s="1224">
        <v>0</v>
      </c>
      <c r="BL221" s="1230">
        <v>0</v>
      </c>
      <c r="BM221" s="1230">
        <v>0</v>
      </c>
      <c r="BO221" s="1229">
        <v>0</v>
      </c>
      <c r="BP221" s="1229">
        <v>0</v>
      </c>
      <c r="BR221" s="1243" t="s">
        <v>570</v>
      </c>
      <c r="BV221" s="60"/>
    </row>
    <row r="222" spans="1:74" x14ac:dyDescent="0.25">
      <c r="A222" s="1246">
        <f t="shared" si="3"/>
        <v>219</v>
      </c>
      <c r="B222" s="930" t="str">
        <f>Coltura!C220</f>
        <v>S23</v>
      </c>
      <c r="C222" s="930" t="str">
        <f>Coltura!D220</f>
        <v>Trifoglio da seme (trifoglio)</v>
      </c>
      <c r="D222" s="823" t="s">
        <v>645</v>
      </c>
      <c r="E222" s="1179" t="s">
        <v>645</v>
      </c>
      <c r="F222" s="1224">
        <v>0</v>
      </c>
      <c r="G222" s="1225">
        <v>80</v>
      </c>
      <c r="H222" s="1225">
        <v>120</v>
      </c>
      <c r="I222" s="1225">
        <v>50</v>
      </c>
      <c r="J222" s="1225">
        <v>120</v>
      </c>
      <c r="K222" s="1226">
        <v>70</v>
      </c>
      <c r="L222" s="1226">
        <v>90</v>
      </c>
      <c r="M222" s="1226">
        <v>40</v>
      </c>
      <c r="N222" s="1226">
        <v>90</v>
      </c>
      <c r="O222" s="714" t="s">
        <v>645</v>
      </c>
      <c r="P222" s="1224">
        <v>0</v>
      </c>
      <c r="Q222" s="1224">
        <v>0</v>
      </c>
      <c r="R222" s="1224">
        <v>0</v>
      </c>
      <c r="S222" s="1224">
        <v>0</v>
      </c>
      <c r="T222" s="1224">
        <v>0</v>
      </c>
      <c r="U222" s="1224">
        <v>0</v>
      </c>
      <c r="V222" s="1224">
        <v>0</v>
      </c>
      <c r="W222" s="1224">
        <v>0</v>
      </c>
      <c r="X222" s="1225">
        <v>0</v>
      </c>
      <c r="Y222" s="1225">
        <v>0</v>
      </c>
      <c r="Z222" s="1225">
        <v>0</v>
      </c>
      <c r="AA222" s="1225">
        <v>0</v>
      </c>
      <c r="AB222" s="1225">
        <v>0</v>
      </c>
      <c r="AC222" s="1226">
        <v>0</v>
      </c>
      <c r="AD222" s="1226">
        <v>0</v>
      </c>
      <c r="AE222" s="1226">
        <v>0</v>
      </c>
      <c r="AF222" s="1226">
        <v>0</v>
      </c>
      <c r="AG222" s="1226">
        <v>0</v>
      </c>
      <c r="AH222" s="714" t="s">
        <v>645</v>
      </c>
      <c r="AI222" s="1224">
        <v>0</v>
      </c>
      <c r="AJ222" s="1224">
        <v>0</v>
      </c>
      <c r="AK222" s="1224">
        <v>0</v>
      </c>
      <c r="AL222" s="1224">
        <v>0</v>
      </c>
      <c r="AM222" s="1224">
        <v>0</v>
      </c>
      <c r="AN222" s="1224">
        <v>0</v>
      </c>
      <c r="AO222" s="1224">
        <v>0</v>
      </c>
      <c r="AP222" s="1224">
        <v>0</v>
      </c>
      <c r="AQ222" s="1224">
        <v>0</v>
      </c>
      <c r="AR222" s="1224">
        <v>0</v>
      </c>
      <c r="AS222" s="1224">
        <v>0</v>
      </c>
      <c r="AT222" s="1224">
        <v>0</v>
      </c>
      <c r="AU222" s="1224">
        <v>0</v>
      </c>
      <c r="AV222" s="1225">
        <v>0</v>
      </c>
      <c r="AW222" s="1225">
        <v>0</v>
      </c>
      <c r="AX222" s="1225">
        <v>0</v>
      </c>
      <c r="AY222" s="1225">
        <v>0</v>
      </c>
      <c r="AZ222" s="1225">
        <v>0</v>
      </c>
      <c r="BA222" s="1248">
        <v>0</v>
      </c>
      <c r="BB222" s="1225">
        <v>0</v>
      </c>
      <c r="BC222" s="1226">
        <v>0</v>
      </c>
      <c r="BD222" s="1226">
        <v>0</v>
      </c>
      <c r="BE222" s="1226">
        <v>0</v>
      </c>
      <c r="BF222" s="1249">
        <v>0</v>
      </c>
      <c r="BG222" s="1238">
        <v>0</v>
      </c>
      <c r="BH222" s="1229">
        <v>0</v>
      </c>
      <c r="BI222" s="1224">
        <v>0</v>
      </c>
      <c r="BJ222" s="1224">
        <v>0</v>
      </c>
      <c r="BL222" s="1230">
        <v>0</v>
      </c>
      <c r="BM222" s="1230">
        <v>0</v>
      </c>
      <c r="BO222" s="1229">
        <v>0</v>
      </c>
      <c r="BP222" s="1229">
        <v>0</v>
      </c>
      <c r="BR222" s="1243" t="s">
        <v>570</v>
      </c>
      <c r="BV222" s="60"/>
    </row>
    <row r="223" spans="1:74" x14ac:dyDescent="0.25">
      <c r="A223" s="1246">
        <f t="shared" si="3"/>
        <v>220</v>
      </c>
      <c r="B223" s="930" t="str">
        <f>Coltura!C221</f>
        <v>BL1</v>
      </c>
      <c r="C223" s="930" t="str">
        <f>Coltura!D221</f>
        <v>Bietola da foglia</v>
      </c>
      <c r="D223" s="1297" t="s">
        <v>1149</v>
      </c>
      <c r="E223" s="32">
        <v>11.5</v>
      </c>
      <c r="F223" s="1224">
        <v>60</v>
      </c>
      <c r="G223" s="1225">
        <v>20</v>
      </c>
      <c r="H223" s="1225">
        <v>40</v>
      </c>
      <c r="I223" s="1225">
        <v>10</v>
      </c>
      <c r="J223" s="1225">
        <v>40</v>
      </c>
      <c r="K223" s="1226">
        <v>70</v>
      </c>
      <c r="L223" s="1226">
        <v>90</v>
      </c>
      <c r="M223" s="1226">
        <v>30</v>
      </c>
      <c r="N223" s="1226">
        <v>90</v>
      </c>
      <c r="O223" s="32">
        <v>10</v>
      </c>
      <c r="P223" s="1224">
        <v>10</v>
      </c>
      <c r="Q223" s="1224">
        <v>10</v>
      </c>
      <c r="R223" s="1224">
        <v>0</v>
      </c>
      <c r="S223" s="1224">
        <v>10</v>
      </c>
      <c r="T223" s="1224">
        <v>0</v>
      </c>
      <c r="U223" s="1224">
        <v>0</v>
      </c>
      <c r="V223" s="1224">
        <v>10</v>
      </c>
      <c r="W223" s="1224">
        <v>0</v>
      </c>
      <c r="X223" s="1225">
        <v>10</v>
      </c>
      <c r="Y223" s="1225">
        <v>10</v>
      </c>
      <c r="Z223" s="1225">
        <v>0</v>
      </c>
      <c r="AA223" s="1225">
        <v>0</v>
      </c>
      <c r="AB223" s="1225">
        <v>0</v>
      </c>
      <c r="AC223" s="1226">
        <v>20</v>
      </c>
      <c r="AD223" s="1226">
        <v>20</v>
      </c>
      <c r="AE223" s="1226">
        <v>0</v>
      </c>
      <c r="AF223" s="1226">
        <v>0</v>
      </c>
      <c r="AG223" s="1226">
        <v>0</v>
      </c>
      <c r="AH223" s="32">
        <v>13</v>
      </c>
      <c r="AI223" s="1224">
        <v>20</v>
      </c>
      <c r="AJ223" s="1224">
        <v>20</v>
      </c>
      <c r="AK223" s="1224">
        <v>0</v>
      </c>
      <c r="AL223" s="1224">
        <v>0</v>
      </c>
      <c r="AM223" s="1224">
        <v>0</v>
      </c>
      <c r="AN223" s="1224">
        <v>0</v>
      </c>
      <c r="AO223" s="1224">
        <v>0</v>
      </c>
      <c r="AP223" s="1224">
        <v>0</v>
      </c>
      <c r="AQ223" s="1224">
        <v>0</v>
      </c>
      <c r="AR223" s="1224">
        <v>0</v>
      </c>
      <c r="AS223" s="1224">
        <v>0</v>
      </c>
      <c r="AT223" s="1224">
        <v>0</v>
      </c>
      <c r="AU223" s="1224">
        <v>30</v>
      </c>
      <c r="AV223" s="1225">
        <v>20</v>
      </c>
      <c r="AW223" s="1225">
        <v>20</v>
      </c>
      <c r="AX223" s="1225">
        <v>0</v>
      </c>
      <c r="AY223" s="1225">
        <v>0</v>
      </c>
      <c r="AZ223" s="1225">
        <v>0</v>
      </c>
      <c r="BA223" s="1225">
        <v>0</v>
      </c>
      <c r="BB223" s="1225">
        <v>40</v>
      </c>
      <c r="BC223" s="1226">
        <v>30</v>
      </c>
      <c r="BD223" s="1226">
        <v>0</v>
      </c>
      <c r="BE223" s="1226">
        <v>0</v>
      </c>
      <c r="BF223" s="1226">
        <v>0</v>
      </c>
      <c r="BG223" s="1238">
        <v>0</v>
      </c>
      <c r="BH223" s="1229">
        <v>30</v>
      </c>
      <c r="BI223" s="1224">
        <v>0</v>
      </c>
      <c r="BJ223" s="1224">
        <v>0</v>
      </c>
      <c r="BL223" s="1230">
        <v>0</v>
      </c>
      <c r="BM223" s="1230">
        <v>0</v>
      </c>
      <c r="BO223" s="1229">
        <v>0</v>
      </c>
      <c r="BP223" s="1229">
        <v>0</v>
      </c>
      <c r="BR223" s="1243" t="s">
        <v>570</v>
      </c>
      <c r="BV223" s="60"/>
    </row>
    <row r="224" spans="1:74" x14ac:dyDescent="0.25">
      <c r="A224" s="1246">
        <f t="shared" si="3"/>
        <v>221</v>
      </c>
      <c r="B224" s="1152" t="str">
        <f>Coltura!C221</f>
        <v>BL1</v>
      </c>
      <c r="C224" s="930" t="str">
        <f>Coltura!D221</f>
        <v>Bietola da foglia</v>
      </c>
      <c r="D224" s="1297" t="s">
        <v>1150</v>
      </c>
      <c r="E224" s="32">
        <v>11.5</v>
      </c>
      <c r="F224" s="1224">
        <v>30</v>
      </c>
      <c r="G224" s="1225">
        <v>10</v>
      </c>
      <c r="H224" s="1225">
        <v>20</v>
      </c>
      <c r="I224" s="1225">
        <v>5</v>
      </c>
      <c r="J224" s="1225">
        <v>20</v>
      </c>
      <c r="K224" s="1226">
        <v>35</v>
      </c>
      <c r="L224" s="1226">
        <v>45</v>
      </c>
      <c r="M224" s="1226">
        <v>15</v>
      </c>
      <c r="N224" s="1226">
        <v>45</v>
      </c>
      <c r="O224" s="32">
        <v>10</v>
      </c>
      <c r="P224" s="1224">
        <v>10</v>
      </c>
      <c r="Q224" s="1224">
        <v>10</v>
      </c>
      <c r="R224" s="1224">
        <v>0</v>
      </c>
      <c r="S224" s="1224">
        <v>10</v>
      </c>
      <c r="T224" s="1224">
        <v>0</v>
      </c>
      <c r="U224" s="1224">
        <v>0</v>
      </c>
      <c r="V224" s="1224">
        <v>10</v>
      </c>
      <c r="W224" s="1224">
        <v>0</v>
      </c>
      <c r="X224" s="1225">
        <v>10</v>
      </c>
      <c r="Y224" s="1225">
        <v>10</v>
      </c>
      <c r="Z224" s="1225">
        <v>0</v>
      </c>
      <c r="AA224" s="1225">
        <v>0</v>
      </c>
      <c r="AB224" s="1225">
        <v>0</v>
      </c>
      <c r="AC224" s="1226">
        <v>20</v>
      </c>
      <c r="AD224" s="1226">
        <v>20</v>
      </c>
      <c r="AE224" s="1226">
        <v>0</v>
      </c>
      <c r="AF224" s="1226">
        <v>0</v>
      </c>
      <c r="AG224" s="1226">
        <v>0</v>
      </c>
      <c r="AH224" s="32">
        <v>13</v>
      </c>
      <c r="AI224" s="1224">
        <v>20</v>
      </c>
      <c r="AJ224" s="1224">
        <v>20</v>
      </c>
      <c r="AK224" s="1224">
        <v>0</v>
      </c>
      <c r="AL224" s="1224">
        <v>0</v>
      </c>
      <c r="AM224" s="1224">
        <v>0</v>
      </c>
      <c r="AN224" s="1224">
        <v>0</v>
      </c>
      <c r="AO224" s="1224">
        <v>0</v>
      </c>
      <c r="AP224" s="1224">
        <v>0</v>
      </c>
      <c r="AQ224" s="1224">
        <v>0</v>
      </c>
      <c r="AR224" s="1224">
        <v>0</v>
      </c>
      <c r="AS224" s="1224">
        <v>0</v>
      </c>
      <c r="AT224" s="1224">
        <v>0</v>
      </c>
      <c r="AU224" s="1224">
        <v>30</v>
      </c>
      <c r="AV224" s="1225">
        <v>20</v>
      </c>
      <c r="AW224" s="1225">
        <v>20</v>
      </c>
      <c r="AX224" s="1225">
        <v>0</v>
      </c>
      <c r="AY224" s="1225">
        <v>0</v>
      </c>
      <c r="AZ224" s="1225">
        <v>0</v>
      </c>
      <c r="BA224" s="1225">
        <v>0</v>
      </c>
      <c r="BB224" s="1225">
        <v>40</v>
      </c>
      <c r="BC224" s="1226">
        <v>30</v>
      </c>
      <c r="BD224" s="1226">
        <v>0</v>
      </c>
      <c r="BE224" s="1226">
        <v>0</v>
      </c>
      <c r="BF224" s="1226">
        <v>0</v>
      </c>
      <c r="BG224" s="1238">
        <v>0</v>
      </c>
      <c r="BH224" s="1229">
        <v>30</v>
      </c>
      <c r="BI224" s="1224">
        <v>0</v>
      </c>
      <c r="BJ224" s="1224">
        <v>0</v>
      </c>
      <c r="BL224" s="1230">
        <v>0</v>
      </c>
      <c r="BM224" s="1230">
        <v>0</v>
      </c>
      <c r="BO224" s="1229">
        <v>0</v>
      </c>
      <c r="BP224" s="1229">
        <v>0</v>
      </c>
      <c r="BR224" s="1243" t="s">
        <v>570</v>
      </c>
      <c r="BV224" s="60"/>
    </row>
    <row r="225" spans="1:82" x14ac:dyDescent="0.25">
      <c r="A225" s="1246">
        <f t="shared" si="3"/>
        <v>222</v>
      </c>
      <c r="B225" s="1152" t="str">
        <f>Coltura!C223</f>
        <v>BL3</v>
      </c>
      <c r="C225" s="930" t="str">
        <f>Coltura!D223</f>
        <v>Cicorino</v>
      </c>
      <c r="D225" s="1297" t="s">
        <v>1149</v>
      </c>
      <c r="E225" s="32">
        <v>12</v>
      </c>
      <c r="F225" s="1224">
        <v>60</v>
      </c>
      <c r="G225" s="1225">
        <v>20</v>
      </c>
      <c r="H225" s="1225">
        <v>40</v>
      </c>
      <c r="I225" s="1225">
        <v>10</v>
      </c>
      <c r="J225" s="1225">
        <v>40</v>
      </c>
      <c r="K225" s="1226">
        <v>50</v>
      </c>
      <c r="L225" s="1226">
        <v>90</v>
      </c>
      <c r="M225" s="1226">
        <v>30</v>
      </c>
      <c r="N225" s="1226">
        <v>90</v>
      </c>
      <c r="O225" s="32">
        <v>10</v>
      </c>
      <c r="P225" s="1224">
        <v>10</v>
      </c>
      <c r="Q225" s="1224">
        <v>10</v>
      </c>
      <c r="R225" s="1224">
        <v>0</v>
      </c>
      <c r="S225" s="1224">
        <v>10</v>
      </c>
      <c r="T225" s="1224">
        <v>0</v>
      </c>
      <c r="U225" s="1224">
        <v>0</v>
      </c>
      <c r="V225" s="1224">
        <v>10</v>
      </c>
      <c r="W225" s="1224">
        <v>0</v>
      </c>
      <c r="X225" s="1225">
        <v>10</v>
      </c>
      <c r="Y225" s="1225">
        <v>10</v>
      </c>
      <c r="Z225" s="1225">
        <v>0</v>
      </c>
      <c r="AA225" s="1225">
        <v>0</v>
      </c>
      <c r="AB225" s="1225">
        <v>0</v>
      </c>
      <c r="AC225" s="1226">
        <v>10</v>
      </c>
      <c r="AD225" s="1226">
        <v>20</v>
      </c>
      <c r="AE225" s="1226">
        <v>0</v>
      </c>
      <c r="AF225" s="1226">
        <v>0</v>
      </c>
      <c r="AG225" s="1226">
        <v>0</v>
      </c>
      <c r="AH225" s="32">
        <v>14</v>
      </c>
      <c r="AI225" s="1224">
        <v>40</v>
      </c>
      <c r="AJ225" s="1224">
        <v>20</v>
      </c>
      <c r="AK225" s="1224">
        <v>0</v>
      </c>
      <c r="AL225" s="1224">
        <v>0</v>
      </c>
      <c r="AM225" s="1224">
        <v>0</v>
      </c>
      <c r="AN225" s="1224">
        <v>0</v>
      </c>
      <c r="AO225" s="1224">
        <v>0</v>
      </c>
      <c r="AP225" s="1224">
        <v>0</v>
      </c>
      <c r="AQ225" s="1224">
        <v>0</v>
      </c>
      <c r="AR225" s="1224">
        <v>0</v>
      </c>
      <c r="AS225" s="1224">
        <v>0</v>
      </c>
      <c r="AT225" s="1224">
        <v>0</v>
      </c>
      <c r="AU225" s="1224">
        <v>40</v>
      </c>
      <c r="AV225" s="1225">
        <v>20</v>
      </c>
      <c r="AW225" s="1225">
        <v>20</v>
      </c>
      <c r="AX225" s="1225">
        <v>0</v>
      </c>
      <c r="AY225" s="1225">
        <v>0</v>
      </c>
      <c r="AZ225" s="1225">
        <v>0</v>
      </c>
      <c r="BA225" s="1225">
        <v>0</v>
      </c>
      <c r="BB225" s="1225">
        <v>40</v>
      </c>
      <c r="BC225" s="1226">
        <v>40</v>
      </c>
      <c r="BD225" s="1226">
        <v>0</v>
      </c>
      <c r="BE225" s="1226">
        <v>0</v>
      </c>
      <c r="BF225" s="1226">
        <v>0</v>
      </c>
      <c r="BG225" s="1238">
        <v>0</v>
      </c>
      <c r="BH225" s="1229">
        <v>40</v>
      </c>
      <c r="BI225" s="1224">
        <v>0</v>
      </c>
      <c r="BJ225" s="1224">
        <v>0</v>
      </c>
      <c r="BL225" s="1230">
        <v>0</v>
      </c>
      <c r="BM225" s="1230">
        <v>0</v>
      </c>
      <c r="BO225" s="1229">
        <v>0</v>
      </c>
      <c r="BP225" s="1229">
        <v>0</v>
      </c>
      <c r="BR225" s="1243" t="s">
        <v>570</v>
      </c>
      <c r="BV225" s="60"/>
    </row>
    <row r="226" spans="1:82" x14ac:dyDescent="0.25">
      <c r="A226" s="1246">
        <f t="shared" si="3"/>
        <v>223</v>
      </c>
      <c r="B226" s="1152" t="str">
        <f>Coltura!C223</f>
        <v>BL3</v>
      </c>
      <c r="C226" s="930" t="str">
        <f>Coltura!D223</f>
        <v>Cicorino</v>
      </c>
      <c r="D226" s="1297" t="s">
        <v>1150</v>
      </c>
      <c r="E226" s="32">
        <v>12</v>
      </c>
      <c r="F226" s="1224">
        <v>40</v>
      </c>
      <c r="G226" s="1225">
        <v>10</v>
      </c>
      <c r="H226" s="1225">
        <v>20</v>
      </c>
      <c r="I226" s="1225">
        <v>5</v>
      </c>
      <c r="J226" s="1225">
        <v>20</v>
      </c>
      <c r="K226" s="1226">
        <v>25</v>
      </c>
      <c r="L226" s="1226">
        <v>45</v>
      </c>
      <c r="M226" s="1226">
        <v>15</v>
      </c>
      <c r="N226" s="1226">
        <v>90</v>
      </c>
      <c r="O226" s="32">
        <v>10</v>
      </c>
      <c r="P226" s="1224">
        <v>10</v>
      </c>
      <c r="Q226" s="1224">
        <v>10</v>
      </c>
      <c r="R226" s="1224">
        <v>0</v>
      </c>
      <c r="S226" s="1224">
        <v>10</v>
      </c>
      <c r="T226" s="1224">
        <v>0</v>
      </c>
      <c r="U226" s="1224">
        <v>0</v>
      </c>
      <c r="V226" s="1224">
        <v>10</v>
      </c>
      <c r="W226" s="1224">
        <v>0</v>
      </c>
      <c r="X226" s="1225">
        <v>10</v>
      </c>
      <c r="Y226" s="1225">
        <v>10</v>
      </c>
      <c r="Z226" s="1225">
        <v>0</v>
      </c>
      <c r="AA226" s="1225">
        <v>0</v>
      </c>
      <c r="AB226" s="1225">
        <v>0</v>
      </c>
      <c r="AC226" s="1226">
        <v>10</v>
      </c>
      <c r="AD226" s="1226">
        <v>20</v>
      </c>
      <c r="AE226" s="1226">
        <v>0</v>
      </c>
      <c r="AF226" s="1226">
        <v>0</v>
      </c>
      <c r="AG226" s="1226">
        <v>0</v>
      </c>
      <c r="AH226" s="32">
        <v>14</v>
      </c>
      <c r="AI226" s="1224">
        <v>40</v>
      </c>
      <c r="AJ226" s="1224">
        <v>20</v>
      </c>
      <c r="AK226" s="1224">
        <v>0</v>
      </c>
      <c r="AL226" s="1224">
        <v>0</v>
      </c>
      <c r="AM226" s="1224">
        <v>0</v>
      </c>
      <c r="AN226" s="1224">
        <v>0</v>
      </c>
      <c r="AO226" s="1224">
        <v>0</v>
      </c>
      <c r="AP226" s="1224">
        <v>0</v>
      </c>
      <c r="AQ226" s="1224">
        <v>0</v>
      </c>
      <c r="AR226" s="1224">
        <v>0</v>
      </c>
      <c r="AS226" s="1224">
        <v>0</v>
      </c>
      <c r="AT226" s="1224">
        <v>0</v>
      </c>
      <c r="AU226" s="1224">
        <v>40</v>
      </c>
      <c r="AV226" s="1225">
        <v>20</v>
      </c>
      <c r="AW226" s="1225">
        <v>20</v>
      </c>
      <c r="AX226" s="1225">
        <v>0</v>
      </c>
      <c r="AY226" s="1225">
        <v>0</v>
      </c>
      <c r="AZ226" s="1225">
        <v>0</v>
      </c>
      <c r="BA226" s="1225">
        <v>0</v>
      </c>
      <c r="BB226" s="1225">
        <v>40</v>
      </c>
      <c r="BC226" s="1226">
        <v>40</v>
      </c>
      <c r="BD226" s="1226">
        <v>0</v>
      </c>
      <c r="BE226" s="1226">
        <v>0</v>
      </c>
      <c r="BF226" s="1226">
        <v>0</v>
      </c>
      <c r="BG226" s="1238">
        <v>0</v>
      </c>
      <c r="BH226" s="1229">
        <v>40</v>
      </c>
      <c r="BI226" s="1224">
        <v>0</v>
      </c>
      <c r="BJ226" s="1224">
        <v>0</v>
      </c>
      <c r="BL226" s="1230">
        <v>0</v>
      </c>
      <c r="BM226" s="1230">
        <v>0</v>
      </c>
      <c r="BO226" s="1229">
        <v>0</v>
      </c>
      <c r="BP226" s="1229">
        <v>0</v>
      </c>
      <c r="BR226" s="1243" t="s">
        <v>570</v>
      </c>
      <c r="BV226" s="60"/>
    </row>
    <row r="227" spans="1:82" x14ac:dyDescent="0.25">
      <c r="A227" s="1246">
        <f t="shared" si="3"/>
        <v>224</v>
      </c>
      <c r="B227" s="1152" t="str">
        <f>Coltura!C225</f>
        <v>BL5</v>
      </c>
      <c r="C227" s="930" t="str">
        <f>Coltura!D225</f>
        <v>Foglie e steli di Brassica</v>
      </c>
      <c r="D227" s="1297" t="s">
        <v>1149</v>
      </c>
      <c r="E227" s="32">
        <v>10</v>
      </c>
      <c r="F227" s="1224">
        <v>40</v>
      </c>
      <c r="G227" s="1225">
        <v>10</v>
      </c>
      <c r="H227" s="1225">
        <v>12</v>
      </c>
      <c r="I227" s="1225">
        <v>5</v>
      </c>
      <c r="J227" s="1225">
        <v>12</v>
      </c>
      <c r="K227" s="1226">
        <v>30</v>
      </c>
      <c r="L227" s="1226">
        <v>50</v>
      </c>
      <c r="M227" s="1226">
        <v>10</v>
      </c>
      <c r="N227" s="1226">
        <v>50</v>
      </c>
      <c r="O227" s="32">
        <v>8</v>
      </c>
      <c r="P227" s="1224">
        <v>10</v>
      </c>
      <c r="Q227" s="1224">
        <v>10</v>
      </c>
      <c r="R227" s="1224">
        <v>0</v>
      </c>
      <c r="S227" s="1224">
        <v>10</v>
      </c>
      <c r="T227" s="1224">
        <v>0</v>
      </c>
      <c r="U227" s="1224">
        <v>0</v>
      </c>
      <c r="V227" s="1224">
        <v>10</v>
      </c>
      <c r="W227" s="1224">
        <v>0</v>
      </c>
      <c r="X227" s="1225">
        <v>5</v>
      </c>
      <c r="Y227" s="1225">
        <v>5</v>
      </c>
      <c r="Z227" s="1225">
        <v>0</v>
      </c>
      <c r="AA227" s="1225">
        <v>0</v>
      </c>
      <c r="AB227" s="1225">
        <v>0</v>
      </c>
      <c r="AC227" s="1226">
        <v>10</v>
      </c>
      <c r="AD227" s="1226">
        <v>10</v>
      </c>
      <c r="AE227" s="1226">
        <v>0</v>
      </c>
      <c r="AF227" s="1226">
        <v>0</v>
      </c>
      <c r="AG227" s="1226">
        <v>0</v>
      </c>
      <c r="AH227" s="32">
        <v>12</v>
      </c>
      <c r="AI227" s="1224">
        <v>10</v>
      </c>
      <c r="AJ227" s="1224">
        <v>10</v>
      </c>
      <c r="AK227" s="1224">
        <v>0</v>
      </c>
      <c r="AL227" s="1224">
        <v>0</v>
      </c>
      <c r="AM227" s="1224">
        <v>0</v>
      </c>
      <c r="AN227" s="1224">
        <v>0</v>
      </c>
      <c r="AO227" s="1224">
        <v>0</v>
      </c>
      <c r="AP227" s="1224">
        <v>0</v>
      </c>
      <c r="AQ227" s="1224">
        <v>0</v>
      </c>
      <c r="AR227" s="1224">
        <v>0</v>
      </c>
      <c r="AS227" s="1224">
        <v>0</v>
      </c>
      <c r="AT227" s="1224">
        <v>0</v>
      </c>
      <c r="AU227" s="1224">
        <v>20</v>
      </c>
      <c r="AV227" s="1225">
        <v>5</v>
      </c>
      <c r="AW227" s="1225">
        <v>5</v>
      </c>
      <c r="AX227" s="1225">
        <v>0</v>
      </c>
      <c r="AY227" s="1225">
        <v>0</v>
      </c>
      <c r="AZ227" s="1225">
        <v>0</v>
      </c>
      <c r="BA227" s="1225">
        <v>0</v>
      </c>
      <c r="BB227" s="1225">
        <v>10</v>
      </c>
      <c r="BC227" s="1226">
        <v>20</v>
      </c>
      <c r="BD227" s="1226">
        <v>0</v>
      </c>
      <c r="BE227" s="1226">
        <v>0</v>
      </c>
      <c r="BF227" s="1226">
        <v>0</v>
      </c>
      <c r="BG227" s="1238">
        <v>0</v>
      </c>
      <c r="BH227" s="1229">
        <v>20</v>
      </c>
      <c r="BI227" s="1224">
        <v>0</v>
      </c>
      <c r="BJ227" s="1224">
        <v>0</v>
      </c>
      <c r="BL227" s="1230">
        <v>0</v>
      </c>
      <c r="BM227" s="1230">
        <v>0</v>
      </c>
      <c r="BO227" s="1229">
        <v>0</v>
      </c>
      <c r="BP227" s="1229">
        <v>0</v>
      </c>
      <c r="BR227" s="1243" t="s">
        <v>570</v>
      </c>
      <c r="BV227" s="60"/>
    </row>
    <row r="228" spans="1:82" x14ac:dyDescent="0.25">
      <c r="A228" s="1246">
        <f t="shared" si="3"/>
        <v>225</v>
      </c>
      <c r="B228" s="1152" t="str">
        <f>Coltura!C225</f>
        <v>BL5</v>
      </c>
      <c r="C228" s="930" t="str">
        <f>Coltura!D225</f>
        <v>Foglie e steli di Brassica</v>
      </c>
      <c r="D228" s="1297" t="s">
        <v>1150</v>
      </c>
      <c r="E228" s="32">
        <v>10</v>
      </c>
      <c r="F228" s="1224">
        <v>20</v>
      </c>
      <c r="G228" s="1225">
        <v>5</v>
      </c>
      <c r="H228" s="1225">
        <v>6</v>
      </c>
      <c r="I228" s="1225">
        <v>2.5</v>
      </c>
      <c r="J228" s="1225">
        <v>6</v>
      </c>
      <c r="K228" s="1226">
        <v>15</v>
      </c>
      <c r="L228" s="1226">
        <v>25</v>
      </c>
      <c r="M228" s="1226">
        <v>5</v>
      </c>
      <c r="N228" s="1226">
        <v>25</v>
      </c>
      <c r="O228" s="32">
        <v>8</v>
      </c>
      <c r="P228" s="1224">
        <v>10</v>
      </c>
      <c r="Q228" s="1224">
        <v>10</v>
      </c>
      <c r="R228" s="1224">
        <v>0</v>
      </c>
      <c r="S228" s="1224">
        <v>10</v>
      </c>
      <c r="T228" s="1224">
        <v>0</v>
      </c>
      <c r="U228" s="1224">
        <v>0</v>
      </c>
      <c r="V228" s="1224">
        <v>10</v>
      </c>
      <c r="W228" s="1224">
        <v>0</v>
      </c>
      <c r="X228" s="1225">
        <v>5</v>
      </c>
      <c r="Y228" s="1225">
        <v>5</v>
      </c>
      <c r="Z228" s="1225">
        <v>0</v>
      </c>
      <c r="AA228" s="1225">
        <v>0</v>
      </c>
      <c r="AB228" s="1225">
        <v>0</v>
      </c>
      <c r="AC228" s="1226">
        <v>10</v>
      </c>
      <c r="AD228" s="1226">
        <v>10</v>
      </c>
      <c r="AE228" s="1226">
        <v>0</v>
      </c>
      <c r="AF228" s="1226">
        <v>0</v>
      </c>
      <c r="AG228" s="1226">
        <v>0</v>
      </c>
      <c r="AH228" s="32">
        <v>12</v>
      </c>
      <c r="AI228" s="1224">
        <v>10</v>
      </c>
      <c r="AJ228" s="1224">
        <v>10</v>
      </c>
      <c r="AK228" s="1224">
        <v>0</v>
      </c>
      <c r="AL228" s="1224">
        <v>0</v>
      </c>
      <c r="AM228" s="1224">
        <v>0</v>
      </c>
      <c r="AN228" s="1224">
        <v>0</v>
      </c>
      <c r="AO228" s="1224">
        <v>0</v>
      </c>
      <c r="AP228" s="1224">
        <v>0</v>
      </c>
      <c r="AQ228" s="1224">
        <v>0</v>
      </c>
      <c r="AR228" s="1224">
        <v>0</v>
      </c>
      <c r="AS228" s="1224">
        <v>0</v>
      </c>
      <c r="AT228" s="1224">
        <v>0</v>
      </c>
      <c r="AU228" s="1224">
        <v>20</v>
      </c>
      <c r="AV228" s="1225">
        <v>5</v>
      </c>
      <c r="AW228" s="1225">
        <v>5</v>
      </c>
      <c r="AX228" s="1225">
        <v>0</v>
      </c>
      <c r="AY228" s="1225">
        <v>0</v>
      </c>
      <c r="AZ228" s="1225">
        <v>0</v>
      </c>
      <c r="BA228" s="1225">
        <v>0</v>
      </c>
      <c r="BB228" s="1225">
        <v>10</v>
      </c>
      <c r="BC228" s="1226">
        <v>20</v>
      </c>
      <c r="BD228" s="1226">
        <v>0</v>
      </c>
      <c r="BE228" s="1226">
        <v>0</v>
      </c>
      <c r="BF228" s="1226">
        <v>0</v>
      </c>
      <c r="BG228" s="1238">
        <v>0</v>
      </c>
      <c r="BH228" s="1229">
        <v>20</v>
      </c>
      <c r="BI228" s="1224">
        <v>0</v>
      </c>
      <c r="BJ228" s="1224">
        <v>0</v>
      </c>
      <c r="BL228" s="1230">
        <v>0</v>
      </c>
      <c r="BM228" s="1230">
        <v>0</v>
      </c>
      <c r="BO228" s="1229">
        <v>0</v>
      </c>
      <c r="BP228" s="1229">
        <v>0</v>
      </c>
      <c r="BR228" s="1243" t="s">
        <v>570</v>
      </c>
      <c r="BV228" s="60"/>
    </row>
    <row r="229" spans="1:82" x14ac:dyDescent="0.25">
      <c r="A229" s="1246">
        <f t="shared" si="3"/>
        <v>226</v>
      </c>
      <c r="B229" s="1152" t="str">
        <f>Coltura!C227</f>
        <v>BL7</v>
      </c>
      <c r="C229" s="930" t="str">
        <f>Coltura!D227</f>
        <v>Lattuga da cespo</v>
      </c>
      <c r="D229" s="1297" t="s">
        <v>1151</v>
      </c>
      <c r="E229" s="32">
        <v>32</v>
      </c>
      <c r="F229" s="1224">
        <v>110</v>
      </c>
      <c r="G229" s="1225">
        <v>70</v>
      </c>
      <c r="H229" s="1225">
        <v>90</v>
      </c>
      <c r="I229" s="1225">
        <v>50</v>
      </c>
      <c r="J229" s="1225">
        <v>90</v>
      </c>
      <c r="K229" s="1226">
        <v>150</v>
      </c>
      <c r="L229" s="1226">
        <v>220</v>
      </c>
      <c r="M229" s="1226">
        <v>80</v>
      </c>
      <c r="N229" s="1226">
        <v>220</v>
      </c>
      <c r="O229" s="32">
        <v>26</v>
      </c>
      <c r="P229" s="1224">
        <v>20</v>
      </c>
      <c r="Q229" s="1224">
        <v>20</v>
      </c>
      <c r="R229" s="1224">
        <v>0</v>
      </c>
      <c r="S229" s="1224">
        <v>15</v>
      </c>
      <c r="T229" s="1224">
        <v>0</v>
      </c>
      <c r="U229" s="1224">
        <v>15</v>
      </c>
      <c r="V229" s="1224">
        <v>15</v>
      </c>
      <c r="W229" s="1224">
        <v>20</v>
      </c>
      <c r="X229" s="1225">
        <v>15</v>
      </c>
      <c r="Y229" s="1225">
        <v>10</v>
      </c>
      <c r="Z229" s="1225">
        <v>0</v>
      </c>
      <c r="AA229" s="1225">
        <v>20</v>
      </c>
      <c r="AB229" s="1225">
        <v>0</v>
      </c>
      <c r="AC229" s="1226">
        <v>30</v>
      </c>
      <c r="AD229" s="1226">
        <v>30</v>
      </c>
      <c r="AE229" s="1226">
        <v>0</v>
      </c>
      <c r="AF229" s="1226">
        <v>20</v>
      </c>
      <c r="AG229" s="1226">
        <v>0</v>
      </c>
      <c r="AH229" s="32">
        <v>38</v>
      </c>
      <c r="AI229" s="1224">
        <v>20</v>
      </c>
      <c r="AJ229" s="1224">
        <v>20</v>
      </c>
      <c r="AK229" s="1224">
        <v>0</v>
      </c>
      <c r="AL229" s="1224">
        <v>0</v>
      </c>
      <c r="AM229" s="1224">
        <v>15</v>
      </c>
      <c r="AN229" s="1224">
        <v>30</v>
      </c>
      <c r="AO229" s="1224">
        <v>20</v>
      </c>
      <c r="AP229" s="1224">
        <v>0</v>
      </c>
      <c r="AQ229" s="1224">
        <v>0</v>
      </c>
      <c r="AR229" s="1224">
        <v>0</v>
      </c>
      <c r="AS229" s="1224">
        <v>0</v>
      </c>
      <c r="AT229" s="1224">
        <v>0</v>
      </c>
      <c r="AU229" s="1224">
        <v>30</v>
      </c>
      <c r="AV229" s="1225">
        <v>15</v>
      </c>
      <c r="AW229" s="1225">
        <v>10</v>
      </c>
      <c r="AX229" s="1225">
        <v>20</v>
      </c>
      <c r="AY229" s="1225">
        <v>0</v>
      </c>
      <c r="AZ229" s="1225">
        <v>0</v>
      </c>
      <c r="BA229" s="1225">
        <v>0</v>
      </c>
      <c r="BB229" s="1225">
        <v>45</v>
      </c>
      <c r="BC229" s="1226">
        <v>30</v>
      </c>
      <c r="BD229" s="1226">
        <v>0</v>
      </c>
      <c r="BE229" s="1226">
        <v>0</v>
      </c>
      <c r="BF229" s="1226">
        <v>0</v>
      </c>
      <c r="BG229" s="1238">
        <v>0</v>
      </c>
      <c r="BH229" s="1229">
        <v>30</v>
      </c>
      <c r="BI229" s="1224">
        <v>0</v>
      </c>
      <c r="BJ229" s="1224">
        <v>0</v>
      </c>
      <c r="BL229" s="1230">
        <v>0</v>
      </c>
      <c r="BM229" s="1230">
        <v>0</v>
      </c>
      <c r="BO229" s="1229">
        <v>0</v>
      </c>
      <c r="BP229" s="1229">
        <v>0</v>
      </c>
      <c r="BR229" s="1243" t="s">
        <v>570</v>
      </c>
      <c r="BV229" s="60"/>
    </row>
    <row r="230" spans="1:82" x14ac:dyDescent="0.25">
      <c r="A230" s="1246">
        <f t="shared" si="3"/>
        <v>227</v>
      </c>
      <c r="B230" s="1152" t="str">
        <f>Coltura!C228</f>
        <v>BL8</v>
      </c>
      <c r="C230" s="930" t="str">
        <f>Coltura!D228</f>
        <v>Lattughino 1° taglio</v>
      </c>
      <c r="D230" s="1297" t="s">
        <v>1149</v>
      </c>
      <c r="E230" s="32">
        <v>11.5</v>
      </c>
      <c r="F230" s="1224">
        <v>25</v>
      </c>
      <c r="G230" s="1225">
        <v>5</v>
      </c>
      <c r="H230" s="1225">
        <v>10</v>
      </c>
      <c r="I230" s="1225">
        <v>0</v>
      </c>
      <c r="J230" s="1225">
        <v>10</v>
      </c>
      <c r="K230" s="1226">
        <v>20</v>
      </c>
      <c r="L230" s="1226">
        <v>45</v>
      </c>
      <c r="M230" s="1226">
        <v>10</v>
      </c>
      <c r="N230" s="1226">
        <v>45</v>
      </c>
      <c r="O230" s="32">
        <v>9</v>
      </c>
      <c r="P230" s="1224">
        <v>10</v>
      </c>
      <c r="Q230" s="1224">
        <v>10</v>
      </c>
      <c r="R230" s="1224">
        <v>0</v>
      </c>
      <c r="S230" s="1224">
        <v>10</v>
      </c>
      <c r="T230" s="1224">
        <v>0</v>
      </c>
      <c r="U230" s="1224">
        <v>20</v>
      </c>
      <c r="V230" s="1224">
        <v>20</v>
      </c>
      <c r="W230" s="1224">
        <v>0</v>
      </c>
      <c r="X230" s="1225">
        <v>5</v>
      </c>
      <c r="Y230" s="1225">
        <v>5</v>
      </c>
      <c r="Z230" s="1225">
        <v>0</v>
      </c>
      <c r="AA230" s="1225">
        <v>0</v>
      </c>
      <c r="AB230" s="1225">
        <v>0</v>
      </c>
      <c r="AC230" s="1226">
        <v>10</v>
      </c>
      <c r="AD230" s="1226">
        <v>10</v>
      </c>
      <c r="AE230" s="1226">
        <v>0</v>
      </c>
      <c r="AF230" s="1226">
        <v>0</v>
      </c>
      <c r="AG230" s="1226">
        <v>0</v>
      </c>
      <c r="AH230" s="32">
        <v>14</v>
      </c>
      <c r="AI230" s="1224">
        <v>10</v>
      </c>
      <c r="AJ230" s="1224">
        <v>10</v>
      </c>
      <c r="AK230" s="1224">
        <v>0</v>
      </c>
      <c r="AL230" s="1224">
        <v>0</v>
      </c>
      <c r="AM230" s="1224">
        <v>0</v>
      </c>
      <c r="AN230" s="1224">
        <v>0</v>
      </c>
      <c r="AO230" s="1224">
        <v>0</v>
      </c>
      <c r="AP230" s="1224">
        <v>0</v>
      </c>
      <c r="AQ230" s="1224">
        <v>0</v>
      </c>
      <c r="AR230" s="1224">
        <v>0</v>
      </c>
      <c r="AS230" s="1224">
        <v>0</v>
      </c>
      <c r="AT230" s="1224">
        <v>0</v>
      </c>
      <c r="AU230" s="1224">
        <v>20</v>
      </c>
      <c r="AV230" s="1225">
        <v>5</v>
      </c>
      <c r="AW230" s="1225">
        <v>5</v>
      </c>
      <c r="AX230" s="1225">
        <v>0</v>
      </c>
      <c r="AY230" s="1225">
        <v>0</v>
      </c>
      <c r="AZ230" s="1225">
        <v>0</v>
      </c>
      <c r="BA230" s="1225">
        <v>0</v>
      </c>
      <c r="BB230" s="1225">
        <v>10</v>
      </c>
      <c r="BC230" s="1226">
        <v>20</v>
      </c>
      <c r="BD230" s="1226">
        <v>0</v>
      </c>
      <c r="BE230" s="1226">
        <v>0</v>
      </c>
      <c r="BF230" s="1226">
        <v>0</v>
      </c>
      <c r="BG230" s="1238">
        <v>0</v>
      </c>
      <c r="BH230" s="1229">
        <v>20</v>
      </c>
      <c r="BI230" s="1224">
        <v>0</v>
      </c>
      <c r="BJ230" s="1224">
        <v>0</v>
      </c>
      <c r="BL230" s="1230">
        <v>0</v>
      </c>
      <c r="BM230" s="1230">
        <v>0</v>
      </c>
      <c r="BO230" s="1229">
        <v>0</v>
      </c>
      <c r="BP230" s="1229">
        <v>0</v>
      </c>
      <c r="BR230" s="1243" t="s">
        <v>570</v>
      </c>
      <c r="BV230" s="60"/>
    </row>
    <row r="231" spans="1:82" x14ac:dyDescent="0.25">
      <c r="A231" s="1246">
        <f t="shared" si="3"/>
        <v>228</v>
      </c>
      <c r="B231" s="1152" t="str">
        <f>Coltura!C229</f>
        <v>BL9</v>
      </c>
      <c r="C231" s="930" t="str">
        <f>Coltura!D229</f>
        <v>Lattughino 2° taglio</v>
      </c>
      <c r="D231" s="1297" t="s">
        <v>1150</v>
      </c>
      <c r="E231" s="32">
        <v>11.5</v>
      </c>
      <c r="F231" s="1224">
        <v>15</v>
      </c>
      <c r="G231" s="1225">
        <v>2.5</v>
      </c>
      <c r="H231" s="1225">
        <v>5</v>
      </c>
      <c r="I231" s="1225">
        <v>0</v>
      </c>
      <c r="J231" s="1225">
        <v>5</v>
      </c>
      <c r="K231" s="1226">
        <v>10</v>
      </c>
      <c r="L231" s="1226">
        <v>22.5</v>
      </c>
      <c r="M231" s="1226">
        <v>5</v>
      </c>
      <c r="N231" s="1226">
        <v>22.5</v>
      </c>
      <c r="O231" s="32">
        <v>9</v>
      </c>
      <c r="P231" s="1224">
        <v>10</v>
      </c>
      <c r="Q231" s="1224">
        <v>10</v>
      </c>
      <c r="R231" s="1224">
        <v>0</v>
      </c>
      <c r="S231" s="1224">
        <v>10</v>
      </c>
      <c r="T231" s="1224">
        <v>0</v>
      </c>
      <c r="U231" s="1224">
        <v>20</v>
      </c>
      <c r="V231" s="1224">
        <v>20</v>
      </c>
      <c r="W231" s="1224">
        <v>0</v>
      </c>
      <c r="X231" s="1225">
        <v>5</v>
      </c>
      <c r="Y231" s="1225">
        <v>5</v>
      </c>
      <c r="Z231" s="1225">
        <v>0</v>
      </c>
      <c r="AA231" s="1225">
        <v>0</v>
      </c>
      <c r="AB231" s="1225">
        <v>0</v>
      </c>
      <c r="AC231" s="1226">
        <v>10</v>
      </c>
      <c r="AD231" s="1226">
        <v>10</v>
      </c>
      <c r="AE231" s="1226">
        <v>0</v>
      </c>
      <c r="AF231" s="1226">
        <v>0</v>
      </c>
      <c r="AG231" s="1226">
        <v>0</v>
      </c>
      <c r="AH231" s="32">
        <v>14</v>
      </c>
      <c r="AI231" s="1224">
        <v>10</v>
      </c>
      <c r="AJ231" s="1224">
        <v>10</v>
      </c>
      <c r="AK231" s="1224">
        <v>0</v>
      </c>
      <c r="AL231" s="1224">
        <v>0</v>
      </c>
      <c r="AM231" s="1224">
        <v>0</v>
      </c>
      <c r="AN231" s="1224">
        <v>0</v>
      </c>
      <c r="AO231" s="1224">
        <v>0</v>
      </c>
      <c r="AP231" s="1224">
        <v>0</v>
      </c>
      <c r="AQ231" s="1224">
        <v>0</v>
      </c>
      <c r="AR231" s="1224">
        <v>0</v>
      </c>
      <c r="AS231" s="1224">
        <v>0</v>
      </c>
      <c r="AT231" s="1224">
        <v>0</v>
      </c>
      <c r="AU231" s="1224">
        <v>20</v>
      </c>
      <c r="AV231" s="1225">
        <v>5</v>
      </c>
      <c r="AW231" s="1225">
        <v>5</v>
      </c>
      <c r="AX231" s="1225">
        <v>0</v>
      </c>
      <c r="AY231" s="1225">
        <v>0</v>
      </c>
      <c r="AZ231" s="1225">
        <v>0</v>
      </c>
      <c r="BA231" s="1225">
        <v>0</v>
      </c>
      <c r="BB231" s="1225">
        <v>10</v>
      </c>
      <c r="BC231" s="1226">
        <v>20</v>
      </c>
      <c r="BD231" s="1226">
        <v>0</v>
      </c>
      <c r="BE231" s="1226">
        <v>0</v>
      </c>
      <c r="BF231" s="1226">
        <v>0</v>
      </c>
      <c r="BG231" s="1238">
        <v>0</v>
      </c>
      <c r="BH231" s="1229">
        <v>20</v>
      </c>
      <c r="BI231" s="1224">
        <v>0</v>
      </c>
      <c r="BJ231" s="1224">
        <v>0</v>
      </c>
      <c r="BL231" s="1230">
        <v>0</v>
      </c>
      <c r="BM231" s="1230">
        <v>0</v>
      </c>
      <c r="BO231" s="1229">
        <v>0</v>
      </c>
      <c r="BP231" s="1229">
        <v>0</v>
      </c>
      <c r="BR231" s="1243" t="s">
        <v>570</v>
      </c>
      <c r="BV231" s="60"/>
    </row>
    <row r="232" spans="1:82" x14ac:dyDescent="0.25">
      <c r="A232" s="1246">
        <f t="shared" si="3"/>
        <v>229</v>
      </c>
      <c r="B232" s="1152" t="str">
        <f>Coltura!C230</f>
        <v>BL10</v>
      </c>
      <c r="C232" s="1152" t="str">
        <f>Coltura!D230</f>
        <v>Rucola 1° taglio</v>
      </c>
      <c r="D232" s="1297" t="s">
        <v>1149</v>
      </c>
      <c r="E232" s="32">
        <v>8.5</v>
      </c>
      <c r="F232" s="1224">
        <v>40</v>
      </c>
      <c r="G232" s="1225">
        <v>10</v>
      </c>
      <c r="H232" s="1225">
        <v>12</v>
      </c>
      <c r="I232" s="1225">
        <v>5</v>
      </c>
      <c r="J232" s="1225">
        <v>12</v>
      </c>
      <c r="K232" s="1226">
        <v>30</v>
      </c>
      <c r="L232" s="1226">
        <v>50</v>
      </c>
      <c r="M232" s="1226">
        <v>10</v>
      </c>
      <c r="N232" s="1226">
        <v>50</v>
      </c>
      <c r="O232" s="32">
        <v>5</v>
      </c>
      <c r="P232" s="1224">
        <v>10</v>
      </c>
      <c r="Q232" s="1224">
        <v>10</v>
      </c>
      <c r="R232" s="1224">
        <v>0</v>
      </c>
      <c r="S232" s="1224">
        <v>10</v>
      </c>
      <c r="T232" s="1224">
        <v>0</v>
      </c>
      <c r="U232" s="1224">
        <v>10</v>
      </c>
      <c r="V232" s="1224">
        <v>10</v>
      </c>
      <c r="W232" s="1224">
        <v>0</v>
      </c>
      <c r="X232" s="1225">
        <v>5</v>
      </c>
      <c r="Y232" s="1225">
        <v>5</v>
      </c>
      <c r="Z232" s="1225">
        <v>0</v>
      </c>
      <c r="AA232" s="1225">
        <v>0</v>
      </c>
      <c r="AB232" s="1225">
        <v>0</v>
      </c>
      <c r="AC232" s="1226">
        <v>10</v>
      </c>
      <c r="AD232" s="1226">
        <v>10</v>
      </c>
      <c r="AE232" s="1226">
        <v>0</v>
      </c>
      <c r="AF232" s="1226">
        <v>0</v>
      </c>
      <c r="AG232" s="1226">
        <v>0</v>
      </c>
      <c r="AH232" s="32">
        <v>10</v>
      </c>
      <c r="AI232" s="1224">
        <v>10</v>
      </c>
      <c r="AJ232" s="1224">
        <v>10</v>
      </c>
      <c r="AK232" s="1224">
        <v>0</v>
      </c>
      <c r="AL232" s="1224">
        <v>0</v>
      </c>
      <c r="AM232" s="1224">
        <v>0</v>
      </c>
      <c r="AN232" s="1224">
        <v>0</v>
      </c>
      <c r="AO232" s="1224">
        <v>0</v>
      </c>
      <c r="AP232" s="1224">
        <v>0</v>
      </c>
      <c r="AQ232" s="1224">
        <v>0</v>
      </c>
      <c r="AR232" s="1224">
        <v>0</v>
      </c>
      <c r="AS232" s="1224">
        <v>0</v>
      </c>
      <c r="AT232" s="1224">
        <v>0</v>
      </c>
      <c r="AU232" s="1224">
        <v>20</v>
      </c>
      <c r="AV232" s="1225">
        <v>5</v>
      </c>
      <c r="AW232" s="1225">
        <v>5</v>
      </c>
      <c r="AX232" s="1225">
        <v>0</v>
      </c>
      <c r="AY232" s="1225">
        <v>0</v>
      </c>
      <c r="AZ232" s="1225">
        <v>0</v>
      </c>
      <c r="BA232" s="1225">
        <v>0</v>
      </c>
      <c r="BB232" s="1225">
        <v>10</v>
      </c>
      <c r="BC232" s="1226">
        <v>20</v>
      </c>
      <c r="BD232" s="1226">
        <v>0</v>
      </c>
      <c r="BE232" s="1226">
        <v>0</v>
      </c>
      <c r="BF232" s="1226">
        <v>0</v>
      </c>
      <c r="BG232" s="1238">
        <v>0</v>
      </c>
      <c r="BH232" s="1229">
        <v>20</v>
      </c>
      <c r="BI232" s="1224">
        <v>0</v>
      </c>
      <c r="BJ232" s="1224">
        <v>0</v>
      </c>
      <c r="BL232" s="1230">
        <v>0</v>
      </c>
      <c r="BM232" s="1230">
        <v>0</v>
      </c>
      <c r="BO232" s="1229">
        <v>0</v>
      </c>
      <c r="BP232" s="1229">
        <v>0</v>
      </c>
      <c r="BR232" s="1243" t="s">
        <v>570</v>
      </c>
      <c r="BV232" s="60"/>
    </row>
    <row r="233" spans="1:82" x14ac:dyDescent="0.25">
      <c r="A233" s="1246">
        <f t="shared" si="3"/>
        <v>230</v>
      </c>
      <c r="B233" s="1152" t="str">
        <f>Coltura!C231</f>
        <v>BL11</v>
      </c>
      <c r="C233" s="1152" t="str">
        <f>Coltura!D231</f>
        <v>Rucola 2° taglio</v>
      </c>
      <c r="D233" s="1297" t="s">
        <v>1150</v>
      </c>
      <c r="E233" s="32">
        <v>8.5</v>
      </c>
      <c r="F233" s="1224">
        <v>15</v>
      </c>
      <c r="G233" s="1225">
        <v>5</v>
      </c>
      <c r="H233" s="1225">
        <v>6</v>
      </c>
      <c r="I233" s="1225">
        <v>2.5</v>
      </c>
      <c r="J233" s="1225">
        <v>6</v>
      </c>
      <c r="K233" s="1226">
        <v>15</v>
      </c>
      <c r="L233" s="1226">
        <v>25</v>
      </c>
      <c r="M233" s="1226">
        <v>5</v>
      </c>
      <c r="N233" s="1226">
        <v>25</v>
      </c>
      <c r="O233" s="32">
        <v>5</v>
      </c>
      <c r="P233" s="1224">
        <v>10</v>
      </c>
      <c r="Q233" s="1224">
        <v>10</v>
      </c>
      <c r="R233" s="1224">
        <v>0</v>
      </c>
      <c r="S233" s="1224">
        <v>10</v>
      </c>
      <c r="T233" s="1224">
        <v>0</v>
      </c>
      <c r="U233" s="1224">
        <v>10</v>
      </c>
      <c r="V233" s="1224">
        <v>10</v>
      </c>
      <c r="W233" s="1224">
        <v>0</v>
      </c>
      <c r="X233" s="1225">
        <v>5</v>
      </c>
      <c r="Y233" s="1225">
        <v>5</v>
      </c>
      <c r="Z233" s="1225">
        <v>0</v>
      </c>
      <c r="AA233" s="1225">
        <v>0</v>
      </c>
      <c r="AB233" s="1225">
        <v>0</v>
      </c>
      <c r="AC233" s="1226">
        <v>10</v>
      </c>
      <c r="AD233" s="1226">
        <v>10</v>
      </c>
      <c r="AE233" s="1226">
        <v>0</v>
      </c>
      <c r="AF233" s="1226">
        <v>0</v>
      </c>
      <c r="AG233" s="1226">
        <v>0</v>
      </c>
      <c r="AH233" s="32">
        <v>10</v>
      </c>
      <c r="AI233" s="1224">
        <v>10</v>
      </c>
      <c r="AJ233" s="1224">
        <v>10</v>
      </c>
      <c r="AK233" s="1224">
        <v>0</v>
      </c>
      <c r="AL233" s="1224">
        <v>0</v>
      </c>
      <c r="AM233" s="1224">
        <v>0</v>
      </c>
      <c r="AN233" s="1224">
        <v>0</v>
      </c>
      <c r="AO233" s="1224">
        <v>0</v>
      </c>
      <c r="AP233" s="1224">
        <v>0</v>
      </c>
      <c r="AQ233" s="1224">
        <v>0</v>
      </c>
      <c r="AR233" s="1224">
        <v>0</v>
      </c>
      <c r="AS233" s="1224">
        <v>0</v>
      </c>
      <c r="AT233" s="1224">
        <v>0</v>
      </c>
      <c r="AU233" s="1224">
        <v>20</v>
      </c>
      <c r="AV233" s="1225">
        <v>5</v>
      </c>
      <c r="AW233" s="1225">
        <v>5</v>
      </c>
      <c r="AX233" s="1225">
        <v>0</v>
      </c>
      <c r="AY233" s="1225">
        <v>0</v>
      </c>
      <c r="AZ233" s="1225">
        <v>0</v>
      </c>
      <c r="BA233" s="1225">
        <v>0</v>
      </c>
      <c r="BB233" s="1225">
        <v>10</v>
      </c>
      <c r="BC233" s="1226">
        <v>20</v>
      </c>
      <c r="BD233" s="1226">
        <v>0</v>
      </c>
      <c r="BE233" s="1226">
        <v>0</v>
      </c>
      <c r="BF233" s="1226">
        <v>0</v>
      </c>
      <c r="BG233" s="1238">
        <v>0</v>
      </c>
      <c r="BH233" s="1229">
        <v>20</v>
      </c>
      <c r="BI233" s="1224">
        <v>0</v>
      </c>
      <c r="BJ233" s="1224">
        <v>0</v>
      </c>
      <c r="BL233" s="1230">
        <v>0</v>
      </c>
      <c r="BM233" s="1230">
        <v>0</v>
      </c>
      <c r="BO233" s="1229">
        <v>0</v>
      </c>
      <c r="BP233" s="1229">
        <v>0</v>
      </c>
      <c r="BR233" s="1243" t="s">
        <v>570</v>
      </c>
      <c r="BV233" s="60"/>
    </row>
    <row r="234" spans="1:82" x14ac:dyDescent="0.25">
      <c r="A234" s="1246">
        <f t="shared" si="3"/>
        <v>231</v>
      </c>
      <c r="B234" s="1152" t="str">
        <f>Coltura!C232</f>
        <v>BL12</v>
      </c>
      <c r="C234" s="1152" t="str">
        <f>Coltura!D232</f>
        <v>Spinacino 1° taglio</v>
      </c>
      <c r="D234" s="1297" t="s">
        <v>1149</v>
      </c>
      <c r="E234" s="32">
        <v>6</v>
      </c>
      <c r="F234" s="1224">
        <v>25</v>
      </c>
      <c r="G234" s="1225">
        <v>10</v>
      </c>
      <c r="H234" s="1225">
        <v>15</v>
      </c>
      <c r="I234" s="1225">
        <v>5</v>
      </c>
      <c r="J234" s="1225">
        <v>15</v>
      </c>
      <c r="K234" s="1226">
        <v>40</v>
      </c>
      <c r="L234" s="1226">
        <v>65</v>
      </c>
      <c r="M234" s="1226">
        <v>20</v>
      </c>
      <c r="N234" s="1226">
        <v>65</v>
      </c>
      <c r="O234" s="32">
        <v>4</v>
      </c>
      <c r="P234" s="1224">
        <v>10</v>
      </c>
      <c r="Q234" s="1224">
        <v>10</v>
      </c>
      <c r="R234" s="1224">
        <v>0</v>
      </c>
      <c r="S234" s="1224">
        <v>10</v>
      </c>
      <c r="T234" s="1224">
        <v>0</v>
      </c>
      <c r="U234" s="1224">
        <v>10</v>
      </c>
      <c r="V234" s="1224">
        <v>10</v>
      </c>
      <c r="W234" s="1224">
        <v>0</v>
      </c>
      <c r="X234" s="1225">
        <v>5</v>
      </c>
      <c r="Y234" s="1225">
        <v>5</v>
      </c>
      <c r="Z234" s="1225">
        <v>0</v>
      </c>
      <c r="AA234" s="1225">
        <v>0</v>
      </c>
      <c r="AB234" s="1225">
        <v>0</v>
      </c>
      <c r="AC234" s="1226">
        <v>10</v>
      </c>
      <c r="AD234" s="1226">
        <v>10</v>
      </c>
      <c r="AE234" s="1226">
        <v>0</v>
      </c>
      <c r="AF234" s="1226">
        <v>0</v>
      </c>
      <c r="AG234" s="1226">
        <v>0</v>
      </c>
      <c r="AH234" s="32">
        <v>8</v>
      </c>
      <c r="AI234" s="1224">
        <v>10</v>
      </c>
      <c r="AJ234" s="1224">
        <v>10</v>
      </c>
      <c r="AK234" s="1224">
        <v>0</v>
      </c>
      <c r="AL234" s="1224">
        <v>0</v>
      </c>
      <c r="AM234" s="1224">
        <v>0</v>
      </c>
      <c r="AN234" s="1224">
        <v>0</v>
      </c>
      <c r="AO234" s="1224">
        <v>0</v>
      </c>
      <c r="AP234" s="1224">
        <v>0</v>
      </c>
      <c r="AQ234" s="1224">
        <v>0</v>
      </c>
      <c r="AR234" s="1224">
        <v>0</v>
      </c>
      <c r="AS234" s="1224">
        <v>0</v>
      </c>
      <c r="AT234" s="1224">
        <v>0</v>
      </c>
      <c r="AU234" s="1224">
        <v>20</v>
      </c>
      <c r="AV234" s="1225">
        <v>5</v>
      </c>
      <c r="AW234" s="1225">
        <v>5</v>
      </c>
      <c r="AX234" s="1225">
        <v>0</v>
      </c>
      <c r="AY234" s="1225">
        <v>0</v>
      </c>
      <c r="AZ234" s="1225">
        <v>0</v>
      </c>
      <c r="BA234" s="1225">
        <v>0</v>
      </c>
      <c r="BB234" s="1225">
        <v>10</v>
      </c>
      <c r="BC234" s="1226">
        <v>20</v>
      </c>
      <c r="BD234" s="1226">
        <v>0</v>
      </c>
      <c r="BE234" s="1226">
        <v>0</v>
      </c>
      <c r="BF234" s="1226">
        <v>0</v>
      </c>
      <c r="BG234" s="1238">
        <v>0</v>
      </c>
      <c r="BH234" s="1229">
        <v>20</v>
      </c>
      <c r="BI234" s="1224">
        <v>0</v>
      </c>
      <c r="BJ234" s="1224">
        <v>0</v>
      </c>
      <c r="BL234" s="1230">
        <v>0</v>
      </c>
      <c r="BM234" s="1230">
        <v>0</v>
      </c>
      <c r="BO234" s="1229">
        <v>0</v>
      </c>
      <c r="BP234" s="1229">
        <v>0</v>
      </c>
      <c r="BR234" s="1243" t="s">
        <v>570</v>
      </c>
      <c r="BV234" s="60"/>
    </row>
    <row r="235" spans="1:82" x14ac:dyDescent="0.25">
      <c r="A235" s="1246">
        <f t="shared" si="3"/>
        <v>232</v>
      </c>
      <c r="B235" s="1152" t="str">
        <f>Coltura!C233</f>
        <v>BL13</v>
      </c>
      <c r="C235" s="1152" t="str">
        <f>Coltura!D233</f>
        <v>Spinacino 2° taglio</v>
      </c>
      <c r="D235" s="1297" t="s">
        <v>1150</v>
      </c>
      <c r="E235" s="32">
        <v>6</v>
      </c>
      <c r="F235" s="1224">
        <v>15</v>
      </c>
      <c r="G235" s="1225">
        <v>5</v>
      </c>
      <c r="H235" s="1225">
        <v>7.5</v>
      </c>
      <c r="I235" s="1225">
        <v>2.5</v>
      </c>
      <c r="J235" s="1225">
        <v>7.5</v>
      </c>
      <c r="K235" s="1226">
        <v>20</v>
      </c>
      <c r="L235" s="1226">
        <v>32.5</v>
      </c>
      <c r="M235" s="1226">
        <v>10</v>
      </c>
      <c r="N235" s="1226">
        <v>32.5</v>
      </c>
      <c r="O235" s="32">
        <v>4</v>
      </c>
      <c r="P235" s="1224">
        <v>10</v>
      </c>
      <c r="Q235" s="1224">
        <v>10</v>
      </c>
      <c r="R235" s="1224">
        <v>0</v>
      </c>
      <c r="S235" s="1224">
        <v>10</v>
      </c>
      <c r="T235" s="1224">
        <v>0</v>
      </c>
      <c r="U235" s="1224">
        <v>10</v>
      </c>
      <c r="V235" s="1224">
        <v>10</v>
      </c>
      <c r="W235" s="1224">
        <v>0</v>
      </c>
      <c r="X235" s="1225">
        <v>5</v>
      </c>
      <c r="Y235" s="1225">
        <v>5</v>
      </c>
      <c r="Z235" s="1225">
        <v>0</v>
      </c>
      <c r="AA235" s="1225">
        <v>0</v>
      </c>
      <c r="AB235" s="1225">
        <v>0</v>
      </c>
      <c r="AC235" s="1226">
        <v>10</v>
      </c>
      <c r="AD235" s="1226">
        <v>10</v>
      </c>
      <c r="AE235" s="1226">
        <v>0</v>
      </c>
      <c r="AF235" s="1226">
        <v>0</v>
      </c>
      <c r="AG235" s="1226">
        <v>0</v>
      </c>
      <c r="AH235" s="32">
        <v>8</v>
      </c>
      <c r="AI235" s="1224">
        <v>10</v>
      </c>
      <c r="AJ235" s="1224">
        <v>10</v>
      </c>
      <c r="AK235" s="1224">
        <v>0</v>
      </c>
      <c r="AL235" s="1224">
        <v>0</v>
      </c>
      <c r="AM235" s="1224">
        <v>0</v>
      </c>
      <c r="AN235" s="1224">
        <v>0</v>
      </c>
      <c r="AO235" s="1224">
        <v>0</v>
      </c>
      <c r="AP235" s="1224">
        <v>0</v>
      </c>
      <c r="AQ235" s="1224">
        <v>0</v>
      </c>
      <c r="AR235" s="1224">
        <v>0</v>
      </c>
      <c r="AS235" s="1224">
        <v>0</v>
      </c>
      <c r="AT235" s="1224">
        <v>0</v>
      </c>
      <c r="AU235" s="1224">
        <v>20</v>
      </c>
      <c r="AV235" s="1225">
        <v>5</v>
      </c>
      <c r="AW235" s="1225">
        <v>5</v>
      </c>
      <c r="AX235" s="1225">
        <v>0</v>
      </c>
      <c r="AY235" s="1225">
        <v>0</v>
      </c>
      <c r="AZ235" s="1225">
        <v>0</v>
      </c>
      <c r="BA235" s="1225">
        <v>0</v>
      </c>
      <c r="BB235" s="1225">
        <v>10</v>
      </c>
      <c r="BC235" s="1226">
        <v>20</v>
      </c>
      <c r="BD235" s="1226">
        <v>0</v>
      </c>
      <c r="BE235" s="1226">
        <v>0</v>
      </c>
      <c r="BF235" s="1226">
        <v>0</v>
      </c>
      <c r="BG235" s="1238">
        <v>0</v>
      </c>
      <c r="BH235" s="1229">
        <v>20</v>
      </c>
      <c r="BI235" s="1224">
        <v>0</v>
      </c>
      <c r="BJ235" s="1224">
        <v>0</v>
      </c>
      <c r="BL235" s="1230">
        <v>0</v>
      </c>
      <c r="BM235" s="1230">
        <v>0</v>
      </c>
      <c r="BO235" s="1229">
        <v>0</v>
      </c>
      <c r="BP235" s="1229">
        <v>0</v>
      </c>
      <c r="BR235" s="1243" t="s">
        <v>570</v>
      </c>
      <c r="BV235" s="60"/>
    </row>
    <row r="236" spans="1:82" x14ac:dyDescent="0.25">
      <c r="A236" s="1246">
        <f t="shared" si="3"/>
        <v>233</v>
      </c>
      <c r="B236" s="1152" t="str">
        <f>Coltura!C234</f>
        <v>BL14</v>
      </c>
      <c r="C236" s="1152" t="str">
        <f>Coltura!D234</f>
        <v>Valerianella</v>
      </c>
      <c r="D236" s="1297" t="s">
        <v>1151</v>
      </c>
      <c r="E236" s="32">
        <v>9</v>
      </c>
      <c r="F236" s="1224">
        <v>40</v>
      </c>
      <c r="G236" s="1225">
        <v>10</v>
      </c>
      <c r="H236" s="1225">
        <v>15</v>
      </c>
      <c r="I236" s="1225">
        <v>5</v>
      </c>
      <c r="J236" s="1225">
        <v>15</v>
      </c>
      <c r="K236" s="1226">
        <v>30</v>
      </c>
      <c r="L236" s="1226">
        <v>50</v>
      </c>
      <c r="M236" s="1226">
        <v>10</v>
      </c>
      <c r="N236" s="1226">
        <v>50</v>
      </c>
      <c r="O236" s="32">
        <v>8</v>
      </c>
      <c r="P236" s="1224">
        <v>10</v>
      </c>
      <c r="Q236" s="1224">
        <v>10</v>
      </c>
      <c r="R236" s="1224">
        <v>0</v>
      </c>
      <c r="S236" s="1224">
        <v>10</v>
      </c>
      <c r="T236" s="1224">
        <v>0</v>
      </c>
      <c r="U236" s="1224">
        <v>0</v>
      </c>
      <c r="V236" s="1224">
        <v>0</v>
      </c>
      <c r="W236" s="1224">
        <v>0</v>
      </c>
      <c r="X236" s="1225">
        <v>5</v>
      </c>
      <c r="Y236" s="1225">
        <v>5</v>
      </c>
      <c r="Z236" s="1225">
        <v>0</v>
      </c>
      <c r="AA236" s="1225">
        <v>0</v>
      </c>
      <c r="AB236" s="1225">
        <v>0</v>
      </c>
      <c r="AC236" s="1226">
        <v>10</v>
      </c>
      <c r="AD236" s="1226">
        <v>10</v>
      </c>
      <c r="AE236" s="1226">
        <v>0</v>
      </c>
      <c r="AF236" s="1226">
        <v>0</v>
      </c>
      <c r="AG236" s="1226">
        <v>0</v>
      </c>
      <c r="AH236" s="32">
        <v>10</v>
      </c>
      <c r="AI236" s="1224">
        <v>20</v>
      </c>
      <c r="AJ236" s="1224">
        <v>20</v>
      </c>
      <c r="AK236" s="1224">
        <v>0</v>
      </c>
      <c r="AL236" s="1224">
        <v>0</v>
      </c>
      <c r="AM236" s="1224">
        <v>0</v>
      </c>
      <c r="AN236" s="1224">
        <v>0</v>
      </c>
      <c r="AO236" s="1224">
        <v>0</v>
      </c>
      <c r="AP236" s="1224">
        <v>0</v>
      </c>
      <c r="AQ236" s="1224">
        <v>0</v>
      </c>
      <c r="AR236" s="1224">
        <v>0</v>
      </c>
      <c r="AS236" s="1224">
        <v>0</v>
      </c>
      <c r="AT236" s="1224">
        <v>0</v>
      </c>
      <c r="AU236" s="1224">
        <v>20</v>
      </c>
      <c r="AV236" s="1225">
        <v>5</v>
      </c>
      <c r="AW236" s="1225">
        <v>5</v>
      </c>
      <c r="AX236" s="1225">
        <v>0</v>
      </c>
      <c r="AY236" s="1225">
        <v>0</v>
      </c>
      <c r="AZ236" s="1225">
        <v>0</v>
      </c>
      <c r="BA236" s="1225">
        <v>0</v>
      </c>
      <c r="BB236" s="1225">
        <v>10</v>
      </c>
      <c r="BC236" s="1226">
        <v>20</v>
      </c>
      <c r="BD236" s="1226">
        <v>0</v>
      </c>
      <c r="BE236" s="1226">
        <v>0</v>
      </c>
      <c r="BF236" s="1226">
        <v>0</v>
      </c>
      <c r="BG236" s="1238">
        <v>0</v>
      </c>
      <c r="BH236" s="1229">
        <v>20</v>
      </c>
      <c r="BI236" s="1224">
        <v>0</v>
      </c>
      <c r="BJ236" s="1224">
        <v>0</v>
      </c>
      <c r="BL236" s="1230">
        <v>0</v>
      </c>
      <c r="BM236" s="1230">
        <v>0</v>
      </c>
      <c r="BO236" s="1229">
        <v>0</v>
      </c>
      <c r="BP236" s="1229">
        <v>0</v>
      </c>
      <c r="BR236" s="1243" t="s">
        <v>570</v>
      </c>
      <c r="BV236" s="60"/>
    </row>
    <row r="237" spans="1:82" x14ac:dyDescent="0.25">
      <c r="A237" s="1246">
        <f t="shared" si="3"/>
        <v>234</v>
      </c>
      <c r="B237" s="1152" t="str">
        <f>Coltura!C235</f>
        <v>BL15</v>
      </c>
      <c r="C237" s="1152" t="str">
        <f>Coltura!D235</f>
        <v>baby leaf generica</v>
      </c>
      <c r="D237" s="1297" t="s">
        <v>1151</v>
      </c>
      <c r="E237" s="32">
        <v>10</v>
      </c>
      <c r="F237" s="1224">
        <v>40</v>
      </c>
      <c r="G237" s="1225">
        <v>10</v>
      </c>
      <c r="H237" s="1225">
        <v>12</v>
      </c>
      <c r="I237" s="1225">
        <v>5</v>
      </c>
      <c r="J237" s="1225">
        <v>12</v>
      </c>
      <c r="K237" s="1226">
        <v>30</v>
      </c>
      <c r="L237" s="1226">
        <v>50</v>
      </c>
      <c r="M237" s="1226">
        <v>10</v>
      </c>
      <c r="N237" s="1226">
        <v>50</v>
      </c>
      <c r="O237" s="32">
        <v>8</v>
      </c>
      <c r="P237" s="1224">
        <v>10</v>
      </c>
      <c r="Q237" s="1224">
        <v>10</v>
      </c>
      <c r="R237" s="1224">
        <v>0</v>
      </c>
      <c r="S237" s="1224">
        <v>10</v>
      </c>
      <c r="T237" s="1224">
        <v>0</v>
      </c>
      <c r="U237" s="1224">
        <v>0</v>
      </c>
      <c r="V237" s="1224">
        <v>10</v>
      </c>
      <c r="W237" s="1224">
        <v>0</v>
      </c>
      <c r="X237" s="1225">
        <v>5</v>
      </c>
      <c r="Y237" s="1225">
        <v>5</v>
      </c>
      <c r="Z237" s="1225">
        <v>0</v>
      </c>
      <c r="AA237" s="1225">
        <v>0</v>
      </c>
      <c r="AB237" s="1225">
        <v>0</v>
      </c>
      <c r="AC237" s="1226">
        <v>10</v>
      </c>
      <c r="AD237" s="1226">
        <v>10</v>
      </c>
      <c r="AE237" s="1226">
        <v>0</v>
      </c>
      <c r="AF237" s="1226">
        <v>0</v>
      </c>
      <c r="AG237" s="1226">
        <v>0</v>
      </c>
      <c r="AH237" s="32">
        <v>12</v>
      </c>
      <c r="AI237" s="1224">
        <v>10</v>
      </c>
      <c r="AJ237" s="1224">
        <v>10</v>
      </c>
      <c r="AK237" s="1224">
        <v>0</v>
      </c>
      <c r="AL237" s="1224">
        <v>0</v>
      </c>
      <c r="AM237" s="1224">
        <v>0</v>
      </c>
      <c r="AN237" s="1224">
        <v>0</v>
      </c>
      <c r="AO237" s="1224">
        <v>0</v>
      </c>
      <c r="AP237" s="1224">
        <v>0</v>
      </c>
      <c r="AQ237" s="1224">
        <v>0</v>
      </c>
      <c r="AR237" s="1224">
        <v>0</v>
      </c>
      <c r="AS237" s="1224">
        <v>0</v>
      </c>
      <c r="AT237" s="1224">
        <v>0</v>
      </c>
      <c r="AU237" s="1224">
        <v>20</v>
      </c>
      <c r="AV237" s="1225">
        <v>5</v>
      </c>
      <c r="AW237" s="1225">
        <v>5</v>
      </c>
      <c r="AX237" s="1225">
        <v>0</v>
      </c>
      <c r="AY237" s="1225">
        <v>0</v>
      </c>
      <c r="AZ237" s="1225">
        <v>0</v>
      </c>
      <c r="BA237" s="1225">
        <v>0</v>
      </c>
      <c r="BB237" s="1225">
        <v>10</v>
      </c>
      <c r="BC237" s="1226">
        <v>20</v>
      </c>
      <c r="BD237" s="1226">
        <v>0</v>
      </c>
      <c r="BE237" s="1226">
        <v>0</v>
      </c>
      <c r="BF237" s="1226">
        <v>0</v>
      </c>
      <c r="BG237" s="1238">
        <v>0</v>
      </c>
      <c r="BH237" s="1229">
        <v>20</v>
      </c>
      <c r="BI237" s="1224">
        <v>0</v>
      </c>
      <c r="BJ237" s="1224">
        <v>0</v>
      </c>
      <c r="BL237" s="1230">
        <v>0</v>
      </c>
      <c r="BM237" s="1230">
        <v>0</v>
      </c>
      <c r="BO237" s="1229">
        <v>0</v>
      </c>
      <c r="BP237" s="1229">
        <v>0</v>
      </c>
      <c r="BR237" s="1243" t="s">
        <v>570</v>
      </c>
      <c r="BV237" s="60"/>
    </row>
    <row r="238" spans="1:82" x14ac:dyDescent="0.25">
      <c r="A238" s="1246">
        <f t="shared" si="3"/>
        <v>235</v>
      </c>
      <c r="B238" s="1152">
        <f>Coltura!C236</f>
        <v>0</v>
      </c>
      <c r="C238" s="1152">
        <f>Coltura!D236</f>
        <v>0</v>
      </c>
      <c r="D238" s="1297"/>
      <c r="BG238" s="1238"/>
      <c r="BR238" s="1243" t="s">
        <v>570</v>
      </c>
      <c r="BV238" s="60"/>
    </row>
    <row r="239" spans="1:82" x14ac:dyDescent="0.25">
      <c r="BG239" s="1228"/>
      <c r="BR239" s="1243" t="s">
        <v>570</v>
      </c>
      <c r="BV239" s="60"/>
    </row>
    <row r="240" spans="1:82" x14ac:dyDescent="0.25">
      <c r="A240" s="33">
        <v>1</v>
      </c>
      <c r="B240" s="32">
        <v>2</v>
      </c>
      <c r="C240" s="32">
        <v>3</v>
      </c>
      <c r="D240" s="32">
        <v>4</v>
      </c>
      <c r="E240" s="49">
        <f>(D240+1)</f>
        <v>5</v>
      </c>
      <c r="F240" s="1298">
        <f t="shared" ref="F240:BF240" si="4">(E240+1)</f>
        <v>6</v>
      </c>
      <c r="G240" s="1299">
        <f t="shared" si="4"/>
        <v>7</v>
      </c>
      <c r="H240" s="1299">
        <f t="shared" si="4"/>
        <v>8</v>
      </c>
      <c r="I240" s="1299">
        <f t="shared" si="4"/>
        <v>9</v>
      </c>
      <c r="J240" s="1299">
        <f t="shared" si="4"/>
        <v>10</v>
      </c>
      <c r="K240" s="1300">
        <f t="shared" si="4"/>
        <v>11</v>
      </c>
      <c r="L240" s="1300">
        <f t="shared" si="4"/>
        <v>12</v>
      </c>
      <c r="M240" s="1300">
        <f t="shared" si="4"/>
        <v>13</v>
      </c>
      <c r="N240" s="1300">
        <f t="shared" si="4"/>
        <v>14</v>
      </c>
      <c r="O240" s="49">
        <f t="shared" si="4"/>
        <v>15</v>
      </c>
      <c r="P240" s="1298">
        <f t="shared" si="4"/>
        <v>16</v>
      </c>
      <c r="Q240" s="1298">
        <f t="shared" si="4"/>
        <v>17</v>
      </c>
      <c r="R240" s="1298">
        <f t="shared" si="4"/>
        <v>18</v>
      </c>
      <c r="S240" s="1298">
        <f t="shared" si="4"/>
        <v>19</v>
      </c>
      <c r="T240" s="1298">
        <f t="shared" si="4"/>
        <v>20</v>
      </c>
      <c r="U240" s="1298">
        <f t="shared" si="4"/>
        <v>21</v>
      </c>
      <c r="V240" s="1298">
        <f t="shared" si="4"/>
        <v>22</v>
      </c>
      <c r="W240" s="1298">
        <f t="shared" si="4"/>
        <v>23</v>
      </c>
      <c r="X240" s="1299">
        <f t="shared" si="4"/>
        <v>24</v>
      </c>
      <c r="Y240" s="1299">
        <f t="shared" si="4"/>
        <v>25</v>
      </c>
      <c r="Z240" s="1299">
        <f t="shared" si="4"/>
        <v>26</v>
      </c>
      <c r="AA240" s="1299">
        <f t="shared" si="4"/>
        <v>27</v>
      </c>
      <c r="AB240" s="1299">
        <f t="shared" si="4"/>
        <v>28</v>
      </c>
      <c r="AC240" s="1300">
        <f t="shared" si="4"/>
        <v>29</v>
      </c>
      <c r="AD240" s="1300">
        <f t="shared" si="4"/>
        <v>30</v>
      </c>
      <c r="AE240" s="1300">
        <f t="shared" si="4"/>
        <v>31</v>
      </c>
      <c r="AF240" s="1300">
        <f t="shared" si="4"/>
        <v>32</v>
      </c>
      <c r="AG240" s="1300">
        <f t="shared" si="4"/>
        <v>33</v>
      </c>
      <c r="AH240" s="49">
        <f t="shared" si="4"/>
        <v>34</v>
      </c>
      <c r="AI240" s="1298">
        <f t="shared" si="4"/>
        <v>35</v>
      </c>
      <c r="AJ240" s="1298">
        <f t="shared" si="4"/>
        <v>36</v>
      </c>
      <c r="AK240" s="1298">
        <f t="shared" si="4"/>
        <v>37</v>
      </c>
      <c r="AL240" s="1298">
        <f t="shared" si="4"/>
        <v>38</v>
      </c>
      <c r="AM240" s="1298">
        <f t="shared" si="4"/>
        <v>39</v>
      </c>
      <c r="AN240" s="1298">
        <f t="shared" si="4"/>
        <v>40</v>
      </c>
      <c r="AO240" s="1298">
        <f t="shared" si="4"/>
        <v>41</v>
      </c>
      <c r="AP240" s="1298">
        <f t="shared" si="4"/>
        <v>42</v>
      </c>
      <c r="AQ240" s="1298">
        <f t="shared" si="4"/>
        <v>43</v>
      </c>
      <c r="AR240" s="1298">
        <f t="shared" si="4"/>
        <v>44</v>
      </c>
      <c r="AS240" s="1298">
        <f t="shared" si="4"/>
        <v>45</v>
      </c>
      <c r="AT240" s="1298">
        <f t="shared" si="4"/>
        <v>46</v>
      </c>
      <c r="AU240" s="1298">
        <f t="shared" si="4"/>
        <v>47</v>
      </c>
      <c r="AV240" s="1299">
        <f t="shared" si="4"/>
        <v>48</v>
      </c>
      <c r="AW240" s="1299">
        <f t="shared" si="4"/>
        <v>49</v>
      </c>
      <c r="AX240" s="1299">
        <f t="shared" si="4"/>
        <v>50</v>
      </c>
      <c r="AY240" s="1299">
        <f t="shared" si="4"/>
        <v>51</v>
      </c>
      <c r="AZ240" s="1299">
        <f t="shared" si="4"/>
        <v>52</v>
      </c>
      <c r="BA240" s="1299">
        <f t="shared" si="4"/>
        <v>53</v>
      </c>
      <c r="BB240" s="1299">
        <f t="shared" si="4"/>
        <v>54</v>
      </c>
      <c r="BC240" s="1300">
        <f t="shared" si="4"/>
        <v>55</v>
      </c>
      <c r="BD240" s="1300">
        <f t="shared" si="4"/>
        <v>56</v>
      </c>
      <c r="BE240" s="1300">
        <f t="shared" si="4"/>
        <v>57</v>
      </c>
      <c r="BF240" s="1300">
        <f t="shared" si="4"/>
        <v>58</v>
      </c>
      <c r="BG240" s="1300">
        <f t="shared" ref="BG240" si="5">(BF240+1)</f>
        <v>59</v>
      </c>
      <c r="BH240" s="1301">
        <f t="shared" ref="BH240" si="6">(BG240+1)</f>
        <v>60</v>
      </c>
      <c r="BI240" s="1298">
        <f t="shared" ref="BI240" si="7">(BH240+1)</f>
        <v>61</v>
      </c>
      <c r="BJ240" s="1298">
        <f t="shared" ref="BJ240" si="8">(BI240+1)</f>
        <v>62</v>
      </c>
      <c r="BK240" s="1298">
        <f t="shared" ref="BK240" si="9">(BJ240+1)</f>
        <v>63</v>
      </c>
      <c r="BL240" s="1302">
        <f t="shared" ref="BL240" si="10">(BK240+1)</f>
        <v>64</v>
      </c>
      <c r="BM240" s="1302">
        <f t="shared" ref="BM240" si="11">(BL240+1)</f>
        <v>65</v>
      </c>
      <c r="BN240" s="1302">
        <f t="shared" ref="BN240" si="12">(BM240+1)</f>
        <v>66</v>
      </c>
      <c r="BO240" s="1301">
        <f t="shared" ref="BO240" si="13">(BN240+1)</f>
        <v>67</v>
      </c>
      <c r="BP240" s="1301">
        <f t="shared" ref="BP240" si="14">(BO240+1)</f>
        <v>68</v>
      </c>
      <c r="BQ240" s="1303">
        <f t="shared" ref="BQ240" si="15">(BP240+1)</f>
        <v>69</v>
      </c>
      <c r="BR240" s="59">
        <f t="shared" ref="BR240" si="16">(BQ240+1)</f>
        <v>70</v>
      </c>
      <c r="BS240" s="1304">
        <f t="shared" ref="BS240" si="17">(BR240+1)</f>
        <v>71</v>
      </c>
      <c r="BT240" s="49">
        <f t="shared" ref="BT240" si="18">(BS240+1)</f>
        <v>72</v>
      </c>
      <c r="BU240" s="49">
        <f t="shared" ref="BU240" si="19">(BT240+1)</f>
        <v>73</v>
      </c>
      <c r="BV240" s="57">
        <f t="shared" ref="BV240" si="20">(BU240+1)</f>
        <v>74</v>
      </c>
      <c r="BW240" s="1301">
        <f t="shared" ref="BW240" si="21">(BV240+1)</f>
        <v>75</v>
      </c>
      <c r="BX240" s="1301">
        <f t="shared" ref="BX240" si="22">(BW240+1)</f>
        <v>76</v>
      </c>
      <c r="BY240" s="1301">
        <f t="shared" ref="BY240" si="23">(BX240+1)</f>
        <v>77</v>
      </c>
      <c r="BZ240" s="1301">
        <f t="shared" ref="BZ240" si="24">(BY240+1)</f>
        <v>78</v>
      </c>
      <c r="CA240" s="1304">
        <f t="shared" ref="CA240" si="25">(BZ240+1)</f>
        <v>79</v>
      </c>
      <c r="CB240" s="1304">
        <f t="shared" ref="CB240" si="26">(CA240+1)</f>
        <v>80</v>
      </c>
      <c r="CC240" s="1304">
        <f t="shared" ref="CC240" si="27">(CB240+1)</f>
        <v>81</v>
      </c>
      <c r="CD240" s="1304">
        <f t="shared" ref="CD240" si="28">(CC240+1)</f>
        <v>82</v>
      </c>
    </row>
    <row r="241" spans="1:82" x14ac:dyDescent="0.25">
      <c r="B241" s="91" t="s">
        <v>605</v>
      </c>
      <c r="C241" s="92"/>
      <c r="D241" s="85"/>
      <c r="BG241" s="1228"/>
      <c r="BR241" s="61"/>
      <c r="BV241" s="60"/>
    </row>
    <row r="242" spans="1:82" ht="37.5" customHeight="1" x14ac:dyDescent="0.25">
      <c r="A242" s="1233" t="s">
        <v>23</v>
      </c>
      <c r="B242" s="396" t="s">
        <v>24</v>
      </c>
      <c r="C242" s="7" t="s">
        <v>25</v>
      </c>
      <c r="D242" s="274" t="s">
        <v>1208</v>
      </c>
      <c r="BG242" s="1228"/>
      <c r="BR242" s="61"/>
      <c r="BV242" s="60"/>
    </row>
    <row r="243" spans="1:82" ht="25.95" customHeight="1" x14ac:dyDescent="0.25">
      <c r="A243" s="49">
        <f>DGET($A$3:$BF$237,A240,$B242:$D243)</f>
        <v>50</v>
      </c>
      <c r="B243" s="1305" t="str">
        <f>Coltura!C238</f>
        <v>E17</v>
      </c>
      <c r="C243" s="1306" t="str">
        <f>Coltura!D238</f>
        <v>Grano duro (pianta intera)</v>
      </c>
      <c r="D243" s="1307" t="str">
        <f>IF(Gruppo!A9=6,Cicli_Fase!F31,"nd")</f>
        <v>nd</v>
      </c>
      <c r="E243" s="49">
        <f t="shared" ref="E243:AJ243" si="29">DGET($A$3:$BF$237,E240,$B242:$D243)</f>
        <v>6</v>
      </c>
      <c r="F243" s="1298">
        <f t="shared" si="29"/>
        <v>160</v>
      </c>
      <c r="G243" s="1299">
        <f t="shared" si="29"/>
        <v>60</v>
      </c>
      <c r="H243" s="1299">
        <f t="shared" si="29"/>
        <v>80</v>
      </c>
      <c r="I243" s="1299">
        <f t="shared" si="29"/>
        <v>0</v>
      </c>
      <c r="J243" s="1299">
        <f t="shared" si="29"/>
        <v>80</v>
      </c>
      <c r="K243" s="1300">
        <f t="shared" si="29"/>
        <v>120</v>
      </c>
      <c r="L243" s="1300">
        <f t="shared" si="29"/>
        <v>150</v>
      </c>
      <c r="M243" s="1300">
        <f t="shared" si="29"/>
        <v>0</v>
      </c>
      <c r="N243" s="1300">
        <f t="shared" si="29"/>
        <v>150</v>
      </c>
      <c r="O243" s="49">
        <f t="shared" si="29"/>
        <v>5</v>
      </c>
      <c r="P243" s="1298">
        <f t="shared" si="29"/>
        <v>25</v>
      </c>
      <c r="Q243" s="1298">
        <f t="shared" si="29"/>
        <v>20</v>
      </c>
      <c r="R243" s="1298">
        <f t="shared" si="29"/>
        <v>0</v>
      </c>
      <c r="S243" s="1298">
        <f t="shared" si="29"/>
        <v>15</v>
      </c>
      <c r="T243" s="1298">
        <f t="shared" si="29"/>
        <v>0</v>
      </c>
      <c r="U243" s="1298">
        <f t="shared" si="29"/>
        <v>80</v>
      </c>
      <c r="V243" s="1298">
        <f t="shared" si="29"/>
        <v>40</v>
      </c>
      <c r="W243" s="1298">
        <f t="shared" si="29"/>
        <v>0</v>
      </c>
      <c r="X243" s="1299">
        <f t="shared" si="29"/>
        <v>15</v>
      </c>
      <c r="Y243" s="1299">
        <f t="shared" si="29"/>
        <v>0</v>
      </c>
      <c r="Z243" s="1299">
        <f t="shared" si="29"/>
        <v>0</v>
      </c>
      <c r="AA243" s="1299">
        <f t="shared" si="29"/>
        <v>0</v>
      </c>
      <c r="AB243" s="1299">
        <f t="shared" si="29"/>
        <v>0</v>
      </c>
      <c r="AC243" s="1300">
        <f t="shared" si="29"/>
        <v>10</v>
      </c>
      <c r="AD243" s="1300">
        <f t="shared" si="29"/>
        <v>0</v>
      </c>
      <c r="AE243" s="1300">
        <f t="shared" si="29"/>
        <v>0</v>
      </c>
      <c r="AF243" s="1300">
        <f t="shared" si="29"/>
        <v>0</v>
      </c>
      <c r="AG243" s="1300">
        <f t="shared" si="29"/>
        <v>0</v>
      </c>
      <c r="AH243" s="49">
        <f t="shared" si="29"/>
        <v>7</v>
      </c>
      <c r="AI243" s="1298">
        <f t="shared" si="29"/>
        <v>25</v>
      </c>
      <c r="AJ243" s="1298">
        <f t="shared" si="29"/>
        <v>15</v>
      </c>
      <c r="AK243" s="1298">
        <f t="shared" ref="AK243:BE243" si="30">DGET($A$3:$BF$237,AK240,$B242:$D243)</f>
        <v>0</v>
      </c>
      <c r="AL243" s="1298">
        <f t="shared" si="30"/>
        <v>0</v>
      </c>
      <c r="AM243" s="1298">
        <f t="shared" si="30"/>
        <v>15</v>
      </c>
      <c r="AN243" s="1298">
        <f t="shared" si="30"/>
        <v>30</v>
      </c>
      <c r="AO243" s="1298">
        <f t="shared" si="30"/>
        <v>0</v>
      </c>
      <c r="AP243" s="1298">
        <f t="shared" si="30"/>
        <v>10</v>
      </c>
      <c r="AQ243" s="1298">
        <f t="shared" si="30"/>
        <v>0</v>
      </c>
      <c r="AR243" s="1298">
        <f t="shared" si="30"/>
        <v>0</v>
      </c>
      <c r="AS243" s="1298">
        <f t="shared" si="30"/>
        <v>0</v>
      </c>
      <c r="AT243" s="1298">
        <f t="shared" si="30"/>
        <v>0</v>
      </c>
      <c r="AU243" s="1298">
        <f t="shared" si="30"/>
        <v>40</v>
      </c>
      <c r="AV243" s="1299">
        <f t="shared" si="30"/>
        <v>15</v>
      </c>
      <c r="AW243" s="1299">
        <f t="shared" si="30"/>
        <v>0</v>
      </c>
      <c r="AX243" s="1299">
        <f t="shared" si="30"/>
        <v>0</v>
      </c>
      <c r="AY243" s="1299">
        <f t="shared" si="30"/>
        <v>0</v>
      </c>
      <c r="AZ243" s="1299">
        <f t="shared" si="30"/>
        <v>0</v>
      </c>
      <c r="BA243" s="1299">
        <f t="shared" si="30"/>
        <v>0</v>
      </c>
      <c r="BB243" s="1299">
        <f t="shared" si="30"/>
        <v>15</v>
      </c>
      <c r="BC243" s="1300">
        <f t="shared" si="30"/>
        <v>10</v>
      </c>
      <c r="BD243" s="1300">
        <f t="shared" si="30"/>
        <v>0</v>
      </c>
      <c r="BE243" s="1300">
        <f t="shared" si="30"/>
        <v>0</v>
      </c>
      <c r="BF243" s="1300">
        <f>DGET($A$3:BF$237,BF240,$B242:$D243)</f>
        <v>0</v>
      </c>
      <c r="BG243" s="1300">
        <f>DGET($A$3:BG$237,BG240,$B242:$D243)</f>
        <v>0</v>
      </c>
      <c r="BH243" s="1301">
        <f>DGET($A$3:BH$237,BH240,$B242:$D243)</f>
        <v>10</v>
      </c>
      <c r="BI243" s="1298">
        <f>DGET($A$3:BI$237,BI240,$B242:$D243)</f>
        <v>0</v>
      </c>
      <c r="BJ243" s="1298">
        <f>DGET($A$3:BJ$237,BJ240,$B242:$D243)</f>
        <v>0</v>
      </c>
      <c r="BK243" s="1298" t="e">
        <f>DGET($A$3:BK$237,BK240,$B242:$D243)</f>
        <v>#VALUE!</v>
      </c>
      <c r="BL243" s="1302">
        <f>DGET($A$3:BL$237,BL240,$B242:$D243)</f>
        <v>0</v>
      </c>
      <c r="BM243" s="1302">
        <f>DGET($A$3:BM237,BM240,$B242:$D243)</f>
        <v>0</v>
      </c>
      <c r="BN243" s="1302" t="e">
        <f>DGET($A$3:BN237,BN240,$B242:$D243)</f>
        <v>#VALUE!</v>
      </c>
      <c r="BO243" s="1301">
        <f>DGET($A$3:BO237,BO240,$B242:$D243)</f>
        <v>0</v>
      </c>
      <c r="BP243" s="1301">
        <f>DGET($A$3:BP237,BP240,$B242:$D243)</f>
        <v>0</v>
      </c>
      <c r="BQ243" s="1303" t="e">
        <f>DGET($A$3:BQ237,BQ240,$B242:$D243)</f>
        <v>#VALUE!</v>
      </c>
      <c r="BR243" s="59" t="str">
        <f>DGET($A$3:BV237,BR240,$B242:$D243)</f>
        <v>no</v>
      </c>
      <c r="BS243" s="1304" t="e">
        <f>DGET($A$3:BS237,BS240,$B242:$D243)</f>
        <v>#VALUE!</v>
      </c>
      <c r="BT243" s="1308" t="e">
        <f>DGET($A$3:BT237,BT240,$B242:$D243)</f>
        <v>#VALUE!</v>
      </c>
      <c r="BU243" s="49" t="e">
        <f>DGET($A$3:BU237,BU240,$B242:$D243)</f>
        <v>#VALUE!</v>
      </c>
      <c r="BV243" s="1309" t="e">
        <f>DGET($A$3:BV237,BV240,$B242:$D243)</f>
        <v>#VALUE!</v>
      </c>
      <c r="BW243" s="1310" t="e">
        <f>DGET($A$3:BW237,BW240,$B242:$D243)</f>
        <v>#VALUE!</v>
      </c>
      <c r="BX243" s="1310" t="e">
        <f>DGET($A$3:BX237,BX240,$B242:$D243)</f>
        <v>#VALUE!</v>
      </c>
      <c r="BY243" s="1310" t="e">
        <f>DGET($A$3:BY237,BY240,$B242:$D243)</f>
        <v>#VALUE!</v>
      </c>
      <c r="BZ243" s="1310" t="e">
        <f>DGET($A$3:BZ237,BZ240,$B242:$D243)</f>
        <v>#VALUE!</v>
      </c>
      <c r="CA243" s="1311" t="e">
        <f>DGET($A$3:CA237,CA240,$B242:$D243)</f>
        <v>#VALUE!</v>
      </c>
      <c r="CB243" s="1311" t="e">
        <f>DGET($A$3:CB237,CB240,$B242:$D243)</f>
        <v>#VALUE!</v>
      </c>
      <c r="CC243" s="1311" t="e">
        <f>DGET($A$3:CC237,CC240,$B242:$D243)</f>
        <v>#VALUE!</v>
      </c>
      <c r="CD243" s="1311" t="e">
        <f>DGET($A$3:CD237,CD240,$B242:$D243)</f>
        <v>#VALUE!</v>
      </c>
    </row>
    <row r="245" spans="1:82" x14ac:dyDescent="0.25">
      <c r="C245" s="109" t="s">
        <v>908</v>
      </c>
      <c r="D245" s="109"/>
      <c r="E245" s="1141" t="b">
        <f>ISERROR(E243)</f>
        <v>0</v>
      </c>
    </row>
    <row r="246" spans="1:82" x14ac:dyDescent="0.25">
      <c r="C246" s="32" t="s">
        <v>1139</v>
      </c>
      <c r="E246" s="41" t="s">
        <v>1256</v>
      </c>
    </row>
    <row r="247" spans="1:82" x14ac:dyDescent="0.25">
      <c r="C247" s="32" t="str">
        <f>Cicli_Fase!F31</f>
        <v>Primaverile-estiva  100–130 gg</v>
      </c>
      <c r="E247" s="52">
        <f>IF(E245=TRUE,"ND",IF(OR(Cicli_Fase!$F$30=1,Cicli_Fase!$F$30=2,Cicli_Fase!F30=15),0,IF(Cicli_Fase!$F$30=3,Standard!$E$243/3,IF(Cicli_Fase!F30=16,Standard!E243*0.66,Standard!E243))))</f>
        <v>6</v>
      </c>
      <c r="AH247" s="52">
        <f>IF(AH245=TRUE,"ND",IF(OR(Cicli_Fase!$F$30=1,Cicli_Fase!$F$30=2),0,IF(Cicli_Fase!$F$30=3,Standard!$E$243/3,Standard!AH243)))</f>
        <v>7</v>
      </c>
      <c r="BJ247" s="1312">
        <f>IF(Inserimento!$T$10&gt;Inserimento!$V$10,Standard!BJ243+Standard!BK243,Standard!BJ243)</f>
        <v>0</v>
      </c>
      <c r="BM247" s="1313">
        <f>IF(Inserimento!$T$10&gt;Inserimento!$V$10,Standard!BM243+Standard!BN243,Standard!BM243)</f>
        <v>0</v>
      </c>
      <c r="BP247" s="1314">
        <f>IF(Inserimento!$T$10&gt;Inserimento!$V$10,Standard!BP243+Standard!BQ243,Standard!BP243)</f>
        <v>0</v>
      </c>
    </row>
  </sheetData>
  <sheetProtection algorithmName="SHA-512" hashValue="Y37uehi1hy+MpY03S16Hx4c8h/Wr3W56SyiFDx3IFQnqBZzHjIX4Rd0en6qzjHR+Hur61ySJzAf2ak0kZg70Hw==" saltValue="75yr23CgGvoxOgfnxQAHrQ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39"/>
  <dimension ref="A1:S22"/>
  <sheetViews>
    <sheetView workbookViewId="0">
      <selection activeCell="B9" sqref="B7:B9"/>
    </sheetView>
  </sheetViews>
  <sheetFormatPr defaultRowHeight="13.2" x14ac:dyDescent="0.25"/>
  <cols>
    <col min="2" max="2" width="26.5546875" bestFit="1" customWidth="1"/>
    <col min="12" max="12" width="5" bestFit="1" customWidth="1"/>
    <col min="13" max="13" width="3" bestFit="1" customWidth="1"/>
    <col min="14" max="16" width="2" bestFit="1" customWidth="1"/>
    <col min="17" max="17" width="2.44140625" bestFit="1" customWidth="1"/>
    <col min="18" max="18" width="3" bestFit="1" customWidth="1"/>
    <col min="19" max="19" width="2" bestFit="1" customWidth="1"/>
  </cols>
  <sheetData>
    <row r="1" spans="1:10" x14ac:dyDescent="0.25">
      <c r="A1" t="s">
        <v>1138</v>
      </c>
      <c r="E1" t="s">
        <v>565</v>
      </c>
    </row>
    <row r="2" spans="1:10" x14ac:dyDescent="0.25">
      <c r="A2" t="s">
        <v>1139</v>
      </c>
      <c r="B2" t="s">
        <v>1140</v>
      </c>
      <c r="C2" t="s">
        <v>1141</v>
      </c>
      <c r="D2" t="s">
        <v>1142</v>
      </c>
      <c r="E2" t="s">
        <v>243</v>
      </c>
      <c r="F2" t="s">
        <v>244</v>
      </c>
      <c r="G2" t="s">
        <v>245</v>
      </c>
      <c r="H2" t="s">
        <v>569</v>
      </c>
      <c r="I2" t="s">
        <v>1143</v>
      </c>
      <c r="J2" t="s">
        <v>1144</v>
      </c>
    </row>
    <row r="3" spans="1:10" x14ac:dyDescent="0.25">
      <c r="A3" s="1">
        <f>Cicli_Fase!E3</f>
        <v>1</v>
      </c>
      <c r="B3" s="1" t="str">
        <f>Cicli_Fase!F3</f>
        <v>pre impianto</v>
      </c>
      <c r="C3">
        <v>0.2</v>
      </c>
      <c r="D3" t="s">
        <v>571</v>
      </c>
      <c r="E3">
        <v>0</v>
      </c>
      <c r="F3">
        <v>1</v>
      </c>
      <c r="G3">
        <v>1</v>
      </c>
      <c r="H3" t="s">
        <v>571</v>
      </c>
      <c r="I3" t="s">
        <v>570</v>
      </c>
      <c r="J3">
        <v>9</v>
      </c>
    </row>
    <row r="4" spans="1:10" x14ac:dyDescent="0.25">
      <c r="A4" s="1">
        <f>Cicli_Fase!E4</f>
        <v>2</v>
      </c>
      <c r="B4" s="1" t="str">
        <f>Cicli_Fase!F4</f>
        <v>I anno allev.</v>
      </c>
      <c r="C4">
        <v>1</v>
      </c>
      <c r="D4" t="s">
        <v>570</v>
      </c>
      <c r="E4">
        <v>0.4</v>
      </c>
      <c r="F4">
        <v>0.3</v>
      </c>
      <c r="G4">
        <v>0.3</v>
      </c>
      <c r="H4" t="s">
        <v>570</v>
      </c>
      <c r="I4" t="s">
        <v>571</v>
      </c>
      <c r="J4">
        <v>3</v>
      </c>
    </row>
    <row r="5" spans="1:10" x14ac:dyDescent="0.25">
      <c r="A5" s="1">
        <f>Cicli_Fase!E5</f>
        <v>3</v>
      </c>
      <c r="B5" s="1" t="str">
        <f>Cicli_Fase!F5</f>
        <v>II anno allev.</v>
      </c>
      <c r="C5">
        <v>1</v>
      </c>
      <c r="D5" t="s">
        <v>570</v>
      </c>
      <c r="E5">
        <v>0.5</v>
      </c>
      <c r="F5">
        <v>0.5</v>
      </c>
      <c r="G5">
        <v>0.5</v>
      </c>
      <c r="H5" t="s">
        <v>570</v>
      </c>
      <c r="I5" t="s">
        <v>571</v>
      </c>
      <c r="J5">
        <v>3</v>
      </c>
    </row>
    <row r="6" spans="1:10" x14ac:dyDescent="0.25">
      <c r="A6" s="1">
        <f>Cicli_Fase!E6</f>
        <v>4</v>
      </c>
      <c r="B6" s="1" t="str">
        <f>Cicli_Fase!F6</f>
        <v>piena produzione</v>
      </c>
      <c r="C6">
        <v>1</v>
      </c>
      <c r="D6" t="s">
        <v>570</v>
      </c>
      <c r="E6">
        <v>1</v>
      </c>
      <c r="F6">
        <v>1</v>
      </c>
      <c r="G6">
        <v>1</v>
      </c>
      <c r="H6" t="s">
        <v>570</v>
      </c>
      <c r="I6" t="s">
        <v>570</v>
      </c>
      <c r="J6">
        <v>3</v>
      </c>
    </row>
    <row r="7" spans="1:10" x14ac:dyDescent="0.25">
      <c r="A7" s="1">
        <f>Cicli_Fase!E7</f>
        <v>5</v>
      </c>
      <c r="B7" s="1" t="str">
        <f>Cicli_Fase!F7</f>
        <v>1° taglio</v>
      </c>
      <c r="C7">
        <v>0.11</v>
      </c>
      <c r="D7" t="s">
        <v>570</v>
      </c>
      <c r="E7">
        <v>1</v>
      </c>
      <c r="F7">
        <v>1</v>
      </c>
      <c r="G7">
        <v>1</v>
      </c>
      <c r="H7" t="s">
        <v>570</v>
      </c>
      <c r="I7" t="s">
        <v>570</v>
      </c>
      <c r="J7">
        <v>8</v>
      </c>
    </row>
    <row r="8" spans="1:10" x14ac:dyDescent="0.25">
      <c r="A8" s="1">
        <f>Cicli_Fase!E8</f>
        <v>6</v>
      </c>
      <c r="B8" s="1" t="str">
        <f>Cicli_Fase!F8</f>
        <v>2° taglio o succ.</v>
      </c>
      <c r="C8">
        <v>0.1</v>
      </c>
      <c r="D8" t="s">
        <v>570</v>
      </c>
      <c r="E8">
        <v>1</v>
      </c>
      <c r="F8">
        <v>1</v>
      </c>
      <c r="G8">
        <v>1</v>
      </c>
      <c r="H8" t="s">
        <v>570</v>
      </c>
      <c r="I8" t="s">
        <v>570</v>
      </c>
      <c r="J8">
        <v>8</v>
      </c>
    </row>
    <row r="9" spans="1:10" x14ac:dyDescent="0.25">
      <c r="A9" s="1">
        <f>Cicli_Fase!E9</f>
        <v>7</v>
      </c>
      <c r="B9" s="1" t="str">
        <f>Cicli_Fase!F9</f>
        <v>un ciclo intero</v>
      </c>
      <c r="C9">
        <v>0.12</v>
      </c>
      <c r="D9" t="s">
        <v>570</v>
      </c>
      <c r="E9">
        <v>1</v>
      </c>
      <c r="F9">
        <v>1</v>
      </c>
      <c r="G9">
        <v>1</v>
      </c>
      <c r="H9" t="s">
        <v>570</v>
      </c>
      <c r="I9" t="s">
        <v>570</v>
      </c>
      <c r="J9">
        <v>8</v>
      </c>
    </row>
    <row r="10" spans="1:10" x14ac:dyDescent="0.25">
      <c r="A10" s="1">
        <f>Cicli_Fase!E10</f>
        <v>8</v>
      </c>
      <c r="B10" s="1" t="str">
        <f>Cicli_Fase!F10</f>
        <v>secondo raccolto</v>
      </c>
      <c r="C10">
        <v>0.35</v>
      </c>
      <c r="D10" t="s">
        <v>570</v>
      </c>
      <c r="E10">
        <v>1</v>
      </c>
      <c r="F10">
        <v>1</v>
      </c>
      <c r="G10">
        <v>1</v>
      </c>
      <c r="H10" t="s">
        <v>570</v>
      </c>
      <c r="I10" t="s">
        <v>570</v>
      </c>
      <c r="J10">
        <v>2</v>
      </c>
    </row>
    <row r="11" spans="1:10" x14ac:dyDescent="0.25">
      <c r="A11" s="1">
        <f>Cicli_Fase!E11</f>
        <v>9</v>
      </c>
      <c r="B11" s="1" t="str">
        <f>Cicli_Fase!F11</f>
        <v>Primaverile-estiva &lt;70 gg</v>
      </c>
      <c r="C11">
        <v>0.3</v>
      </c>
      <c r="D11" t="s">
        <v>571</v>
      </c>
      <c r="E11">
        <v>1</v>
      </c>
      <c r="F11">
        <v>1</v>
      </c>
      <c r="G11">
        <v>1</v>
      </c>
      <c r="H11" t="s">
        <v>570</v>
      </c>
      <c r="I11" t="s">
        <v>570</v>
      </c>
      <c r="J11">
        <v>5</v>
      </c>
    </row>
    <row r="12" spans="1:10" x14ac:dyDescent="0.25">
      <c r="A12" s="1">
        <f>Cicli_Fase!E12</f>
        <v>10</v>
      </c>
      <c r="B12" s="1" t="str">
        <f>Cicli_Fase!F12</f>
        <v>Primaverile-estiva  70–100 gg</v>
      </c>
      <c r="C12">
        <v>0.5</v>
      </c>
      <c r="D12" t="s">
        <v>571</v>
      </c>
      <c r="E12">
        <v>1</v>
      </c>
      <c r="F12">
        <v>1</v>
      </c>
      <c r="G12">
        <v>1</v>
      </c>
      <c r="H12" t="s">
        <v>570</v>
      </c>
      <c r="I12" t="s">
        <v>570</v>
      </c>
      <c r="J12">
        <v>5</v>
      </c>
    </row>
    <row r="13" spans="1:10" x14ac:dyDescent="0.25">
      <c r="A13" s="1">
        <f>Cicli_Fase!E13</f>
        <v>11</v>
      </c>
      <c r="B13" s="1" t="str">
        <f>Cicli_Fase!F13</f>
        <v>Primaverile-estiva  100–130 gg</v>
      </c>
      <c r="C13">
        <v>0.67</v>
      </c>
      <c r="D13" t="s">
        <v>571</v>
      </c>
      <c r="E13">
        <v>1</v>
      </c>
      <c r="F13">
        <v>1</v>
      </c>
      <c r="G13">
        <v>1</v>
      </c>
      <c r="H13" t="s">
        <v>570</v>
      </c>
      <c r="I13" t="s">
        <v>570</v>
      </c>
      <c r="J13">
        <v>5</v>
      </c>
    </row>
    <row r="14" spans="1:10" x14ac:dyDescent="0.25">
      <c r="A14" s="1">
        <f>Cicli_Fase!E14</f>
        <v>12</v>
      </c>
      <c r="B14" s="1" t="str">
        <f>Cicli_Fase!F14</f>
        <v>Primaverile-estiva  &gt;130 gg</v>
      </c>
      <c r="C14">
        <v>0.75</v>
      </c>
      <c r="D14" t="s">
        <v>571</v>
      </c>
      <c r="E14">
        <v>1</v>
      </c>
      <c r="F14">
        <v>1</v>
      </c>
      <c r="G14">
        <v>1</v>
      </c>
      <c r="H14" t="s">
        <v>570</v>
      </c>
      <c r="I14" t="s">
        <v>570</v>
      </c>
      <c r="J14">
        <v>5</v>
      </c>
    </row>
    <row r="15" spans="1:10" x14ac:dyDescent="0.25">
      <c r="A15" s="1">
        <f>Cicli_Fase!E15</f>
        <v>13</v>
      </c>
      <c r="B15" s="1" t="str">
        <f>Cicli_Fase!F15</f>
        <v>Autunno-vernina &lt;150 gg</v>
      </c>
      <c r="C15">
        <v>0.5</v>
      </c>
      <c r="D15" t="s">
        <v>571</v>
      </c>
      <c r="E15">
        <v>1</v>
      </c>
      <c r="F15">
        <v>1</v>
      </c>
      <c r="G15">
        <v>1</v>
      </c>
      <c r="H15" t="s">
        <v>570</v>
      </c>
      <c r="I15" t="s">
        <v>570</v>
      </c>
      <c r="J15">
        <v>1</v>
      </c>
    </row>
    <row r="16" spans="1:10" x14ac:dyDescent="0.25">
      <c r="A16" s="1">
        <f>Cicli_Fase!E16</f>
        <v>14</v>
      </c>
      <c r="B16" s="1" t="str">
        <f>Cicli_Fase!F16</f>
        <v>Autunno-vernina &gt;150 gg</v>
      </c>
      <c r="C16">
        <v>0.6</v>
      </c>
      <c r="D16" t="s">
        <v>571</v>
      </c>
      <c r="E16">
        <v>1</v>
      </c>
      <c r="F16">
        <v>1</v>
      </c>
      <c r="G16">
        <v>1</v>
      </c>
      <c r="H16" t="s">
        <v>570</v>
      </c>
      <c r="I16" t="s">
        <v>570</v>
      </c>
      <c r="J16">
        <v>1</v>
      </c>
    </row>
    <row r="17" spans="1:19" x14ac:dyDescent="0.25">
      <c r="A17" s="1">
        <f>Cicli_Fase!E17</f>
        <v>15</v>
      </c>
      <c r="B17" s="1" t="str">
        <f>Cicli_Fase!F17</f>
        <v>pre impianto autunno</v>
      </c>
      <c r="C17">
        <v>0.35</v>
      </c>
      <c r="D17" t="s">
        <v>571</v>
      </c>
      <c r="E17">
        <v>0</v>
      </c>
      <c r="F17">
        <v>1</v>
      </c>
      <c r="G17">
        <v>1</v>
      </c>
      <c r="H17" t="s">
        <v>571</v>
      </c>
      <c r="I17" t="s">
        <v>570</v>
      </c>
      <c r="J17">
        <v>7</v>
      </c>
      <c r="L17">
        <v>0.75</v>
      </c>
      <c r="M17" t="s">
        <v>571</v>
      </c>
      <c r="N17">
        <v>1</v>
      </c>
      <c r="O17">
        <v>1</v>
      </c>
      <c r="P17">
        <v>1</v>
      </c>
      <c r="Q17" t="s">
        <v>571</v>
      </c>
      <c r="R17" t="s">
        <v>570</v>
      </c>
      <c r="S17">
        <v>6</v>
      </c>
    </row>
    <row r="18" spans="1:19" x14ac:dyDescent="0.25">
      <c r="A18" s="1">
        <f>Cicli_Fase!E18</f>
        <v>16</v>
      </c>
      <c r="B18" s="1" t="str">
        <f>Cicli_Fase!F18</f>
        <v>1° anno - impianto a primavera</v>
      </c>
      <c r="C18">
        <v>0.75</v>
      </c>
      <c r="D18" t="s">
        <v>571</v>
      </c>
      <c r="E18">
        <v>1</v>
      </c>
      <c r="F18">
        <v>1</v>
      </c>
      <c r="G18">
        <v>1</v>
      </c>
      <c r="H18" t="s">
        <v>571</v>
      </c>
      <c r="I18" t="s">
        <v>570</v>
      </c>
      <c r="J18">
        <v>6</v>
      </c>
      <c r="L18">
        <v>0.35</v>
      </c>
      <c r="M18" t="s">
        <v>570</v>
      </c>
      <c r="N18">
        <v>1</v>
      </c>
      <c r="O18">
        <v>1</v>
      </c>
      <c r="P18">
        <v>1</v>
      </c>
      <c r="Q18" t="s">
        <v>571</v>
      </c>
      <c r="R18" t="s">
        <v>570</v>
      </c>
      <c r="S18">
        <v>7</v>
      </c>
    </row>
    <row r="19" spans="1:19" ht="13.8" thickBot="1" x14ac:dyDescent="0.3">
      <c r="A19" s="218">
        <f>Cicli_Fase!E19</f>
        <v>17</v>
      </c>
      <c r="B19" s="218" t="str">
        <f>Cicli_Fase!F19</f>
        <v>In produzione</v>
      </c>
      <c r="C19" s="181">
        <v>1</v>
      </c>
      <c r="D19" s="181" t="s">
        <v>570</v>
      </c>
      <c r="E19" s="181">
        <v>1</v>
      </c>
      <c r="F19" s="181">
        <v>1</v>
      </c>
      <c r="G19" s="181">
        <v>1</v>
      </c>
      <c r="H19" s="181" t="s">
        <v>570</v>
      </c>
      <c r="I19" s="181" t="s">
        <v>570</v>
      </c>
      <c r="J19" s="181">
        <v>4</v>
      </c>
      <c r="K19" s="181"/>
    </row>
    <row r="20" spans="1:19" x14ac:dyDescent="0.25">
      <c r="B20" s="3">
        <v>2</v>
      </c>
      <c r="C20" s="3">
        <v>3</v>
      </c>
      <c r="D20" s="3">
        <v>4</v>
      </c>
      <c r="E20" s="3">
        <v>5</v>
      </c>
      <c r="F20" s="3">
        <v>6</v>
      </c>
      <c r="G20" s="3">
        <v>7</v>
      </c>
      <c r="H20" s="3">
        <v>8</v>
      </c>
      <c r="I20" s="3">
        <v>9</v>
      </c>
      <c r="J20" s="3">
        <v>10</v>
      </c>
    </row>
    <row r="21" spans="1:19" x14ac:dyDescent="0.25">
      <c r="A21" t="s">
        <v>1139</v>
      </c>
    </row>
    <row r="22" spans="1:19" x14ac:dyDescent="0.25">
      <c r="A22" s="4">
        <f>Cicli_Fase!F30</f>
        <v>11</v>
      </c>
      <c r="B22" s="2" t="str">
        <f>DGET($A$2:$J$19,B20,$A$21:$A$22)</f>
        <v>Primaverile-estiva  100–130 gg</v>
      </c>
      <c r="C22" s="2">
        <f t="shared" ref="C22:I22" si="0">DGET($A$2:$J$19,C20,$A$21:$A$22)</f>
        <v>0.67</v>
      </c>
      <c r="D22" s="2" t="str">
        <f t="shared" si="0"/>
        <v>sì</v>
      </c>
      <c r="E22" s="2">
        <f t="shared" si="0"/>
        <v>1</v>
      </c>
      <c r="F22" s="2">
        <f t="shared" si="0"/>
        <v>1</v>
      </c>
      <c r="G22" s="2">
        <f t="shared" si="0"/>
        <v>1</v>
      </c>
      <c r="H22" s="2" t="str">
        <f t="shared" si="0"/>
        <v>no</v>
      </c>
      <c r="I22" s="2" t="str">
        <f t="shared" si="0"/>
        <v>no</v>
      </c>
      <c r="J22" s="2">
        <f>DGET($A$2:$J$19,J20,$A$21:$A$22)</f>
        <v>5</v>
      </c>
    </row>
  </sheetData>
  <sheetProtection algorithmName="SHA-512" hashValue="xpbBAQtkkYlzA7/ho2OxUYpCOP9vH0HaA6wEd4dVZejqwZj5tmgexGCo9KdvKiMvPdGivUk85F/tHyCLotkPnQ==" saltValue="IGgIhA2j6kjpmxRKRF9CTg==" spinCount="100000" sheet="1" objects="1" scenarios="1"/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AC39"/>
  <sheetViews>
    <sheetView tabSelected="1" zoomScaleNormal="100" workbookViewId="0">
      <selection activeCell="L10" sqref="L10"/>
    </sheetView>
  </sheetViews>
  <sheetFormatPr defaultRowHeight="13.2" x14ac:dyDescent="0.25"/>
  <cols>
    <col min="1" max="1" width="2" style="32" customWidth="1"/>
    <col min="2" max="4" width="7.6640625" style="32" customWidth="1"/>
    <col min="5" max="5" width="9.33203125" style="32" customWidth="1"/>
    <col min="6" max="6" width="2.6640625" style="32" customWidth="1"/>
    <col min="7" max="10" width="4.6640625" style="32" customWidth="1"/>
    <col min="11" max="11" width="2.44140625" style="32" customWidth="1"/>
    <col min="12" max="12" width="7.5546875" style="32" customWidth="1"/>
    <col min="13" max="13" width="2.44140625" style="32" customWidth="1"/>
    <col min="14" max="15" width="5.6640625" style="32" customWidth="1"/>
    <col min="16" max="16" width="2.5546875" style="32" customWidth="1"/>
    <col min="17" max="17" width="7.5546875" style="32" customWidth="1"/>
    <col min="18" max="18" width="6.33203125" style="32" customWidth="1"/>
    <col min="19" max="19" width="8.33203125" style="32" customWidth="1"/>
    <col min="20" max="20" width="6.5546875" style="32" customWidth="1"/>
    <col min="21" max="21" width="10.44140625" style="32" customWidth="1"/>
    <col min="22" max="22" width="11.44140625" style="32" customWidth="1"/>
    <col min="23" max="23" width="7" style="32" customWidth="1"/>
    <col min="24" max="24" width="10" style="32" customWidth="1"/>
    <col min="25" max="25" width="2" style="32" customWidth="1"/>
    <col min="26" max="28" width="7.6640625" style="32" customWidth="1"/>
    <col min="29" max="29" width="3.44140625" style="32" customWidth="1"/>
    <col min="30" max="16384" width="8.88671875" style="32"/>
  </cols>
  <sheetData>
    <row r="1" spans="1:29" ht="13.8" thickBot="1" x14ac:dyDescent="0.3">
      <c r="A1" s="30" t="s">
        <v>910</v>
      </c>
      <c r="Z1" s="115" t="s">
        <v>243</v>
      </c>
      <c r="AA1" s="115" t="s">
        <v>244</v>
      </c>
      <c r="AB1" s="115" t="s">
        <v>245</v>
      </c>
      <c r="AC1" s="115" t="s">
        <v>294</v>
      </c>
    </row>
    <row r="2" spans="1:29" ht="14.4" thickTop="1" thickBot="1" x14ac:dyDescent="0.3">
      <c r="A2" s="824" t="s">
        <v>897</v>
      </c>
      <c r="B2" s="825"/>
      <c r="C2" s="826" t="str">
        <f>Coltura!D238</f>
        <v>Grano duro (pianta intera)</v>
      </c>
      <c r="D2" s="827"/>
      <c r="E2" s="827"/>
      <c r="F2" s="827"/>
      <c r="G2" s="828"/>
      <c r="H2" s="829"/>
      <c r="I2" s="830" t="s">
        <v>1041</v>
      </c>
      <c r="J2" s="831" t="str">
        <f>Cicli_Fase!F31</f>
        <v>Primaverile-estiva  100–130 gg</v>
      </c>
      <c r="K2" s="831"/>
      <c r="L2" s="831"/>
      <c r="M2" s="831"/>
      <c r="N2" s="831"/>
      <c r="O2" s="831"/>
      <c r="P2" s="832"/>
      <c r="Q2" s="832"/>
      <c r="R2" s="151" t="s">
        <v>909</v>
      </c>
      <c r="S2" s="833"/>
      <c r="T2" s="833"/>
      <c r="U2" s="347" t="str">
        <f>Metodo!C8</f>
        <v>Schede</v>
      </c>
      <c r="V2" s="832"/>
      <c r="W2" s="132" t="s">
        <v>933</v>
      </c>
      <c r="X2" s="314">
        <f>Inserimento!T5</f>
        <v>2025</v>
      </c>
      <c r="Y2" s="832"/>
      <c r="Z2" s="1068" t="s">
        <v>1070</v>
      </c>
      <c r="AA2" s="1069"/>
      <c r="AB2" s="1069"/>
      <c r="AC2" s="1070"/>
    </row>
    <row r="3" spans="1:29" ht="4.5" customHeight="1" thickTop="1" thickBot="1" x14ac:dyDescent="0.3">
      <c r="A3" s="832"/>
      <c r="B3" s="829"/>
      <c r="C3" s="829"/>
      <c r="D3" s="832"/>
      <c r="E3" s="832"/>
      <c r="F3" s="832"/>
      <c r="G3" s="829"/>
      <c r="H3" s="829"/>
      <c r="I3" s="829"/>
      <c r="J3" s="829"/>
      <c r="K3" s="832"/>
      <c r="L3" s="832"/>
      <c r="M3" s="832"/>
      <c r="N3" s="832"/>
      <c r="O3" s="832"/>
      <c r="P3" s="832"/>
      <c r="Q3" s="832"/>
      <c r="R3" s="832"/>
      <c r="S3" s="832"/>
      <c r="T3" s="832"/>
      <c r="U3" s="832"/>
      <c r="V3" s="832"/>
      <c r="W3" s="832"/>
      <c r="X3" s="832"/>
      <c r="Y3" s="832"/>
      <c r="Z3" s="832"/>
      <c r="AA3" s="832"/>
      <c r="AB3" s="832"/>
    </row>
    <row r="4" spans="1:29" ht="12.75" customHeight="1" thickTop="1" thickBot="1" x14ac:dyDescent="0.3">
      <c r="A4" s="832"/>
      <c r="B4" s="836" t="s">
        <v>935</v>
      </c>
      <c r="C4" s="837"/>
      <c r="D4" s="837"/>
      <c r="E4" s="838"/>
      <c r="F4" s="832"/>
      <c r="G4" s="836"/>
      <c r="H4" s="837" t="s">
        <v>934</v>
      </c>
      <c r="I4" s="837"/>
      <c r="J4" s="838"/>
      <c r="K4" s="832"/>
      <c r="L4" s="839" t="s">
        <v>510</v>
      </c>
      <c r="M4" s="832"/>
      <c r="N4" s="836" t="s">
        <v>936</v>
      </c>
      <c r="O4" s="838"/>
      <c r="P4" s="832"/>
      <c r="Q4" s="832"/>
      <c r="R4" s="834"/>
      <c r="S4" s="837" t="s">
        <v>899</v>
      </c>
      <c r="T4" s="835"/>
      <c r="U4" s="837"/>
      <c r="V4" s="838"/>
      <c r="W4" s="832"/>
      <c r="X4" s="840" t="s">
        <v>681</v>
      </c>
      <c r="Y4" s="832"/>
      <c r="Z4" s="841">
        <f ca="1">IF(Codici!$E$2=1,Bilancio!$H33,IF(AND(Codici!$E$2=2,OR(Cicli_Fase!$F$30=2,Cicli_Fase!$F$30=3)),Scheda_N!D39,Scheda_N!H32))</f>
        <v>200</v>
      </c>
      <c r="AA4" s="841">
        <f ca="1">IF(Codici!$E$2=1,Bilancio!I33,IF(AND(Codici!$E$2=2,OR(Cicli_Fase!$F$30=2,Cicli_Fase!$F$30=3)),Scheda_PK!$G24,Scheda_PK!$H22))</f>
        <v>80</v>
      </c>
      <c r="AB4" s="841">
        <f ca="1">IF(Codici!$E$2=1,Bilancio!J33,IF(AND(Codici!$E$2=2,OR(Cicli_Fase!$F$30=2,Cicli_Fase!$F$30=3)),Scheda_PK!$G37,Scheda_PK!$H36))</f>
        <v>120</v>
      </c>
      <c r="AC4" s="842">
        <f ca="1">SO!F9</f>
        <v>11</v>
      </c>
    </row>
    <row r="5" spans="1:29" ht="12.75" customHeight="1" thickTop="1" x14ac:dyDescent="0.25">
      <c r="A5" s="832"/>
      <c r="B5" s="843" t="s">
        <v>1334</v>
      </c>
      <c r="C5" s="832"/>
      <c r="D5" s="832"/>
      <c r="E5" s="832"/>
      <c r="F5" s="832"/>
      <c r="G5" s="844" t="s">
        <v>243</v>
      </c>
      <c r="H5" s="844" t="s">
        <v>244</v>
      </c>
      <c r="I5" s="844" t="s">
        <v>245</v>
      </c>
      <c r="J5" s="844" t="s">
        <v>898</v>
      </c>
      <c r="K5" s="832"/>
      <c r="L5" s="844" t="s">
        <v>383</v>
      </c>
      <c r="M5" s="844"/>
      <c r="N5" s="832" t="s">
        <v>930</v>
      </c>
      <c r="O5" s="832" t="s">
        <v>931</v>
      </c>
      <c r="P5" s="832"/>
      <c r="Q5" s="845" t="s">
        <v>927</v>
      </c>
      <c r="R5" s="832"/>
      <c r="S5" s="832"/>
      <c r="T5" s="832"/>
      <c r="U5" s="832"/>
      <c r="V5" s="832"/>
      <c r="W5" s="832"/>
      <c r="X5" s="844" t="s">
        <v>356</v>
      </c>
      <c r="Y5" s="832"/>
      <c r="Z5" s="832" t="s">
        <v>922</v>
      </c>
      <c r="AA5" s="832"/>
      <c r="AB5" s="832"/>
    </row>
    <row r="6" spans="1:29" ht="4.2" customHeight="1" x14ac:dyDescent="0.25">
      <c r="A6" s="832"/>
      <c r="B6" s="832"/>
      <c r="C6" s="832"/>
      <c r="D6" s="832"/>
      <c r="E6" s="832"/>
      <c r="F6" s="832"/>
      <c r="G6" s="832"/>
      <c r="H6" s="832"/>
      <c r="I6" s="832"/>
      <c r="J6" s="832"/>
      <c r="K6" s="832"/>
      <c r="L6" s="844"/>
      <c r="M6" s="844"/>
      <c r="N6" s="844"/>
      <c r="O6" s="844"/>
      <c r="P6" s="832"/>
      <c r="Q6" s="832"/>
      <c r="R6" s="832"/>
      <c r="S6" s="832"/>
      <c r="T6" s="832"/>
      <c r="U6" s="832"/>
      <c r="V6" s="832"/>
      <c r="W6" s="832"/>
      <c r="X6" s="844"/>
      <c r="Y6" s="832"/>
      <c r="Z6" s="832"/>
      <c r="AA6" s="832"/>
      <c r="AB6" s="832"/>
    </row>
    <row r="7" spans="1:29" ht="12.75" customHeight="1" x14ac:dyDescent="0.25">
      <c r="A7" s="832"/>
      <c r="B7" s="846"/>
      <c r="C7" s="846"/>
      <c r="D7" s="846"/>
      <c r="E7" s="846"/>
      <c r="F7" s="832"/>
      <c r="G7" s="847">
        <v>3</v>
      </c>
      <c r="H7" s="847">
        <v>2.4</v>
      </c>
      <c r="I7" s="847">
        <v>4</v>
      </c>
      <c r="J7" s="847">
        <v>8</v>
      </c>
      <c r="K7" s="832"/>
      <c r="L7" s="847">
        <v>0</v>
      </c>
      <c r="M7" s="844"/>
      <c r="N7" s="848">
        <f>IF(Fert_org!E27&gt;1,(G7*L7),0)</f>
        <v>0</v>
      </c>
      <c r="O7" s="848">
        <f>IF(V8=TRUE,(N7*U8)/100,N7)</f>
        <v>0</v>
      </c>
      <c r="P7" s="832"/>
      <c r="Q7" s="544">
        <v>2023</v>
      </c>
      <c r="R7" s="846"/>
      <c r="S7" s="846"/>
      <c r="T7" s="846"/>
      <c r="U7" s="846"/>
      <c r="V7" s="846"/>
      <c r="W7" s="832"/>
      <c r="X7" s="849">
        <f>'Apporti al terreno'!I3</f>
        <v>40</v>
      </c>
      <c r="Y7" s="832"/>
      <c r="Z7" s="850">
        <f>'Apporti al terreno'!M5</f>
        <v>0</v>
      </c>
      <c r="AA7" s="850">
        <f>'Apporti al terreno'!P5</f>
        <v>0</v>
      </c>
      <c r="AB7" s="850">
        <f>'Apporti al terreno'!S5</f>
        <v>0</v>
      </c>
      <c r="AC7" s="851">
        <f>'Apporti al terreno'!U4</f>
        <v>0</v>
      </c>
    </row>
    <row r="8" spans="1:29" ht="16.2" customHeight="1" x14ac:dyDescent="0.25">
      <c r="A8" s="832"/>
      <c r="B8" s="832"/>
      <c r="C8" s="832"/>
      <c r="D8" s="832"/>
      <c r="E8" s="832"/>
      <c r="F8" s="832"/>
      <c r="G8" s="849">
        <f>Fert_org!K27</f>
        <v>18</v>
      </c>
      <c r="H8" s="849">
        <f>Fert_org!N27</f>
        <v>12</v>
      </c>
      <c r="I8" s="849">
        <f>Fert_org!Q27</f>
        <v>13</v>
      </c>
      <c r="J8" s="849">
        <f>Fert_org!H27</f>
        <v>65</v>
      </c>
      <c r="K8" s="832"/>
      <c r="L8" s="844"/>
      <c r="M8" s="844"/>
      <c r="N8" s="844"/>
      <c r="O8" s="844"/>
      <c r="P8" s="832"/>
      <c r="Q8" s="832"/>
      <c r="R8" s="852" t="str">
        <f>IF(Fert_org!$R27="no","indica la % di N zootec.."," ")</f>
        <v>indica la % di N zootec..</v>
      </c>
      <c r="S8" s="832"/>
      <c r="T8" s="832"/>
      <c r="U8" s="853">
        <v>25</v>
      </c>
      <c r="V8" s="854" t="b">
        <f>IF(Fert_org!$R27="no",TRUE,FALSE)</f>
        <v>1</v>
      </c>
      <c r="W8" s="844"/>
      <c r="X8" s="844"/>
      <c r="Y8" s="832"/>
      <c r="Z8" s="832"/>
      <c r="AA8" s="832"/>
      <c r="AB8" s="832"/>
    </row>
    <row r="9" spans="1:29" ht="8.6999999999999993" customHeight="1" x14ac:dyDescent="0.25">
      <c r="A9" s="832"/>
      <c r="B9" s="832"/>
      <c r="C9" s="832"/>
      <c r="D9" s="832"/>
      <c r="E9" s="832"/>
      <c r="F9" s="832"/>
      <c r="G9" s="832"/>
      <c r="H9" s="832"/>
      <c r="I9" s="832"/>
      <c r="J9" s="832"/>
      <c r="K9" s="832"/>
      <c r="L9" s="832"/>
      <c r="M9" s="832"/>
      <c r="N9" s="832"/>
      <c r="O9" s="832"/>
      <c r="P9" s="832"/>
      <c r="Q9" s="832"/>
      <c r="R9" s="855"/>
      <c r="S9" s="832"/>
      <c r="T9" s="832"/>
      <c r="U9" s="832"/>
      <c r="V9" s="832"/>
      <c r="W9" s="832"/>
      <c r="X9" s="832"/>
      <c r="Y9" s="832"/>
      <c r="Z9" s="832"/>
      <c r="AA9" s="832"/>
      <c r="AB9" s="832"/>
    </row>
    <row r="10" spans="1:29" ht="12.75" customHeight="1" x14ac:dyDescent="0.25">
      <c r="A10" s="832"/>
      <c r="B10" s="846"/>
      <c r="C10" s="846"/>
      <c r="D10" s="846"/>
      <c r="E10" s="846"/>
      <c r="F10" s="832"/>
      <c r="G10" s="847">
        <v>3</v>
      </c>
      <c r="H10" s="847">
        <v>2.8</v>
      </c>
      <c r="I10" s="847">
        <v>3.8</v>
      </c>
      <c r="J10" s="847">
        <v>8.5</v>
      </c>
      <c r="K10" s="832"/>
      <c r="L10" s="847">
        <v>123</v>
      </c>
      <c r="M10" s="844"/>
      <c r="N10" s="848">
        <f>IF(Fert_org!E29&gt;1,(G10*L10),0)</f>
        <v>369</v>
      </c>
      <c r="O10" s="848">
        <f>IF(V11=TRUE,(N10*U11)/100,N10)</f>
        <v>369</v>
      </c>
      <c r="P10" s="832"/>
      <c r="Q10" s="544">
        <v>2024</v>
      </c>
      <c r="R10" s="856"/>
      <c r="S10" s="846"/>
      <c r="T10" s="846"/>
      <c r="U10" s="846"/>
      <c r="V10" s="846"/>
      <c r="W10" s="832"/>
      <c r="X10" s="849">
        <f>'Apporti al terreno'!I6</f>
        <v>49.3</v>
      </c>
      <c r="Y10" s="832"/>
      <c r="Z10" s="850">
        <f>'Apporti al terreno'!M8</f>
        <v>181.917</v>
      </c>
      <c r="AA10" s="850">
        <f>'Apporti al terreno'!P8</f>
        <v>169.78919999999999</v>
      </c>
      <c r="AB10" s="850">
        <f>'Apporti al terreno'!S8</f>
        <v>230.42819999999995</v>
      </c>
      <c r="AC10" s="851">
        <f>'Apporti al terreno'!U7</f>
        <v>0</v>
      </c>
    </row>
    <row r="11" spans="1:29" x14ac:dyDescent="0.25">
      <c r="A11" s="832"/>
      <c r="B11" s="832"/>
      <c r="C11" s="832"/>
      <c r="D11" s="832"/>
      <c r="E11" s="832"/>
      <c r="F11" s="832"/>
      <c r="G11" s="849">
        <f>Fert_org!K29</f>
        <v>3.85</v>
      </c>
      <c r="H11" s="849">
        <f>Fert_org!N29</f>
        <v>2.8499999999999996</v>
      </c>
      <c r="I11" s="849">
        <f>Fert_org!Q29</f>
        <v>3.8</v>
      </c>
      <c r="J11" s="849">
        <f>Fert_org!H29</f>
        <v>8.5</v>
      </c>
      <c r="K11" s="832"/>
      <c r="L11" s="832"/>
      <c r="M11" s="832"/>
      <c r="N11" s="832"/>
      <c r="O11" s="832"/>
      <c r="P11" s="832"/>
      <c r="Q11" s="832"/>
      <c r="R11" s="852" t="str">
        <f>IF(Fert_org!$R29="no","indica la % di N zootec.."," ")</f>
        <v xml:space="preserve"> </v>
      </c>
      <c r="S11" s="832"/>
      <c r="T11" s="832"/>
      <c r="U11" s="853"/>
      <c r="V11" s="854" t="b">
        <f>IF(Fert_org!$R29="no",TRUE,FALSE)</f>
        <v>0</v>
      </c>
      <c r="W11" s="832"/>
      <c r="X11" s="832"/>
      <c r="Y11" s="832"/>
      <c r="Z11" s="832"/>
      <c r="AA11" s="832"/>
      <c r="AB11" s="832"/>
    </row>
    <row r="12" spans="1:29" ht="10.5" customHeight="1" x14ac:dyDescent="0.25">
      <c r="A12" s="832"/>
      <c r="B12" s="832"/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832"/>
      <c r="O12" s="832"/>
      <c r="P12" s="832"/>
      <c r="Q12" s="832"/>
      <c r="R12" s="855"/>
      <c r="S12" s="832"/>
      <c r="T12" s="832"/>
      <c r="U12" s="832"/>
      <c r="V12" s="832"/>
      <c r="W12" s="832"/>
      <c r="X12" s="832"/>
      <c r="Y12" s="832"/>
      <c r="Z12" s="832"/>
      <c r="AA12" s="832"/>
      <c r="AB12" s="832"/>
    </row>
    <row r="13" spans="1:29" ht="12.75" customHeight="1" x14ac:dyDescent="0.25">
      <c r="A13" s="832"/>
      <c r="B13" s="846"/>
      <c r="C13" s="846"/>
      <c r="D13" s="846"/>
      <c r="E13" s="846"/>
      <c r="F13" s="832"/>
      <c r="G13" s="847"/>
      <c r="H13" s="847"/>
      <c r="I13" s="847"/>
      <c r="J13" s="847"/>
      <c r="K13" s="832"/>
      <c r="L13" s="847"/>
      <c r="M13" s="844"/>
      <c r="N13" s="848">
        <f>IF(Fert_org!E31&gt;1,(G13*L13),0)</f>
        <v>0</v>
      </c>
      <c r="O13" s="848">
        <f>IF(V14=TRUE,(N13*U14)/100,N13)</f>
        <v>0</v>
      </c>
      <c r="P13" s="832"/>
      <c r="Q13" s="544"/>
      <c r="R13" s="856"/>
      <c r="S13" s="846"/>
      <c r="T13" s="846"/>
      <c r="U13" s="846"/>
      <c r="V13" s="846"/>
      <c r="W13" s="832"/>
      <c r="X13" s="849">
        <f>'Apporti al terreno'!I9</f>
        <v>0</v>
      </c>
      <c r="Y13" s="832"/>
      <c r="Z13" s="850">
        <f>'Apporti al terreno'!M11</f>
        <v>0</v>
      </c>
      <c r="AA13" s="850">
        <f>'Apporti al terreno'!P11</f>
        <v>0</v>
      </c>
      <c r="AB13" s="850">
        <f>'Apporti al terreno'!S11</f>
        <v>0</v>
      </c>
      <c r="AC13" s="851">
        <f>'Apporti al terreno'!U10</f>
        <v>0</v>
      </c>
    </row>
    <row r="14" spans="1:29" ht="12.75" customHeight="1" x14ac:dyDescent="0.25">
      <c r="A14" s="832"/>
      <c r="B14" s="832"/>
      <c r="C14" s="832"/>
      <c r="D14" s="832"/>
      <c r="E14" s="832"/>
      <c r="F14" s="832"/>
      <c r="G14" s="849">
        <f>Fert_org!K31</f>
        <v>0</v>
      </c>
      <c r="H14" s="849">
        <f>Fert_org!N31</f>
        <v>0</v>
      </c>
      <c r="I14" s="849">
        <f>Fert_org!Q31</f>
        <v>0</v>
      </c>
      <c r="J14" s="849">
        <f>Fert_org!H31</f>
        <v>0</v>
      </c>
      <c r="K14" s="832"/>
      <c r="L14" s="832"/>
      <c r="M14" s="832"/>
      <c r="N14" s="832"/>
      <c r="O14" s="832"/>
      <c r="P14" s="832"/>
      <c r="Q14" s="832"/>
      <c r="R14" s="852" t="str">
        <f>IF(Fert_org!$R31="no","indica la % di N zootec.."," ")</f>
        <v xml:space="preserve"> </v>
      </c>
      <c r="S14" s="832"/>
      <c r="T14" s="832"/>
      <c r="U14" s="853"/>
      <c r="V14" s="854" t="b">
        <f>IF(Fert_org!$R31="no",TRUE,FALSE)</f>
        <v>0</v>
      </c>
      <c r="W14" s="832"/>
      <c r="X14" s="832"/>
      <c r="Y14" s="832"/>
      <c r="Z14" s="832"/>
      <c r="AA14" s="832"/>
      <c r="AB14" s="832"/>
    </row>
    <row r="15" spans="1:29" x14ac:dyDescent="0.25">
      <c r="A15" s="832"/>
      <c r="B15" s="824" t="s">
        <v>932</v>
      </c>
      <c r="C15" s="857"/>
      <c r="D15" s="857"/>
      <c r="E15" s="857"/>
      <c r="F15" s="857"/>
      <c r="G15" s="858"/>
      <c r="H15" s="858"/>
      <c r="I15" s="858"/>
      <c r="J15" s="858"/>
      <c r="K15" s="858"/>
      <c r="L15" s="858"/>
      <c r="M15" s="858"/>
      <c r="N15" s="859">
        <f>SUM(N7,N10,N13)</f>
        <v>369</v>
      </c>
      <c r="O15" s="859">
        <f>SUM(O7,O10,O13)</f>
        <v>369</v>
      </c>
      <c r="P15" s="858"/>
      <c r="Q15" s="858"/>
      <c r="R15" s="858"/>
      <c r="S15" s="858"/>
      <c r="T15" s="858"/>
      <c r="U15" s="858"/>
      <c r="V15" s="858"/>
      <c r="W15" s="858"/>
      <c r="X15" s="858"/>
      <c r="Y15" s="857"/>
      <c r="Z15" s="860">
        <f>SUM(Z7,Z10,Z13)</f>
        <v>181.917</v>
      </c>
      <c r="AA15" s="860">
        <f>SUM(AA7,AA10,AA13)</f>
        <v>169.78919999999999</v>
      </c>
      <c r="AB15" s="861">
        <f>SUM(AB7,AB10,AB13)</f>
        <v>230.42819999999995</v>
      </c>
      <c r="AC15" s="862">
        <f>(+AC7+AC10+AC13)</f>
        <v>0</v>
      </c>
    </row>
    <row r="16" spans="1:29" ht="4.2" customHeight="1" thickBot="1" x14ac:dyDescent="0.3">
      <c r="A16" s="832"/>
      <c r="B16" s="832"/>
      <c r="C16" s="832"/>
      <c r="D16" s="832"/>
      <c r="E16" s="832"/>
      <c r="F16" s="832"/>
      <c r="G16" s="832"/>
      <c r="H16" s="832"/>
      <c r="I16" s="832"/>
      <c r="J16" s="832"/>
      <c r="K16" s="832"/>
      <c r="L16" s="832"/>
      <c r="M16" s="832"/>
      <c r="N16" s="832"/>
      <c r="O16" s="832"/>
      <c r="P16" s="832"/>
      <c r="Q16" s="832"/>
      <c r="R16" s="832"/>
      <c r="S16" s="832"/>
      <c r="T16" s="832"/>
      <c r="U16" s="832"/>
      <c r="V16" s="832"/>
      <c r="W16" s="832"/>
      <c r="X16" s="832"/>
      <c r="Y16" s="832"/>
      <c r="Z16" s="863"/>
      <c r="AA16" s="863"/>
      <c r="AB16" s="863"/>
    </row>
    <row r="17" spans="1:28" ht="14.4" thickTop="1" thickBot="1" x14ac:dyDescent="0.3">
      <c r="A17" s="832"/>
      <c r="B17" s="836" t="s">
        <v>937</v>
      </c>
      <c r="C17" s="837"/>
      <c r="D17" s="837"/>
      <c r="E17" s="838"/>
      <c r="F17" s="832"/>
      <c r="G17" s="836"/>
      <c r="H17" s="837" t="s">
        <v>938</v>
      </c>
      <c r="I17" s="837"/>
      <c r="J17" s="838"/>
      <c r="K17" s="832"/>
      <c r="L17" s="844" t="s">
        <v>1234</v>
      </c>
      <c r="M17" s="832"/>
      <c r="N17" s="832"/>
      <c r="O17" s="832"/>
      <c r="P17" s="832"/>
      <c r="Q17" s="832"/>
      <c r="R17" s="832" t="s">
        <v>899</v>
      </c>
      <c r="S17" s="832"/>
      <c r="T17" s="832"/>
      <c r="U17" s="832"/>
      <c r="V17" s="832"/>
      <c r="W17" s="832"/>
      <c r="X17" s="832"/>
      <c r="Y17" s="832"/>
      <c r="Z17" s="832"/>
      <c r="AA17" s="832"/>
      <c r="AB17" s="832"/>
    </row>
    <row r="18" spans="1:28" ht="4.2" customHeight="1" thickTop="1" x14ac:dyDescent="0.25">
      <c r="A18" s="832"/>
      <c r="B18" s="832"/>
      <c r="C18" s="832"/>
      <c r="D18" s="832"/>
      <c r="E18" s="832"/>
      <c r="F18" s="832"/>
      <c r="G18" s="832"/>
      <c r="H18" s="832"/>
      <c r="I18" s="832"/>
      <c r="J18" s="832"/>
      <c r="K18" s="832"/>
      <c r="L18" s="844"/>
      <c r="M18" s="844"/>
      <c r="N18" s="844"/>
      <c r="O18" s="844"/>
      <c r="P18" s="832"/>
      <c r="Q18" s="832"/>
      <c r="R18" s="832"/>
      <c r="S18" s="832"/>
      <c r="T18" s="832"/>
      <c r="U18" s="832"/>
      <c r="V18" s="832"/>
      <c r="W18" s="832"/>
      <c r="X18" s="832"/>
      <c r="Y18" s="832"/>
      <c r="Z18" s="832"/>
      <c r="AA18" s="832"/>
      <c r="AB18" s="832"/>
    </row>
    <row r="19" spans="1:28" x14ac:dyDescent="0.25">
      <c r="A19" s="832"/>
      <c r="B19" s="846"/>
      <c r="C19" s="846"/>
      <c r="D19" s="846"/>
      <c r="E19" s="846"/>
      <c r="F19" s="832"/>
      <c r="G19" s="849">
        <f>Concimi!D153</f>
        <v>0</v>
      </c>
      <c r="H19" s="849">
        <f>Concimi!E153</f>
        <v>0</v>
      </c>
      <c r="I19" s="849">
        <f>Concimi!F153</f>
        <v>0</v>
      </c>
      <c r="J19" s="832"/>
      <c r="K19" s="832"/>
      <c r="L19" s="847"/>
      <c r="M19" s="844"/>
      <c r="N19" s="844"/>
      <c r="O19" s="844"/>
      <c r="P19" s="832"/>
      <c r="Q19" s="832"/>
      <c r="R19" s="864" t="s">
        <v>1776</v>
      </c>
      <c r="S19" s="864"/>
      <c r="T19" s="864"/>
      <c r="U19" s="864"/>
      <c r="V19" s="864"/>
      <c r="W19" s="832"/>
      <c r="X19" s="844">
        <v>100</v>
      </c>
      <c r="Y19" s="832"/>
      <c r="Z19" s="848">
        <f>($L19*($X19/100)*G19)</f>
        <v>0</v>
      </c>
      <c r="AA19" s="848">
        <f t="shared" ref="AA19:AB19" si="0">($L19*($X19/100)*H19)</f>
        <v>0</v>
      </c>
      <c r="AB19" s="848">
        <f t="shared" si="0"/>
        <v>0</v>
      </c>
    </row>
    <row r="20" spans="1:28" ht="4.2" customHeight="1" x14ac:dyDescent="0.25">
      <c r="A20" s="832"/>
      <c r="B20" s="832"/>
      <c r="C20" s="832"/>
      <c r="D20" s="832"/>
      <c r="E20" s="832"/>
      <c r="F20" s="832"/>
      <c r="G20" s="832"/>
      <c r="H20" s="832"/>
      <c r="I20" s="832"/>
      <c r="J20" s="832"/>
      <c r="K20" s="832"/>
      <c r="L20" s="844"/>
      <c r="M20" s="844"/>
      <c r="N20" s="844"/>
      <c r="O20" s="844"/>
      <c r="P20" s="832"/>
      <c r="Q20" s="832"/>
      <c r="R20" s="832"/>
      <c r="S20" s="832"/>
      <c r="T20" s="832"/>
      <c r="U20" s="832"/>
      <c r="V20" s="832"/>
      <c r="W20" s="832"/>
      <c r="X20" s="832"/>
      <c r="Y20" s="832"/>
      <c r="Z20" s="832"/>
      <c r="AA20" s="832"/>
      <c r="AB20" s="832"/>
    </row>
    <row r="21" spans="1:28" x14ac:dyDescent="0.25">
      <c r="A21" s="832"/>
      <c r="B21" s="846"/>
      <c r="C21" s="846"/>
      <c r="D21" s="846"/>
      <c r="E21" s="846"/>
      <c r="F21" s="832"/>
      <c r="G21" s="849">
        <f>Concimi!D156</f>
        <v>0</v>
      </c>
      <c r="H21" s="849">
        <f>Concimi!E156</f>
        <v>0</v>
      </c>
      <c r="I21" s="849">
        <f>Concimi!F156</f>
        <v>0</v>
      </c>
      <c r="J21" s="832"/>
      <c r="K21" s="832"/>
      <c r="L21" s="847"/>
      <c r="M21" s="844"/>
      <c r="N21" s="844"/>
      <c r="O21" s="844"/>
      <c r="P21" s="832"/>
      <c r="Q21" s="832"/>
      <c r="R21" s="864"/>
      <c r="S21" s="864"/>
      <c r="T21" s="864"/>
      <c r="U21" s="864"/>
      <c r="V21" s="864"/>
      <c r="W21" s="832"/>
      <c r="X21" s="844">
        <v>100</v>
      </c>
      <c r="Y21" s="832"/>
      <c r="Z21" s="848">
        <f>($L21*($X21/100)*G21)</f>
        <v>0</v>
      </c>
      <c r="AA21" s="848">
        <f t="shared" ref="AA21" si="1">($L21*($X21/100)*H21)</f>
        <v>0</v>
      </c>
      <c r="AB21" s="848">
        <f t="shared" ref="AB21" si="2">($L21*($X21/100)*I21)</f>
        <v>0</v>
      </c>
    </row>
    <row r="22" spans="1:28" ht="4.2" customHeight="1" x14ac:dyDescent="0.25">
      <c r="A22" s="832"/>
      <c r="B22" s="832"/>
      <c r="C22" s="832"/>
      <c r="D22" s="832"/>
      <c r="E22" s="832"/>
      <c r="F22" s="832"/>
      <c r="G22" s="832"/>
      <c r="H22" s="832"/>
      <c r="I22" s="832"/>
      <c r="J22" s="832"/>
      <c r="K22" s="832"/>
      <c r="L22" s="844"/>
      <c r="M22" s="844"/>
      <c r="N22" s="844"/>
      <c r="O22" s="844"/>
      <c r="P22" s="832"/>
      <c r="Q22" s="832"/>
      <c r="R22" s="832"/>
      <c r="S22" s="832"/>
      <c r="T22" s="832"/>
      <c r="U22" s="832"/>
      <c r="V22" s="832"/>
      <c r="W22" s="832"/>
      <c r="X22" s="832"/>
      <c r="Y22" s="832"/>
      <c r="Z22" s="832"/>
      <c r="AA22" s="832"/>
      <c r="AB22" s="832"/>
    </row>
    <row r="23" spans="1:28" x14ac:dyDescent="0.25">
      <c r="A23" s="832"/>
      <c r="B23" s="846"/>
      <c r="C23" s="846"/>
      <c r="D23" s="846"/>
      <c r="E23" s="846"/>
      <c r="F23" s="832"/>
      <c r="G23" s="849">
        <f>Concimi!D159</f>
        <v>0</v>
      </c>
      <c r="H23" s="849">
        <f>Concimi!E159</f>
        <v>0</v>
      </c>
      <c r="I23" s="849">
        <f>Concimi!F159</f>
        <v>0</v>
      </c>
      <c r="J23" s="832"/>
      <c r="K23" s="832"/>
      <c r="L23" s="847"/>
      <c r="M23" s="844"/>
      <c r="N23" s="844"/>
      <c r="O23" s="844"/>
      <c r="P23" s="832"/>
      <c r="Q23" s="832"/>
      <c r="R23" s="864"/>
      <c r="S23" s="864"/>
      <c r="T23" s="864"/>
      <c r="U23" s="864"/>
      <c r="V23" s="864"/>
      <c r="W23" s="832"/>
      <c r="X23" s="844">
        <v>100</v>
      </c>
      <c r="Y23" s="832"/>
      <c r="Z23" s="848">
        <f>($L23*($X23/100)*G23)</f>
        <v>0</v>
      </c>
      <c r="AA23" s="848">
        <f t="shared" ref="AA23" si="3">($L23*($X23/100)*H23)</f>
        <v>0</v>
      </c>
      <c r="AB23" s="848">
        <f t="shared" ref="AB23" si="4">($L23*($X23/100)*I23)</f>
        <v>0</v>
      </c>
    </row>
    <row r="24" spans="1:28" ht="4.2" customHeight="1" x14ac:dyDescent="0.25">
      <c r="A24" s="832"/>
      <c r="B24" s="832"/>
      <c r="C24" s="832"/>
      <c r="D24" s="832"/>
      <c r="E24" s="832"/>
      <c r="F24" s="832"/>
      <c r="G24" s="832"/>
      <c r="H24" s="832"/>
      <c r="I24" s="832"/>
      <c r="J24" s="832"/>
      <c r="K24" s="832"/>
      <c r="L24" s="844"/>
      <c r="M24" s="844"/>
      <c r="N24" s="844"/>
      <c r="O24" s="844"/>
      <c r="P24" s="832"/>
      <c r="Q24" s="832"/>
      <c r="R24" s="832"/>
      <c r="S24" s="832"/>
      <c r="T24" s="832"/>
      <c r="U24" s="832"/>
      <c r="V24" s="832"/>
      <c r="W24" s="832"/>
      <c r="X24" s="832"/>
      <c r="Y24" s="832"/>
      <c r="Z24" s="832"/>
      <c r="AA24" s="832"/>
      <c r="AB24" s="832"/>
    </row>
    <row r="25" spans="1:28" x14ac:dyDescent="0.25">
      <c r="A25" s="832"/>
      <c r="B25" s="846"/>
      <c r="C25" s="846"/>
      <c r="D25" s="846"/>
      <c r="E25" s="846"/>
      <c r="F25" s="832"/>
      <c r="G25" s="849">
        <f>Concimi!D162</f>
        <v>0</v>
      </c>
      <c r="H25" s="849">
        <f>Concimi!E162</f>
        <v>0</v>
      </c>
      <c r="I25" s="849">
        <f>Concimi!F162</f>
        <v>0</v>
      </c>
      <c r="J25" s="832"/>
      <c r="K25" s="832"/>
      <c r="L25" s="847"/>
      <c r="M25" s="844"/>
      <c r="N25" s="844"/>
      <c r="O25" s="844"/>
      <c r="P25" s="832"/>
      <c r="Q25" s="832"/>
      <c r="R25" s="864"/>
      <c r="S25" s="864"/>
      <c r="T25" s="864"/>
      <c r="U25" s="864"/>
      <c r="V25" s="864"/>
      <c r="W25" s="832"/>
      <c r="X25" s="844">
        <v>100</v>
      </c>
      <c r="Y25" s="832"/>
      <c r="Z25" s="848">
        <f>($L25*($X25/100)*G25)</f>
        <v>0</v>
      </c>
      <c r="AA25" s="848">
        <f t="shared" ref="AA25" si="5">($L25*($X25/100)*H25)</f>
        <v>0</v>
      </c>
      <c r="AB25" s="848">
        <f t="shared" ref="AB25" si="6">($L25*($X25/100)*I25)</f>
        <v>0</v>
      </c>
    </row>
    <row r="26" spans="1:28" ht="4.2" customHeight="1" x14ac:dyDescent="0.25">
      <c r="A26" s="832"/>
      <c r="B26" s="832"/>
      <c r="C26" s="832"/>
      <c r="D26" s="832"/>
      <c r="E26" s="832"/>
      <c r="F26" s="832"/>
      <c r="G26" s="832"/>
      <c r="H26" s="832"/>
      <c r="I26" s="832"/>
      <c r="J26" s="832"/>
      <c r="K26" s="832"/>
      <c r="L26" s="844"/>
      <c r="M26" s="844"/>
      <c r="N26" s="844"/>
      <c r="O26" s="844"/>
      <c r="P26" s="832"/>
      <c r="Q26" s="832"/>
      <c r="R26" s="832"/>
      <c r="S26" s="832"/>
      <c r="T26" s="832"/>
      <c r="U26" s="832"/>
      <c r="V26" s="832"/>
      <c r="W26" s="832"/>
      <c r="X26" s="832"/>
      <c r="Y26" s="832"/>
      <c r="Z26" s="832"/>
      <c r="AA26" s="832"/>
      <c r="AB26" s="832"/>
    </row>
    <row r="27" spans="1:28" x14ac:dyDescent="0.25">
      <c r="A27" s="832"/>
      <c r="B27" s="1067"/>
      <c r="C27" s="1067"/>
      <c r="D27" s="1067"/>
      <c r="E27" s="1067"/>
      <c r="F27" s="832"/>
      <c r="G27" s="847"/>
      <c r="H27" s="847"/>
      <c r="I27" s="847"/>
      <c r="J27" s="832"/>
      <c r="K27" s="832"/>
      <c r="L27" s="847"/>
      <c r="M27" s="844"/>
      <c r="N27" s="844"/>
      <c r="O27" s="844"/>
      <c r="P27" s="832"/>
      <c r="Q27" s="832"/>
      <c r="R27" s="864"/>
      <c r="S27" s="864"/>
      <c r="T27" s="864"/>
      <c r="U27" s="864"/>
      <c r="V27" s="864"/>
      <c r="W27" s="832"/>
      <c r="X27" s="844">
        <v>100</v>
      </c>
      <c r="Y27" s="832"/>
      <c r="Z27" s="848">
        <f>($L27*($X27/100)*G27)</f>
        <v>0</v>
      </c>
      <c r="AA27" s="848">
        <f t="shared" ref="AA27" si="7">($L27*($X27/100)*H27)</f>
        <v>0</v>
      </c>
      <c r="AB27" s="848">
        <f t="shared" ref="AB27" si="8">($L27*($X27/100)*I27)</f>
        <v>0</v>
      </c>
    </row>
    <row r="28" spans="1:28" ht="4.2" customHeight="1" x14ac:dyDescent="0.25">
      <c r="A28" s="832"/>
      <c r="B28" s="832"/>
      <c r="C28" s="832"/>
      <c r="D28" s="832"/>
      <c r="E28" s="832"/>
      <c r="F28" s="832"/>
      <c r="G28" s="844"/>
      <c r="H28" s="844"/>
      <c r="I28" s="844"/>
      <c r="J28" s="832"/>
      <c r="K28" s="832"/>
      <c r="L28" s="844"/>
      <c r="M28" s="844"/>
      <c r="N28" s="844"/>
      <c r="O28" s="844"/>
      <c r="P28" s="832"/>
      <c r="Q28" s="832"/>
      <c r="R28" s="832"/>
      <c r="S28" s="832"/>
      <c r="T28" s="832"/>
      <c r="U28" s="832"/>
      <c r="V28" s="832"/>
      <c r="W28" s="832"/>
      <c r="X28" s="832"/>
      <c r="Y28" s="832"/>
      <c r="Z28" s="832"/>
      <c r="AA28" s="832"/>
      <c r="AB28" s="832"/>
    </row>
    <row r="29" spans="1:28" x14ac:dyDescent="0.25">
      <c r="A29" s="832"/>
      <c r="B29" s="1067"/>
      <c r="C29" s="1067"/>
      <c r="D29" s="1067"/>
      <c r="E29" s="1067"/>
      <c r="F29" s="832"/>
      <c r="G29" s="847"/>
      <c r="H29" s="847"/>
      <c r="I29" s="847"/>
      <c r="J29" s="832"/>
      <c r="K29" s="832"/>
      <c r="L29" s="847"/>
      <c r="M29" s="844"/>
      <c r="N29" s="844"/>
      <c r="O29" s="844"/>
      <c r="P29" s="832"/>
      <c r="Q29" s="832"/>
      <c r="R29" s="864"/>
      <c r="S29" s="864"/>
      <c r="T29" s="864"/>
      <c r="U29" s="864"/>
      <c r="V29" s="864"/>
      <c r="W29" s="832"/>
      <c r="X29" s="844">
        <v>100</v>
      </c>
      <c r="Y29" s="832"/>
      <c r="Z29" s="848">
        <f>($L29*($X29/100)*G29)</f>
        <v>0</v>
      </c>
      <c r="AA29" s="848">
        <f t="shared" ref="AA29" si="9">($L29*($X29/100)*H29)</f>
        <v>0</v>
      </c>
      <c r="AB29" s="848">
        <f t="shared" ref="AB29" si="10">($L29*($X29/100)*I29)</f>
        <v>0</v>
      </c>
    </row>
    <row r="30" spans="1:28" ht="4.2" customHeight="1" x14ac:dyDescent="0.25">
      <c r="A30" s="832"/>
      <c r="B30" s="832"/>
      <c r="C30" s="832"/>
      <c r="D30" s="832"/>
      <c r="E30" s="832"/>
      <c r="F30" s="832"/>
      <c r="G30" s="844"/>
      <c r="H30" s="844"/>
      <c r="I30" s="844"/>
      <c r="J30" s="832"/>
      <c r="K30" s="832"/>
      <c r="L30" s="844"/>
      <c r="M30" s="832"/>
      <c r="N30" s="832"/>
      <c r="O30" s="832"/>
      <c r="P30" s="832"/>
      <c r="Q30" s="832"/>
      <c r="R30" s="832"/>
      <c r="S30" s="832"/>
      <c r="T30" s="832"/>
      <c r="U30" s="832"/>
      <c r="V30" s="832"/>
      <c r="W30" s="832"/>
      <c r="X30" s="832"/>
      <c r="Y30" s="832"/>
      <c r="Z30" s="832"/>
      <c r="AA30" s="832"/>
      <c r="AB30" s="832"/>
    </row>
    <row r="31" spans="1:28" x14ac:dyDescent="0.25">
      <c r="A31" s="832"/>
      <c r="B31" s="1067"/>
      <c r="C31" s="1067"/>
      <c r="D31" s="1067"/>
      <c r="E31" s="1067"/>
      <c r="F31" s="832"/>
      <c r="G31" s="847"/>
      <c r="H31" s="847"/>
      <c r="I31" s="847"/>
      <c r="J31" s="832"/>
      <c r="K31" s="832"/>
      <c r="L31" s="847"/>
      <c r="M31" s="832"/>
      <c r="N31" s="832"/>
      <c r="O31" s="832"/>
      <c r="P31" s="832"/>
      <c r="Q31" s="832"/>
      <c r="R31" s="864"/>
      <c r="S31" s="846"/>
      <c r="T31" s="846"/>
      <c r="U31" s="846"/>
      <c r="V31" s="846"/>
      <c r="W31" s="832"/>
      <c r="X31" s="844">
        <v>100</v>
      </c>
      <c r="Y31" s="832"/>
      <c r="Z31" s="848">
        <f>($L31*($X31/100)*G31)</f>
        <v>0</v>
      </c>
      <c r="AA31" s="848">
        <f t="shared" ref="AA31" si="11">($L31*($X31/100)*H31)</f>
        <v>0</v>
      </c>
      <c r="AB31" s="848">
        <f t="shared" ref="AB31" si="12">($L31*($X31/100)*I31)</f>
        <v>0</v>
      </c>
    </row>
    <row r="32" spans="1:28" ht="4.2" customHeight="1" x14ac:dyDescent="0.25">
      <c r="A32" s="832"/>
      <c r="B32" s="832"/>
      <c r="C32" s="832"/>
      <c r="D32" s="832"/>
      <c r="E32" s="832"/>
      <c r="F32" s="832"/>
      <c r="G32" s="844"/>
      <c r="H32" s="844"/>
      <c r="I32" s="844"/>
      <c r="J32" s="832"/>
      <c r="K32" s="832"/>
      <c r="L32" s="844"/>
      <c r="M32" s="832"/>
      <c r="N32" s="832"/>
      <c r="O32" s="832"/>
      <c r="P32" s="832"/>
      <c r="Q32" s="832"/>
      <c r="R32" s="832"/>
      <c r="S32" s="832"/>
      <c r="T32" s="832"/>
      <c r="U32" s="832"/>
      <c r="V32" s="832"/>
      <c r="W32" s="832"/>
      <c r="X32" s="832"/>
      <c r="Y32" s="832"/>
      <c r="Z32" s="832"/>
      <c r="AA32" s="832"/>
      <c r="AB32" s="832"/>
    </row>
    <row r="33" spans="1:29" x14ac:dyDescent="0.25">
      <c r="A33" s="832"/>
      <c r="B33" s="1067"/>
      <c r="C33" s="1067"/>
      <c r="D33" s="1067"/>
      <c r="E33" s="1067"/>
      <c r="F33" s="832"/>
      <c r="G33" s="847"/>
      <c r="H33" s="847"/>
      <c r="I33" s="847"/>
      <c r="J33" s="832"/>
      <c r="K33" s="832"/>
      <c r="L33" s="847"/>
      <c r="M33" s="832"/>
      <c r="N33" s="832"/>
      <c r="O33" s="832"/>
      <c r="P33" s="832"/>
      <c r="Q33" s="832"/>
      <c r="R33" s="864"/>
      <c r="S33" s="846"/>
      <c r="T33" s="846"/>
      <c r="U33" s="846"/>
      <c r="V33" s="846"/>
      <c r="W33" s="832"/>
      <c r="X33" s="844">
        <v>100</v>
      </c>
      <c r="Y33" s="832"/>
      <c r="Z33" s="848">
        <f>($L33*($X33/100)*G33)</f>
        <v>0</v>
      </c>
      <c r="AA33" s="848">
        <f t="shared" ref="AA33" si="13">($L33*($X33/100)*H33)</f>
        <v>0</v>
      </c>
      <c r="AB33" s="848">
        <f t="shared" ref="AB33" si="14">($L33*($X33/100)*I33)</f>
        <v>0</v>
      </c>
    </row>
    <row r="34" spans="1:29" ht="4.2" customHeight="1" x14ac:dyDescent="0.25">
      <c r="A34" s="832"/>
      <c r="B34" s="832"/>
      <c r="C34" s="832"/>
      <c r="D34" s="832"/>
      <c r="E34" s="832"/>
      <c r="F34" s="832"/>
      <c r="G34" s="832"/>
      <c r="H34" s="832"/>
      <c r="I34" s="832"/>
      <c r="J34" s="832"/>
      <c r="K34" s="832"/>
      <c r="L34" s="832"/>
      <c r="M34" s="832"/>
      <c r="N34" s="832"/>
      <c r="O34" s="832"/>
      <c r="P34" s="832"/>
      <c r="Q34" s="832"/>
      <c r="R34" s="832"/>
      <c r="S34" s="832"/>
      <c r="T34" s="832"/>
      <c r="U34" s="832"/>
      <c r="V34" s="832"/>
      <c r="W34" s="832"/>
      <c r="X34" s="832"/>
      <c r="Y34" s="832"/>
      <c r="Z34" s="832"/>
      <c r="AA34" s="832"/>
      <c r="AB34" s="832"/>
    </row>
    <row r="35" spans="1:29" x14ac:dyDescent="0.25">
      <c r="A35" s="832"/>
      <c r="B35" s="824" t="s">
        <v>939</v>
      </c>
      <c r="C35" s="857"/>
      <c r="D35" s="857"/>
      <c r="E35" s="857"/>
      <c r="F35" s="857"/>
      <c r="G35" s="858"/>
      <c r="H35" s="858"/>
      <c r="I35" s="858"/>
      <c r="J35" s="858"/>
      <c r="K35" s="858"/>
      <c r="L35" s="858"/>
      <c r="M35" s="858"/>
      <c r="N35" s="858"/>
      <c r="O35" s="858"/>
      <c r="P35" s="858"/>
      <c r="Q35" s="858"/>
      <c r="R35" s="858"/>
      <c r="S35" s="858"/>
      <c r="T35" s="858"/>
      <c r="U35" s="858"/>
      <c r="V35" s="858"/>
      <c r="W35" s="858"/>
      <c r="X35" s="858"/>
      <c r="Y35" s="857"/>
      <c r="Z35" s="860">
        <f>SUM(Z19,Z21,Z23,Z25,Z27,Z29,Z31,Z33)</f>
        <v>0</v>
      </c>
      <c r="AA35" s="860">
        <f>SUM(AA19,AA21,AA23,AA25,AA27,AA29,AA31,AA33)</f>
        <v>0</v>
      </c>
      <c r="AB35" s="860">
        <f>SUM(AB19,AB21,AB23,AB25,AB27,AB29,AB31,AB33)</f>
        <v>0</v>
      </c>
    </row>
    <row r="36" spans="1:29" ht="5.25" customHeight="1" x14ac:dyDescent="0.25">
      <c r="A36" s="832"/>
      <c r="B36" s="832"/>
      <c r="C36" s="832"/>
      <c r="D36" s="832"/>
      <c r="E36" s="832"/>
      <c r="F36" s="832"/>
      <c r="G36" s="832"/>
      <c r="H36" s="832"/>
      <c r="I36" s="832"/>
      <c r="J36" s="832"/>
      <c r="K36" s="832"/>
      <c r="L36" s="832"/>
      <c r="M36" s="832"/>
      <c r="N36" s="832"/>
      <c r="O36" s="832"/>
      <c r="P36" s="832"/>
      <c r="Q36" s="832"/>
      <c r="R36" s="832"/>
      <c r="S36" s="832"/>
      <c r="T36" s="832"/>
      <c r="U36" s="832"/>
      <c r="V36" s="832"/>
      <c r="W36" s="832"/>
      <c r="X36" s="832"/>
      <c r="Y36" s="832"/>
      <c r="Z36" s="832"/>
      <c r="AA36" s="832"/>
      <c r="AB36" s="832"/>
    </row>
    <row r="37" spans="1:29" x14ac:dyDescent="0.25">
      <c r="A37" s="832"/>
      <c r="B37" s="824" t="s">
        <v>940</v>
      </c>
      <c r="C37" s="857"/>
      <c r="D37" s="857"/>
      <c r="E37" s="857"/>
      <c r="F37" s="857"/>
      <c r="G37" s="857"/>
      <c r="H37" s="857"/>
      <c r="I37" s="857"/>
      <c r="J37" s="857"/>
      <c r="K37" s="857"/>
      <c r="L37" s="857"/>
      <c r="M37" s="857"/>
      <c r="N37" s="857"/>
      <c r="O37" s="857"/>
      <c r="P37" s="857"/>
      <c r="Q37" s="857"/>
      <c r="R37" s="857"/>
      <c r="S37" s="857"/>
      <c r="T37" s="857"/>
      <c r="U37" s="857"/>
      <c r="V37" s="857"/>
      <c r="W37" s="857"/>
      <c r="X37" s="857"/>
      <c r="Y37" s="857"/>
      <c r="Z37" s="860">
        <f>(Z15+Z35)</f>
        <v>181.917</v>
      </c>
      <c r="AA37" s="860">
        <f>(AA15+AA35)</f>
        <v>169.78919999999999</v>
      </c>
      <c r="AB37" s="861">
        <f>(AB15+AB35)</f>
        <v>230.42819999999995</v>
      </c>
      <c r="AC37" s="865">
        <f>AC15</f>
        <v>0</v>
      </c>
    </row>
    <row r="38" spans="1:29" x14ac:dyDescent="0.25">
      <c r="A38" s="832"/>
      <c r="C38" s="832"/>
      <c r="D38" s="832"/>
      <c r="E38" s="832"/>
      <c r="F38" s="832"/>
      <c r="G38" s="832"/>
      <c r="H38" s="832"/>
      <c r="I38" s="832"/>
      <c r="J38" s="832"/>
      <c r="K38" s="832"/>
      <c r="L38" s="832"/>
      <c r="M38" s="832"/>
      <c r="N38" s="832"/>
      <c r="O38" s="832"/>
      <c r="P38" s="832"/>
      <c r="Q38" s="832"/>
      <c r="R38" s="832"/>
      <c r="S38" s="832"/>
      <c r="T38" s="832"/>
      <c r="U38" s="832"/>
      <c r="V38" s="832"/>
      <c r="W38" s="832"/>
      <c r="X38" s="832"/>
      <c r="Y38" s="832"/>
      <c r="Z38" s="844" t="str">
        <f ca="1">IF(Z37&lt;=Z4,"OK","Eccesso")</f>
        <v>OK</v>
      </c>
      <c r="AA38" s="844" t="str">
        <f ca="1">IF(AA37&lt;=AA4,"OK","Eccesso")</f>
        <v>Eccesso</v>
      </c>
      <c r="AB38" s="866" t="str">
        <f ca="1">IF(AB37&lt;=AB4,"OK","Eccesso")</f>
        <v>Eccesso</v>
      </c>
      <c r="AC38" s="867" t="str">
        <f ca="1">IF(AC37&lt;=AC4,"OK","Eccesso")</f>
        <v>OK</v>
      </c>
    </row>
    <row r="39" spans="1:29" x14ac:dyDescent="0.25">
      <c r="B39" s="868" t="s">
        <v>1296</v>
      </c>
      <c r="C39" s="833"/>
      <c r="D39" s="833"/>
      <c r="E39" s="833"/>
      <c r="F39" s="833"/>
      <c r="G39" s="833"/>
      <c r="H39" s="833"/>
      <c r="I39" s="833"/>
      <c r="J39" s="833"/>
      <c r="K39" s="833"/>
      <c r="L39" s="833"/>
      <c r="M39" s="833"/>
      <c r="N39" s="833"/>
      <c r="O39" s="833"/>
      <c r="P39" s="833"/>
      <c r="Q39" s="833"/>
      <c r="R39" s="833"/>
      <c r="S39" s="833"/>
      <c r="T39" s="833"/>
      <c r="U39" s="833"/>
      <c r="V39" s="833"/>
      <c r="W39" s="833"/>
      <c r="X39" s="833"/>
      <c r="Y39" s="833"/>
      <c r="Z39" s="869" t="str">
        <f ca="1">IF(OR(Z4=0,Z35=0)," ",('Apporti al terreno'!M22/Distribuz!Z4)*100)</f>
        <v xml:space="preserve"> </v>
      </c>
      <c r="AA39" s="869">
        <f ca="1">IF(OR(AA4=0,AA37=0)," ",('Apporti al terreno'!P22/Distribuz!AA4)*100)</f>
        <v>0</v>
      </c>
      <c r="AB39" s="870" t="str">
        <f ca="1">IF(OR(AB4=0,AB35=0)," ",('Apporti al terreno'!S22/Distribuz!AB4)*100)</f>
        <v xml:space="preserve"> </v>
      </c>
    </row>
  </sheetData>
  <sheetProtection algorithmName="SHA-512" hashValue="tMAjvRPur3HHupdbQMNCScTqLZCStTzGfc5iF0Jjss7Eh7Qr7tWY9SPhnsqmmv75HGoYsdy1XPLbKvg635owPw==" saltValue="kfgrjuik4kV6hnpCsxnnNw==" spinCount="100000" sheet="1" objects="1" scenarios="1"/>
  <mergeCells count="5">
    <mergeCell ref="B33:E33"/>
    <mergeCell ref="B27:E27"/>
    <mergeCell ref="B29:E29"/>
    <mergeCell ref="B31:E31"/>
    <mergeCell ref="Z2:AC2"/>
  </mergeCells>
  <phoneticPr fontId="2" type="noConversion"/>
  <conditionalFormatting sqref="U8 U14 U11">
    <cfRule type="expression" dxfId="8" priority="1" stopIfTrue="1">
      <formula>V8=TRUE</formula>
    </cfRule>
  </conditionalFormatting>
  <pageMargins left="0.75" right="0.75" top="1" bottom="1" header="0.5" footer="0.5"/>
  <pageSetup paperSize="9" scale="76" orientation="landscape" r:id="rId1"/>
  <headerFooter alignWithMargins="0">
    <oddHeader>&amp;L&amp;D</oddHeader>
    <oddFooter>&amp;C&amp;F&amp;R&amp;A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locked="0" defaultSize="0" autoLine="0" autoPict="0">
                <anchor moveWithCells="1">
                  <from>
                    <xdr:col>1</xdr:col>
                    <xdr:colOff>0</xdr:colOff>
                    <xdr:row>6</xdr:row>
                    <xdr:rowOff>22860</xdr:rowOff>
                  </from>
                  <to>
                    <xdr:col>4</xdr:col>
                    <xdr:colOff>632460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locked="0" defaultSize="0" autoLine="0" autoPict="0">
                <anchor moveWithCells="1">
                  <from>
                    <xdr:col>17</xdr:col>
                    <xdr:colOff>22860</xdr:colOff>
                    <xdr:row>6</xdr:row>
                    <xdr:rowOff>30480</xdr:rowOff>
                  </from>
                  <to>
                    <xdr:col>22</xdr:col>
                    <xdr:colOff>144780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Drop Down 3">
              <controlPr locked="0" defaultSize="0" autoLine="0" autoPict="0">
                <anchor moveWithCells="1">
                  <from>
                    <xdr:col>1</xdr:col>
                    <xdr:colOff>22860</xdr:colOff>
                    <xdr:row>9</xdr:row>
                    <xdr:rowOff>38100</xdr:rowOff>
                  </from>
                  <to>
                    <xdr:col>4</xdr:col>
                    <xdr:colOff>601980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Drop Down 4">
              <controlPr locked="0" defaultSize="0" autoLine="0" autoPict="0">
                <anchor moveWithCells="1">
                  <from>
                    <xdr:col>17</xdr:col>
                    <xdr:colOff>22860</xdr:colOff>
                    <xdr:row>8</xdr:row>
                    <xdr:rowOff>38100</xdr:rowOff>
                  </from>
                  <to>
                    <xdr:col>22</xdr:col>
                    <xdr:colOff>114300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Drop Down 5">
              <controlPr locked="0" defaultSize="0" autoLine="0" autoPict="0">
                <anchor moveWithCells="1">
                  <from>
                    <xdr:col>1</xdr:col>
                    <xdr:colOff>30480</xdr:colOff>
                    <xdr:row>12</xdr:row>
                    <xdr:rowOff>60960</xdr:rowOff>
                  </from>
                  <to>
                    <xdr:col>5</xdr:col>
                    <xdr:colOff>30480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Drop Down 6">
              <controlPr locked="0" defaultSize="0" autoLine="0" autoPict="0">
                <anchor moveWithCells="1">
                  <from>
                    <xdr:col>17</xdr:col>
                    <xdr:colOff>60960</xdr:colOff>
                    <xdr:row>11</xdr:row>
                    <xdr:rowOff>60960</xdr:rowOff>
                  </from>
                  <to>
                    <xdr:col>22</xdr:col>
                    <xdr:colOff>144780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Drop Down 7">
              <controlPr locked="0" defaultSize="0" autoLine="0" autoPict="0">
                <anchor moveWithCells="1">
                  <from>
                    <xdr:col>1</xdr:col>
                    <xdr:colOff>22860</xdr:colOff>
                    <xdr:row>18</xdr:row>
                    <xdr:rowOff>0</xdr:rowOff>
                  </from>
                  <to>
                    <xdr:col>4</xdr:col>
                    <xdr:colOff>487680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Drop Down 8">
              <controlPr locked="0" defaultSize="0" autoLine="0" autoPict="0">
                <anchor moveWithCells="1">
                  <from>
                    <xdr:col>1</xdr:col>
                    <xdr:colOff>22860</xdr:colOff>
                    <xdr:row>20</xdr:row>
                    <xdr:rowOff>0</xdr:rowOff>
                  </from>
                  <to>
                    <xdr:col>4</xdr:col>
                    <xdr:colOff>487680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Drop Down 9">
              <controlPr locked="0" defaultSize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4</xdr:col>
                    <xdr:colOff>480060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Drop Down 10">
              <controlPr locked="0" defaultSize="0" autoLine="0" autoPict="0">
                <anchor moveWithCells="1">
                  <from>
                    <xdr:col>1</xdr:col>
                    <xdr:colOff>22860</xdr:colOff>
                    <xdr:row>24</xdr:row>
                    <xdr:rowOff>0</xdr:rowOff>
                  </from>
                  <to>
                    <xdr:col>4</xdr:col>
                    <xdr:colOff>487680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7">
    <pageSetUpPr fitToPage="1"/>
  </sheetPr>
  <dimension ref="A1:U39"/>
  <sheetViews>
    <sheetView topLeftCell="A5" zoomScale="89" zoomScaleNormal="89" workbookViewId="0">
      <selection activeCell="K29" sqref="K29"/>
    </sheetView>
  </sheetViews>
  <sheetFormatPr defaultRowHeight="13.2" x14ac:dyDescent="0.25"/>
  <cols>
    <col min="1" max="11" width="9.6640625" style="32" customWidth="1"/>
    <col min="12" max="13" width="7.6640625" style="32" customWidth="1"/>
    <col min="14" max="14" width="6.33203125" style="32" customWidth="1"/>
    <col min="15" max="15" width="5" style="32" customWidth="1"/>
    <col min="16" max="16" width="6.6640625" style="32" customWidth="1"/>
    <col min="17" max="17" width="6.33203125" style="32" customWidth="1"/>
    <col min="18" max="18" width="5.33203125" style="32" customWidth="1"/>
    <col min="19" max="19" width="6.6640625" style="32" customWidth="1"/>
    <col min="20" max="20" width="1.6640625" style="32" customWidth="1"/>
    <col min="21" max="21" width="7.6640625" style="32" customWidth="1"/>
    <col min="22" max="16384" width="8.88671875" style="32"/>
  </cols>
  <sheetData>
    <row r="1" spans="1:21" x14ac:dyDescent="0.25">
      <c r="A1" s="871" t="s">
        <v>962</v>
      </c>
      <c r="B1" s="771"/>
      <c r="C1" s="771"/>
      <c r="D1" s="771"/>
      <c r="E1" s="771"/>
      <c r="F1" s="771"/>
      <c r="G1" s="771"/>
      <c r="H1" s="771" t="s">
        <v>905</v>
      </c>
      <c r="I1" s="872" t="str">
        <f>Metodo!C8</f>
        <v>Schede</v>
      </c>
      <c r="J1" s="771"/>
      <c r="K1" s="771"/>
      <c r="L1" s="771"/>
      <c r="M1" s="771" t="s">
        <v>927</v>
      </c>
      <c r="N1" s="872">
        <f>Inserimento!T5</f>
        <v>2025</v>
      </c>
      <c r="O1" s="771"/>
      <c r="P1" s="871" t="s">
        <v>1276</v>
      </c>
      <c r="Q1" s="771"/>
      <c r="R1" s="771"/>
      <c r="S1" s="771"/>
      <c r="T1" s="486"/>
      <c r="U1" s="486"/>
    </row>
    <row r="2" spans="1:21" ht="6" customHeight="1" x14ac:dyDescent="0.25">
      <c r="A2" s="771"/>
      <c r="B2" s="771"/>
      <c r="C2" s="771"/>
      <c r="D2" s="771"/>
      <c r="E2" s="771"/>
      <c r="F2" s="771"/>
      <c r="G2" s="771"/>
      <c r="H2" s="771"/>
      <c r="I2" s="771"/>
      <c r="J2" s="771"/>
      <c r="K2" s="771"/>
      <c r="L2" s="771"/>
      <c r="M2" s="771"/>
      <c r="N2" s="771"/>
      <c r="O2" s="771"/>
      <c r="P2" s="771"/>
      <c r="Q2" s="771"/>
      <c r="R2" s="771"/>
      <c r="S2" s="771"/>
      <c r="T2" s="486"/>
      <c r="U2" s="486"/>
    </row>
    <row r="3" spans="1:21" x14ac:dyDescent="0.25">
      <c r="A3" s="771" t="s">
        <v>966</v>
      </c>
      <c r="B3" s="771"/>
      <c r="C3" s="873" t="str">
        <f>Inserimento!B5</f>
        <v>Pinco Pallino</v>
      </c>
      <c r="D3" s="874"/>
      <c r="E3" s="874"/>
      <c r="F3" s="874"/>
      <c r="G3" s="874"/>
      <c r="H3" s="874"/>
      <c r="I3" s="874"/>
      <c r="J3" s="874"/>
      <c r="K3" s="874"/>
      <c r="L3" s="874"/>
      <c r="M3" s="874"/>
      <c r="N3" s="875"/>
      <c r="O3" s="771"/>
      <c r="P3" s="771"/>
      <c r="Q3" s="771"/>
      <c r="R3" s="771"/>
      <c r="S3" s="771"/>
      <c r="T3" s="486"/>
      <c r="U3" s="486"/>
    </row>
    <row r="4" spans="1:21" ht="6" customHeight="1" x14ac:dyDescent="0.25">
      <c r="A4" s="771"/>
      <c r="B4" s="771"/>
      <c r="C4" s="771"/>
      <c r="D4" s="771"/>
      <c r="E4" s="771"/>
      <c r="F4" s="771"/>
      <c r="G4" s="771"/>
      <c r="H4" s="771"/>
      <c r="I4" s="771"/>
      <c r="J4" s="771"/>
      <c r="K4" s="771"/>
      <c r="L4" s="771"/>
      <c r="M4" s="771"/>
      <c r="N4" s="771"/>
      <c r="O4" s="771"/>
      <c r="P4" s="771"/>
      <c r="Q4" s="771"/>
      <c r="R4" s="771"/>
      <c r="S4" s="771"/>
      <c r="T4" s="486"/>
      <c r="U4" s="486"/>
    </row>
    <row r="5" spans="1:21" x14ac:dyDescent="0.25">
      <c r="A5" s="771" t="s">
        <v>963</v>
      </c>
      <c r="B5" s="771"/>
      <c r="C5" s="872" t="str">
        <f>Inserimento!N5</f>
        <v>A</v>
      </c>
      <c r="D5" s="771"/>
      <c r="E5" s="771" t="s">
        <v>967</v>
      </c>
      <c r="F5" s="771"/>
      <c r="G5" s="872">
        <f>Inserimento!Q5</f>
        <v>1</v>
      </c>
      <c r="H5" s="771"/>
      <c r="I5" s="771" t="s">
        <v>282</v>
      </c>
      <c r="J5" s="771"/>
      <c r="K5" s="873" t="str">
        <f>Inserimento!F21</f>
        <v>Medio impasto</v>
      </c>
      <c r="L5" s="874"/>
      <c r="M5" s="875"/>
      <c r="N5" s="771"/>
      <c r="O5" s="771"/>
      <c r="P5" s="771"/>
      <c r="Q5" s="771"/>
      <c r="R5" s="771"/>
      <c r="S5" s="771"/>
      <c r="T5" s="486"/>
      <c r="U5" s="486"/>
    </row>
    <row r="6" spans="1:21" ht="6" customHeight="1" x14ac:dyDescent="0.25">
      <c r="A6" s="771"/>
      <c r="B6" s="771"/>
      <c r="C6" s="771"/>
      <c r="D6" s="771"/>
      <c r="E6" s="771"/>
      <c r="F6" s="771"/>
      <c r="G6" s="771"/>
      <c r="H6" s="771"/>
      <c r="I6" s="771"/>
      <c r="J6" s="771"/>
      <c r="K6" s="771"/>
      <c r="L6" s="771"/>
      <c r="M6" s="771"/>
      <c r="N6" s="771"/>
      <c r="O6" s="771"/>
      <c r="P6" s="771"/>
      <c r="Q6" s="771"/>
      <c r="R6" s="771"/>
      <c r="S6" s="771"/>
      <c r="T6" s="486"/>
      <c r="U6" s="486"/>
    </row>
    <row r="7" spans="1:21" x14ac:dyDescent="0.25">
      <c r="A7" s="771" t="s">
        <v>13</v>
      </c>
      <c r="B7" s="876" t="str">
        <f>Coltura!D238</f>
        <v>Grano duro (pianta intera)</v>
      </c>
      <c r="C7" s="877"/>
      <c r="D7" s="877"/>
      <c r="E7" s="877"/>
      <c r="F7" s="877"/>
      <c r="G7" s="878"/>
      <c r="H7" s="771"/>
      <c r="I7" s="771" t="s">
        <v>965</v>
      </c>
      <c r="J7" s="771"/>
      <c r="K7" s="872">
        <f>Inserimento!T10</f>
        <v>6</v>
      </c>
      <c r="L7" s="41"/>
      <c r="M7" s="771"/>
      <c r="N7" s="771" t="s">
        <v>437</v>
      </c>
      <c r="O7" s="771"/>
      <c r="P7" s="1071" t="str">
        <f>E!B28</f>
        <v>Mais stocchi asportati</v>
      </c>
      <c r="Q7" s="1072"/>
      <c r="R7" s="1072"/>
      <c r="S7" s="1072"/>
      <c r="T7" s="1072"/>
      <c r="U7" s="1072"/>
    </row>
    <row r="8" spans="1:21" ht="6.6" customHeight="1" x14ac:dyDescent="0.25">
      <c r="A8" s="771"/>
      <c r="B8" s="771"/>
      <c r="C8" s="771"/>
      <c r="D8" s="771"/>
      <c r="E8" s="771"/>
      <c r="F8" s="771"/>
      <c r="G8" s="771"/>
      <c r="H8" s="771"/>
      <c r="I8" s="771"/>
      <c r="J8" s="771"/>
      <c r="K8" s="771"/>
      <c r="L8" s="771"/>
      <c r="M8" s="771"/>
      <c r="N8" s="771"/>
      <c r="O8" s="771"/>
      <c r="P8" s="771"/>
      <c r="Q8" s="771"/>
      <c r="R8" s="771"/>
      <c r="S8" s="771"/>
      <c r="T8" s="771"/>
      <c r="U8" s="486"/>
    </row>
    <row r="9" spans="1:21" x14ac:dyDescent="0.25">
      <c r="A9" s="771" t="s">
        <v>1041</v>
      </c>
      <c r="B9" s="873" t="str">
        <f>Cicli_Fase!F31</f>
        <v>Primaverile-estiva  100–130 gg</v>
      </c>
      <c r="C9" s="874"/>
      <c r="D9" s="875"/>
      <c r="E9" s="771"/>
      <c r="F9" s="771"/>
      <c r="G9" s="771"/>
      <c r="H9" s="771"/>
      <c r="I9" s="771"/>
      <c r="J9" s="771"/>
      <c r="K9" s="771"/>
      <c r="L9" s="771"/>
      <c r="M9" s="771"/>
      <c r="N9" s="771"/>
      <c r="O9" s="771"/>
      <c r="P9" s="771"/>
      <c r="Q9" s="771"/>
      <c r="R9" s="771"/>
      <c r="S9" s="771"/>
      <c r="T9" s="771"/>
      <c r="U9" s="486"/>
    </row>
    <row r="10" spans="1:21" x14ac:dyDescent="0.25">
      <c r="A10" s="771"/>
      <c r="B10" s="771"/>
      <c r="C10" s="771"/>
      <c r="D10" s="771"/>
      <c r="E10" s="771"/>
      <c r="F10" s="771"/>
      <c r="G10" s="771"/>
      <c r="H10" s="771"/>
      <c r="I10" s="771"/>
      <c r="J10" s="771"/>
      <c r="K10" s="771"/>
      <c r="L10" s="771"/>
      <c r="M10" s="879" t="s">
        <v>969</v>
      </c>
      <c r="N10" s="771"/>
      <c r="O10" s="879"/>
      <c r="P10" s="879" t="s">
        <v>326</v>
      </c>
      <c r="Q10" s="879"/>
      <c r="R10" s="771"/>
      <c r="S10" s="879" t="s">
        <v>362</v>
      </c>
      <c r="T10" s="771"/>
      <c r="U10" s="880" t="s">
        <v>1297</v>
      </c>
    </row>
    <row r="11" spans="1:21" ht="15.6" x14ac:dyDescent="0.35">
      <c r="A11" s="771"/>
      <c r="B11" s="771"/>
      <c r="C11" s="771"/>
      <c r="D11" s="771"/>
      <c r="E11" s="771"/>
      <c r="F11" s="771"/>
      <c r="G11" s="771"/>
      <c r="H11" s="771"/>
      <c r="I11" s="771"/>
      <c r="J11" s="771"/>
      <c r="K11" s="771"/>
      <c r="L11" s="771"/>
      <c r="M11" s="881" t="s">
        <v>243</v>
      </c>
      <c r="N11" s="771"/>
      <c r="O11" s="879"/>
      <c r="P11" s="881" t="s">
        <v>1468</v>
      </c>
      <c r="Q11" s="879"/>
      <c r="R11" s="771"/>
      <c r="S11" s="881" t="s">
        <v>1469</v>
      </c>
      <c r="T11" s="771"/>
      <c r="U11" s="880" t="s">
        <v>1108</v>
      </c>
    </row>
    <row r="12" spans="1:21" ht="13.95" customHeight="1" x14ac:dyDescent="0.25">
      <c r="A12" s="771"/>
      <c r="B12" s="771"/>
      <c r="C12" s="771"/>
      <c r="D12" s="771"/>
      <c r="E12" s="771"/>
      <c r="F12" s="771"/>
      <c r="G12" s="771"/>
      <c r="H12" s="771"/>
      <c r="I12" s="771"/>
      <c r="J12" s="771"/>
      <c r="K12" s="771"/>
      <c r="L12" s="771"/>
      <c r="M12" s="882" t="s">
        <v>330</v>
      </c>
      <c r="N12" s="879"/>
      <c r="O12" s="879"/>
      <c r="P12" s="882" t="s">
        <v>330</v>
      </c>
      <c r="Q12" s="879"/>
      <c r="R12" s="879"/>
      <c r="S12" s="882" t="s">
        <v>330</v>
      </c>
      <c r="T12" s="771"/>
      <c r="U12" s="882" t="s">
        <v>383</v>
      </c>
    </row>
    <row r="13" spans="1:21" x14ac:dyDescent="0.25">
      <c r="B13" s="771"/>
      <c r="C13" s="883" t="s">
        <v>1464</v>
      </c>
      <c r="D13" s="884"/>
      <c r="E13" s="884"/>
      <c r="F13" s="884"/>
      <c r="G13" s="884"/>
      <c r="H13" s="884"/>
      <c r="I13" s="884"/>
      <c r="J13" s="884"/>
      <c r="K13" s="884"/>
      <c r="L13" s="771"/>
      <c r="M13" s="885">
        <f ca="1">Distribuz!Z4</f>
        <v>200</v>
      </c>
      <c r="N13" s="879"/>
      <c r="O13" s="879"/>
      <c r="P13" s="885">
        <f ca="1">Distribuz!AA4</f>
        <v>80</v>
      </c>
      <c r="Q13" s="879"/>
      <c r="R13" s="879"/>
      <c r="S13" s="885">
        <f ca="1">Distribuz!AB4</f>
        <v>120</v>
      </c>
      <c r="T13" s="771"/>
      <c r="U13" s="886">
        <f ca="1">SO!F9</f>
        <v>11</v>
      </c>
    </row>
    <row r="14" spans="1:21" ht="14.7" customHeight="1" x14ac:dyDescent="0.25">
      <c r="A14" s="771"/>
      <c r="B14" s="771"/>
      <c r="C14" s="771"/>
      <c r="D14" s="771"/>
      <c r="E14" s="771"/>
      <c r="F14" s="771"/>
      <c r="G14" s="771"/>
      <c r="H14" s="771"/>
      <c r="I14" s="771"/>
      <c r="J14" s="771"/>
      <c r="K14" s="771"/>
      <c r="L14" s="771"/>
      <c r="M14" s="771"/>
      <c r="N14" s="879"/>
      <c r="O14" s="879"/>
      <c r="P14" s="879"/>
      <c r="Q14" s="879"/>
      <c r="R14" s="879"/>
      <c r="S14" s="771"/>
      <c r="T14" s="771"/>
      <c r="U14" s="879"/>
    </row>
    <row r="15" spans="1:21" x14ac:dyDescent="0.25">
      <c r="A15" s="887" t="s">
        <v>461</v>
      </c>
      <c r="B15" s="1077" t="s">
        <v>971</v>
      </c>
      <c r="C15" s="1077"/>
      <c r="D15" s="1077"/>
      <c r="E15" s="1077"/>
      <c r="F15" s="1077"/>
      <c r="G15" s="1077"/>
      <c r="H15" s="1077"/>
      <c r="I15" s="1077"/>
      <c r="J15" s="1077"/>
      <c r="K15" s="1077"/>
      <c r="L15" s="1077"/>
      <c r="M15" s="888"/>
      <c r="N15" s="771"/>
      <c r="O15" s="771"/>
      <c r="P15" s="888"/>
      <c r="Q15" s="771"/>
      <c r="R15" s="771"/>
      <c r="S15" s="888"/>
      <c r="T15" s="771"/>
      <c r="U15" s="888"/>
    </row>
    <row r="16" spans="1:21" x14ac:dyDescent="0.25">
      <c r="A16" s="1078" t="s">
        <v>1470</v>
      </c>
      <c r="B16" s="889" t="s">
        <v>1832</v>
      </c>
      <c r="C16" s="890"/>
      <c r="D16" s="890"/>
      <c r="E16" s="890"/>
      <c r="F16" s="890"/>
      <c r="G16" s="890"/>
      <c r="H16" s="890"/>
      <c r="I16" s="890"/>
      <c r="J16" s="890"/>
      <c r="K16" s="890"/>
      <c r="L16" s="891"/>
      <c r="M16" s="892">
        <v>40.200000000000003</v>
      </c>
      <c r="N16" s="893"/>
      <c r="O16" s="893"/>
      <c r="P16" s="892">
        <v>32.160000000000004</v>
      </c>
      <c r="Q16" s="893"/>
      <c r="R16" s="893"/>
      <c r="S16" s="892">
        <v>53.6</v>
      </c>
      <c r="T16" s="894"/>
      <c r="U16" s="895">
        <v>0</v>
      </c>
    </row>
    <row r="17" spans="1:21" x14ac:dyDescent="0.25">
      <c r="A17" s="1079"/>
      <c r="B17" s="896" t="s">
        <v>1833</v>
      </c>
      <c r="C17" s="897"/>
      <c r="D17" s="897"/>
      <c r="E17" s="897"/>
      <c r="F17" s="897"/>
      <c r="G17" s="897"/>
      <c r="H17" s="897"/>
      <c r="I17" s="897"/>
      <c r="J17" s="897"/>
      <c r="K17" s="897"/>
      <c r="L17" s="891"/>
      <c r="M17" s="898">
        <v>60.434999999999988</v>
      </c>
      <c r="N17" s="893"/>
      <c r="O17" s="893"/>
      <c r="P17" s="898">
        <v>56.405999999999992</v>
      </c>
      <c r="Q17" s="893"/>
      <c r="R17" s="893"/>
      <c r="S17" s="898">
        <v>76.550999999999988</v>
      </c>
      <c r="T17" s="894"/>
      <c r="U17" s="899">
        <v>0</v>
      </c>
    </row>
    <row r="18" spans="1:21" x14ac:dyDescent="0.25">
      <c r="A18" s="1080"/>
      <c r="B18" s="900" t="s">
        <v>1777</v>
      </c>
      <c r="C18" s="901"/>
      <c r="D18" s="901"/>
      <c r="E18" s="901"/>
      <c r="F18" s="901"/>
      <c r="G18" s="901"/>
      <c r="H18" s="901"/>
      <c r="I18" s="901"/>
      <c r="J18" s="901"/>
      <c r="K18" s="901"/>
      <c r="L18" s="891"/>
      <c r="M18" s="902">
        <v>0</v>
      </c>
      <c r="N18" s="893"/>
      <c r="O18" s="893"/>
      <c r="P18" s="902">
        <v>0</v>
      </c>
      <c r="Q18" s="893"/>
      <c r="R18" s="893"/>
      <c r="S18" s="902">
        <v>0</v>
      </c>
      <c r="T18" s="894"/>
      <c r="U18" s="903">
        <v>0</v>
      </c>
    </row>
    <row r="19" spans="1:21" x14ac:dyDescent="0.25">
      <c r="A19" s="1081" t="s">
        <v>1471</v>
      </c>
      <c r="B19" s="896" t="s">
        <v>1777</v>
      </c>
      <c r="C19" s="897"/>
      <c r="D19" s="897"/>
      <c r="E19" s="897"/>
      <c r="F19" s="897"/>
      <c r="G19" s="897"/>
      <c r="H19" s="897"/>
      <c r="I19" s="897"/>
      <c r="J19" s="897"/>
      <c r="K19" s="897"/>
      <c r="L19" s="891"/>
      <c r="M19" s="904">
        <v>0</v>
      </c>
      <c r="N19" s="905"/>
      <c r="O19" s="905"/>
      <c r="P19" s="898">
        <v>0</v>
      </c>
      <c r="Q19" s="905"/>
      <c r="R19" s="905"/>
      <c r="S19" s="898">
        <v>0</v>
      </c>
      <c r="T19" s="894"/>
      <c r="U19" s="906"/>
    </row>
    <row r="20" spans="1:21" x14ac:dyDescent="0.25">
      <c r="A20" s="1082"/>
      <c r="B20" s="896" t="s">
        <v>1777</v>
      </c>
      <c r="C20" s="897"/>
      <c r="D20" s="897"/>
      <c r="E20" s="897"/>
      <c r="F20" s="897"/>
      <c r="G20" s="897"/>
      <c r="H20" s="897"/>
      <c r="I20" s="897"/>
      <c r="J20" s="897"/>
      <c r="K20" s="897"/>
      <c r="L20" s="891"/>
      <c r="M20" s="898">
        <v>0</v>
      </c>
      <c r="N20" s="893"/>
      <c r="O20" s="893"/>
      <c r="P20" s="898">
        <v>0</v>
      </c>
      <c r="Q20" s="893"/>
      <c r="R20" s="893"/>
      <c r="S20" s="898">
        <v>0</v>
      </c>
      <c r="T20" s="894"/>
      <c r="U20" s="906"/>
    </row>
    <row r="21" spans="1:21" x14ac:dyDescent="0.25">
      <c r="A21" s="1082"/>
      <c r="B21" s="896" t="s">
        <v>1777</v>
      </c>
      <c r="C21" s="897"/>
      <c r="D21" s="897"/>
      <c r="E21" s="897"/>
      <c r="F21" s="897"/>
      <c r="G21" s="897"/>
      <c r="H21" s="897"/>
      <c r="I21" s="897"/>
      <c r="J21" s="897"/>
      <c r="K21" s="897"/>
      <c r="L21" s="891"/>
      <c r="M21" s="898">
        <v>0</v>
      </c>
      <c r="N21" s="893"/>
      <c r="O21" s="893"/>
      <c r="P21" s="898">
        <v>0</v>
      </c>
      <c r="Q21" s="893"/>
      <c r="R21" s="893"/>
      <c r="S21" s="898">
        <v>0</v>
      </c>
      <c r="T21" s="894"/>
      <c r="U21" s="906"/>
    </row>
    <row r="22" spans="1:21" x14ac:dyDescent="0.25">
      <c r="A22" s="1082"/>
      <c r="B22" s="896" t="s">
        <v>1777</v>
      </c>
      <c r="C22" s="897"/>
      <c r="D22" s="897"/>
      <c r="E22" s="897"/>
      <c r="F22" s="897"/>
      <c r="G22" s="897"/>
      <c r="H22" s="897"/>
      <c r="I22" s="897"/>
      <c r="J22" s="897"/>
      <c r="K22" s="897"/>
      <c r="L22" s="891"/>
      <c r="M22" s="898">
        <v>0</v>
      </c>
      <c r="N22" s="893"/>
      <c r="O22" s="893"/>
      <c r="P22" s="898">
        <v>0</v>
      </c>
      <c r="Q22" s="893"/>
      <c r="R22" s="893"/>
      <c r="S22" s="898">
        <v>0</v>
      </c>
      <c r="T22" s="894"/>
      <c r="U22" s="906"/>
    </row>
    <row r="23" spans="1:21" x14ac:dyDescent="0.25">
      <c r="A23" s="1082"/>
      <c r="B23" s="896" t="s">
        <v>1777</v>
      </c>
      <c r="C23" s="897"/>
      <c r="D23" s="897"/>
      <c r="E23" s="897"/>
      <c r="F23" s="897"/>
      <c r="G23" s="897"/>
      <c r="H23" s="897"/>
      <c r="I23" s="897"/>
      <c r="J23" s="897"/>
      <c r="K23" s="897"/>
      <c r="L23" s="891"/>
      <c r="M23" s="898">
        <v>0</v>
      </c>
      <c r="N23" s="893"/>
      <c r="O23" s="893"/>
      <c r="P23" s="898">
        <v>0</v>
      </c>
      <c r="Q23" s="893"/>
      <c r="R23" s="893"/>
      <c r="S23" s="898">
        <v>0</v>
      </c>
      <c r="T23" s="894"/>
      <c r="U23" s="906"/>
    </row>
    <row r="24" spans="1:21" x14ac:dyDescent="0.25">
      <c r="A24" s="1082"/>
      <c r="B24" s="896" t="s">
        <v>1777</v>
      </c>
      <c r="C24" s="897"/>
      <c r="D24" s="897"/>
      <c r="E24" s="897"/>
      <c r="F24" s="897"/>
      <c r="G24" s="897"/>
      <c r="H24" s="897"/>
      <c r="I24" s="897"/>
      <c r="J24" s="897"/>
      <c r="K24" s="897"/>
      <c r="L24" s="891"/>
      <c r="M24" s="898">
        <v>0</v>
      </c>
      <c r="N24" s="893"/>
      <c r="O24" s="893"/>
      <c r="P24" s="898">
        <v>0</v>
      </c>
      <c r="Q24" s="893"/>
      <c r="R24" s="893"/>
      <c r="S24" s="898">
        <v>0</v>
      </c>
      <c r="T24" s="894"/>
      <c r="U24" s="906"/>
    </row>
    <row r="25" spans="1:21" x14ac:dyDescent="0.25">
      <c r="A25" s="1082"/>
      <c r="B25" s="896" t="s">
        <v>1777</v>
      </c>
      <c r="C25" s="897"/>
      <c r="D25" s="897"/>
      <c r="E25" s="897"/>
      <c r="F25" s="897"/>
      <c r="G25" s="897"/>
      <c r="H25" s="897"/>
      <c r="I25" s="897"/>
      <c r="J25" s="897"/>
      <c r="K25" s="897"/>
      <c r="L25" s="891"/>
      <c r="M25" s="898">
        <v>0</v>
      </c>
      <c r="N25" s="893"/>
      <c r="O25" s="893"/>
      <c r="P25" s="898">
        <v>0</v>
      </c>
      <c r="Q25" s="893"/>
      <c r="R25" s="893"/>
      <c r="S25" s="898">
        <v>0</v>
      </c>
      <c r="T25" s="894"/>
      <c r="U25" s="906"/>
    </row>
    <row r="26" spans="1:21" x14ac:dyDescent="0.25">
      <c r="A26" s="1083"/>
      <c r="B26" s="907" t="s">
        <v>1777</v>
      </c>
      <c r="C26" s="908"/>
      <c r="D26" s="908"/>
      <c r="E26" s="908"/>
      <c r="F26" s="908"/>
      <c r="G26" s="908"/>
      <c r="H26" s="908"/>
      <c r="I26" s="908"/>
      <c r="J26" s="908"/>
      <c r="K26" s="908"/>
      <c r="L26" s="891"/>
      <c r="M26" s="909">
        <v>0</v>
      </c>
      <c r="N26" s="893"/>
      <c r="O26" s="893"/>
      <c r="P26" s="909">
        <v>0</v>
      </c>
      <c r="Q26" s="893"/>
      <c r="R26" s="893"/>
      <c r="S26" s="909">
        <v>0</v>
      </c>
      <c r="T26" s="894"/>
      <c r="U26" s="906"/>
    </row>
    <row r="27" spans="1:21" ht="6" customHeight="1" thickBot="1" x14ac:dyDescent="0.3">
      <c r="A27" s="910"/>
      <c r="B27" s="771"/>
      <c r="C27" s="771"/>
      <c r="D27" s="771"/>
      <c r="E27" s="771"/>
      <c r="F27" s="771"/>
      <c r="G27" s="771"/>
      <c r="H27" s="771"/>
      <c r="I27" s="771"/>
      <c r="J27" s="771"/>
      <c r="K27" s="771"/>
      <c r="L27" s="771"/>
      <c r="M27" s="906"/>
      <c r="N27" s="906"/>
      <c r="O27" s="906"/>
      <c r="P27" s="906"/>
      <c r="Q27" s="906"/>
      <c r="R27" s="906"/>
      <c r="S27" s="906"/>
      <c r="T27" s="894"/>
      <c r="U27" s="906"/>
    </row>
    <row r="28" spans="1:21" ht="13.8" thickBot="1" x14ac:dyDescent="0.3">
      <c r="A28" s="486"/>
      <c r="C28" s="911" t="s">
        <v>970</v>
      </c>
      <c r="D28" s="912"/>
      <c r="E28" s="912"/>
      <c r="F28" s="912"/>
      <c r="G28" s="912"/>
      <c r="H28" s="912"/>
      <c r="I28" s="912"/>
      <c r="J28" s="912"/>
      <c r="K28" s="912"/>
      <c r="L28" s="771"/>
      <c r="M28" s="913">
        <f>SUM(M16:M26)</f>
        <v>100.63499999999999</v>
      </c>
      <c r="N28" s="879"/>
      <c r="O28" s="879"/>
      <c r="P28" s="913">
        <f>SUM(P16:P26)</f>
        <v>88.566000000000003</v>
      </c>
      <c r="Q28" s="879"/>
      <c r="R28" s="879"/>
      <c r="S28" s="913">
        <f>SUM(S16:S26)</f>
        <v>130.15099999999998</v>
      </c>
      <c r="T28" s="771"/>
      <c r="U28" s="914">
        <f>SUM(U16:U18)</f>
        <v>0</v>
      </c>
    </row>
    <row r="29" spans="1:21" ht="13.8" thickBot="1" x14ac:dyDescent="0.3">
      <c r="A29" s="915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7" t="str">
        <f ca="1">IF(M28&gt;M13,"Eccesso","OK")</f>
        <v>OK</v>
      </c>
      <c r="N29" s="918"/>
      <c r="O29" s="918"/>
      <c r="P29" s="917" t="str">
        <f ca="1">IF(P28&gt;P13,"Eccesso","OK")</f>
        <v>Eccesso</v>
      </c>
      <c r="Q29" s="918"/>
      <c r="R29" s="918"/>
      <c r="S29" s="917" t="str">
        <f ca="1">IF(S28&gt;S13,"Eccesso","OK")</f>
        <v>Eccesso</v>
      </c>
      <c r="T29" s="916"/>
      <c r="U29" s="919"/>
    </row>
    <row r="30" spans="1:21" x14ac:dyDescent="0.25">
      <c r="A30" s="771"/>
      <c r="B30" s="771"/>
      <c r="C30" s="1073" t="s">
        <v>1476</v>
      </c>
      <c r="D30" s="1074"/>
      <c r="E30" s="1074"/>
      <c r="F30" s="1074"/>
      <c r="G30" s="1074"/>
      <c r="H30" s="1074"/>
      <c r="I30" s="1074"/>
      <c r="J30" s="1074"/>
      <c r="K30" s="1074"/>
      <c r="L30" s="920"/>
      <c r="M30" s="920"/>
      <c r="N30" s="920"/>
      <c r="O30" s="920"/>
      <c r="P30" s="921" t="s">
        <v>325</v>
      </c>
      <c r="Q30" s="922"/>
      <c r="R30" s="922"/>
      <c r="S30" s="923" t="s">
        <v>325</v>
      </c>
      <c r="T30" s="910"/>
      <c r="U30" s="924"/>
    </row>
    <row r="31" spans="1:21" x14ac:dyDescent="0.25">
      <c r="A31" s="771"/>
      <c r="B31" s="771"/>
      <c r="C31" s="1073"/>
      <c r="D31" s="1074"/>
      <c r="E31" s="1074"/>
      <c r="F31" s="1074"/>
      <c r="G31" s="1074"/>
      <c r="H31" s="1074"/>
      <c r="I31" s="1074"/>
      <c r="J31" s="1074"/>
      <c r="K31" s="1074"/>
      <c r="L31" s="920"/>
      <c r="M31" s="920"/>
      <c r="N31" s="920"/>
      <c r="O31" s="920"/>
      <c r="P31" s="921" t="s">
        <v>1466</v>
      </c>
      <c r="Q31" s="922"/>
      <c r="R31" s="922"/>
      <c r="S31" s="923" t="s">
        <v>1467</v>
      </c>
      <c r="T31" s="910"/>
      <c r="U31" s="924"/>
    </row>
    <row r="32" spans="1:21" x14ac:dyDescent="0.25">
      <c r="A32" s="771"/>
      <c r="B32" s="771"/>
      <c r="C32" s="1075"/>
      <c r="D32" s="1076"/>
      <c r="E32" s="1076"/>
      <c r="F32" s="1076"/>
      <c r="G32" s="1076"/>
      <c r="H32" s="1076"/>
      <c r="I32" s="1076"/>
      <c r="J32" s="1076"/>
      <c r="K32" s="1076"/>
      <c r="L32" s="920"/>
      <c r="M32" s="920"/>
      <c r="N32" s="920"/>
      <c r="O32" s="920"/>
      <c r="P32" s="925">
        <v>48.153312933333339</v>
      </c>
      <c r="Q32" s="926"/>
      <c r="R32" s="926"/>
      <c r="S32" s="927">
        <v>193.24605158999194</v>
      </c>
      <c r="T32" s="910"/>
      <c r="U32" s="924"/>
    </row>
    <row r="33" spans="1:21" x14ac:dyDescent="0.25">
      <c r="A33" s="771"/>
      <c r="B33" s="771"/>
      <c r="C33" s="771"/>
      <c r="D33" s="771"/>
      <c r="E33" s="771"/>
      <c r="F33" s="771"/>
      <c r="G33" s="771"/>
      <c r="H33" s="771"/>
      <c r="I33" s="771"/>
      <c r="J33" s="771"/>
      <c r="K33" s="771"/>
      <c r="L33" s="771"/>
      <c r="M33" s="771"/>
      <c r="N33" s="879"/>
      <c r="O33" s="879"/>
      <c r="P33" s="879"/>
      <c r="Q33" s="879"/>
      <c r="R33" s="879"/>
      <c r="S33" s="771"/>
      <c r="T33" s="771"/>
      <c r="U33" s="879"/>
    </row>
    <row r="34" spans="1:21" x14ac:dyDescent="0.25">
      <c r="A34" s="879" t="s">
        <v>973</v>
      </c>
      <c r="B34" s="1084"/>
      <c r="C34" s="1085"/>
      <c r="D34" s="1085"/>
      <c r="E34" s="1085"/>
      <c r="F34" s="1085"/>
      <c r="G34" s="1085"/>
      <c r="H34" s="1085"/>
      <c r="I34" s="1085"/>
      <c r="J34" s="1085"/>
      <c r="K34" s="1086"/>
      <c r="L34" s="771"/>
      <c r="M34" s="1093" t="s">
        <v>1462</v>
      </c>
      <c r="N34" s="1094"/>
      <c r="O34" s="1094"/>
      <c r="P34" s="1094"/>
      <c r="Q34" s="1094"/>
      <c r="R34" s="1094"/>
      <c r="S34" s="1095"/>
      <c r="T34" s="771"/>
      <c r="U34" s="879"/>
    </row>
    <row r="35" spans="1:21" x14ac:dyDescent="0.25">
      <c r="A35" s="771"/>
      <c r="B35" s="1090"/>
      <c r="C35" s="1091"/>
      <c r="D35" s="1091"/>
      <c r="E35" s="1091"/>
      <c r="F35" s="1091"/>
      <c r="G35" s="1091"/>
      <c r="H35" s="1091"/>
      <c r="I35" s="1091"/>
      <c r="J35" s="1091"/>
      <c r="K35" s="1092"/>
      <c r="L35" s="771"/>
      <c r="M35" s="1096"/>
      <c r="N35" s="1097"/>
      <c r="O35" s="1097"/>
      <c r="P35" s="1097"/>
      <c r="Q35" s="1097"/>
      <c r="R35" s="1097"/>
      <c r="S35" s="1098"/>
      <c r="T35" s="771"/>
      <c r="U35" s="879"/>
    </row>
    <row r="36" spans="1:21" x14ac:dyDescent="0.25">
      <c r="A36" s="771"/>
      <c r="B36" s="1087"/>
      <c r="C36" s="1088"/>
      <c r="D36" s="1088"/>
      <c r="E36" s="1088"/>
      <c r="F36" s="1088"/>
      <c r="G36" s="1088"/>
      <c r="H36" s="1088"/>
      <c r="I36" s="1088"/>
      <c r="J36" s="1088"/>
      <c r="K36" s="1089"/>
      <c r="L36" s="771"/>
      <c r="M36" s="928">
        <f ca="1">IF(OR(M13=0,M28=0)," ",((+M19+M20+M21+M22+M23+M24+M25+M26)/M13)*100)</f>
        <v>0</v>
      </c>
      <c r="N36" s="929"/>
      <c r="O36" s="929"/>
      <c r="P36" s="928">
        <f ca="1">IF(OR(P13=0,P28=0)," ",((+P19+P20+P21+P22+P23+P24+P25+P26)/P13)*100)</f>
        <v>0</v>
      </c>
      <c r="Q36" s="929"/>
      <c r="R36" s="929"/>
      <c r="S36" s="928">
        <f ca="1">IF(OR(S13=0,S28=0)," ",((+S19+S20+S21+S22+S23+S24+S25+S26)/S13)*100)</f>
        <v>0</v>
      </c>
      <c r="T36" s="771"/>
      <c r="U36" s="879"/>
    </row>
    <row r="37" spans="1:21" x14ac:dyDescent="0.25">
      <c r="A37" s="771"/>
      <c r="B37" s="771"/>
      <c r="C37" s="771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879"/>
    </row>
    <row r="38" spans="1:21" x14ac:dyDescent="0.25">
      <c r="A38" s="771"/>
      <c r="B38" s="771"/>
      <c r="C38" s="771"/>
      <c r="D38" s="771"/>
      <c r="E38" s="771"/>
      <c r="F38" s="771"/>
      <c r="G38" s="771"/>
      <c r="H38" s="771"/>
      <c r="I38" s="771"/>
      <c r="J38" s="771"/>
      <c r="K38" s="771"/>
      <c r="L38" s="771"/>
      <c r="M38" s="771"/>
      <c r="N38" s="771" t="s">
        <v>1237</v>
      </c>
      <c r="O38" s="771"/>
      <c r="P38" s="1084"/>
      <c r="Q38" s="1085"/>
      <c r="R38" s="1085"/>
      <c r="S38" s="1086"/>
      <c r="T38" s="771"/>
      <c r="U38" s="879"/>
    </row>
    <row r="39" spans="1:21" x14ac:dyDescent="0.25">
      <c r="A39" s="771"/>
      <c r="B39" s="771"/>
      <c r="C39" s="771"/>
      <c r="D39" s="771"/>
      <c r="E39" s="771"/>
      <c r="F39" s="771"/>
      <c r="G39" s="771"/>
      <c r="H39" s="771"/>
      <c r="I39" s="771"/>
      <c r="J39" s="771"/>
      <c r="K39" s="771"/>
      <c r="L39" s="771"/>
      <c r="M39" s="771"/>
      <c r="N39" s="771"/>
      <c r="O39" s="771"/>
      <c r="P39" s="1087"/>
      <c r="Q39" s="1088"/>
      <c r="R39" s="1088"/>
      <c r="S39" s="1089"/>
      <c r="T39" s="771"/>
      <c r="U39" s="879"/>
    </row>
  </sheetData>
  <sheetProtection algorithmName="SHA-512" hashValue="Mq5k+r0GqE9N2b3lkQGDWg8wrMb5ibjsIVoWrUtQ2sY7A6s80FsySgAV29EC4oPebdMXs38OWwAypQLG2YWuQA==" saltValue="Zzz0pQuAIogLR/x64jJMBw==" spinCount="100000" sheet="1" objects="1" scenarios="1"/>
  <mergeCells count="8">
    <mergeCell ref="P38:S39"/>
    <mergeCell ref="B34:K36"/>
    <mergeCell ref="M34:S35"/>
    <mergeCell ref="P7:U7"/>
    <mergeCell ref="C30:K32"/>
    <mergeCell ref="B15:L15"/>
    <mergeCell ref="A16:A18"/>
    <mergeCell ref="A19:A26"/>
  </mergeCells>
  <phoneticPr fontId="2" type="noConversion"/>
  <conditionalFormatting sqref="M16">
    <cfRule type="expression" dxfId="7" priority="8">
      <formula>M16=0</formula>
    </cfRule>
  </conditionalFormatting>
  <conditionalFormatting sqref="M17">
    <cfRule type="expression" dxfId="6" priority="7">
      <formula>$M$17=0</formula>
    </cfRule>
  </conditionalFormatting>
  <conditionalFormatting sqref="M18:M26">
    <cfRule type="cellIs" dxfId="5" priority="6" operator="equal">
      <formula>0</formula>
    </cfRule>
  </conditionalFormatting>
  <conditionalFormatting sqref="P16:P26">
    <cfRule type="cellIs" dxfId="4" priority="5" operator="equal">
      <formula>0</formula>
    </cfRule>
  </conditionalFormatting>
  <conditionalFormatting sqref="S16:S26">
    <cfRule type="cellIs" dxfId="3" priority="4" operator="equal">
      <formula>0</formula>
    </cfRule>
  </conditionalFormatting>
  <conditionalFormatting sqref="U16:U18">
    <cfRule type="cellIs" dxfId="2" priority="3" operator="equal">
      <formula>0</formula>
    </cfRule>
  </conditionalFormatting>
  <conditionalFormatting sqref="M29">
    <cfRule type="cellIs" dxfId="1" priority="1" operator="equal">
      <formula>"Eccesso"</formula>
    </cfRule>
    <cfRule type="cellIs" dxfId="0" priority="2" operator="equal">
      <formula>"""Eccesso"""</formula>
    </cfRule>
  </conditionalFormatting>
  <pageMargins left="0.75" right="0.75" top="1" bottom="1" header="0.5" footer="0.5"/>
  <pageSetup paperSize="9" scale="83" orientation="landscape" r:id="rId1"/>
  <headerFooter alignWithMargins="0">
    <oddFooter>&amp;L&amp;F&amp;R&amp;D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opia_Piano_Distribuz">
                <anchor moveWithCells="1" sizeWithCells="1">
                  <from>
                    <xdr:col>1</xdr:col>
                    <xdr:colOff>22860</xdr:colOff>
                    <xdr:row>36</xdr:row>
                    <xdr:rowOff>137160</xdr:rowOff>
                  </from>
                  <to>
                    <xdr:col>4</xdr:col>
                    <xdr:colOff>449580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ancella_Piano_Distribuz">
                <anchor moveWithCells="1" sizeWithCells="1">
                  <from>
                    <xdr:col>5</xdr:col>
                    <xdr:colOff>266700</xdr:colOff>
                    <xdr:row>36</xdr:row>
                    <xdr:rowOff>175260</xdr:rowOff>
                  </from>
                  <to>
                    <xdr:col>9</xdr:col>
                    <xdr:colOff>144780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4">
    <pageSetUpPr fitToPage="1"/>
  </sheetPr>
  <dimension ref="A1:V41"/>
  <sheetViews>
    <sheetView topLeftCell="A16" zoomScaleNormal="100" workbookViewId="0">
      <selection activeCell="A16" sqref="A1:XFD1048576"/>
    </sheetView>
  </sheetViews>
  <sheetFormatPr defaultRowHeight="13.2" x14ac:dyDescent="0.25"/>
  <cols>
    <col min="1" max="1" width="8.88671875" style="32"/>
    <col min="2" max="2" width="34.6640625" style="32" customWidth="1"/>
    <col min="3" max="3" width="2.33203125" style="32" customWidth="1"/>
    <col min="4" max="4" width="2.5546875" style="32" customWidth="1"/>
    <col min="5" max="6" width="2.33203125" style="32" customWidth="1"/>
    <col min="7" max="7" width="7" style="32" customWidth="1"/>
    <col min="8" max="8" width="50.33203125" style="32" customWidth="1"/>
    <col min="9" max="9" width="5" style="32" customWidth="1"/>
    <col min="10" max="10" width="19.6640625" style="32" customWidth="1"/>
    <col min="11" max="11" width="5.33203125" style="32" customWidth="1"/>
    <col min="12" max="12" width="6" style="32" customWidth="1"/>
    <col min="13" max="13" width="5.33203125" style="32" customWidth="1"/>
    <col min="14" max="15" width="1.33203125" style="32" customWidth="1"/>
    <col min="16" max="16" width="5.33203125" style="32" customWidth="1"/>
    <col min="17" max="17" width="1.33203125" style="32" customWidth="1"/>
    <col min="18" max="18" width="1.5546875" style="32" customWidth="1"/>
    <col min="19" max="19" width="7.33203125" style="32" customWidth="1"/>
    <col min="20" max="20" width="7" style="32" customWidth="1"/>
    <col min="21" max="21" width="9.6640625" style="32" customWidth="1"/>
    <col min="22" max="16384" width="8.88671875" style="32"/>
  </cols>
  <sheetData>
    <row r="1" spans="1:22" x14ac:dyDescent="0.25">
      <c r="B1" s="30" t="s">
        <v>921</v>
      </c>
      <c r="C1" s="30"/>
      <c r="D1" s="30"/>
      <c r="E1" s="30"/>
      <c r="G1" s="32" t="s">
        <v>13</v>
      </c>
      <c r="H1" s="930" t="str">
        <f>Coltura!D238</f>
        <v>Grano duro (pianta intera)</v>
      </c>
      <c r="I1" s="41" t="s">
        <v>914</v>
      </c>
      <c r="J1" s="41"/>
      <c r="K1" s="151"/>
      <c r="L1" s="833" t="s">
        <v>243</v>
      </c>
      <c r="M1" s="833"/>
      <c r="N1" s="92"/>
      <c r="O1" s="92"/>
      <c r="P1" s="931" t="s">
        <v>244</v>
      </c>
      <c r="Q1" s="931"/>
      <c r="R1" s="931"/>
      <c r="S1" s="931" t="s">
        <v>245</v>
      </c>
      <c r="T1" s="32" t="s">
        <v>1290</v>
      </c>
      <c r="V1" s="32" t="s">
        <v>1068</v>
      </c>
    </row>
    <row r="2" spans="1:22" x14ac:dyDescent="0.25">
      <c r="B2" s="32" t="s">
        <v>911</v>
      </c>
      <c r="G2" s="41" t="s">
        <v>383</v>
      </c>
      <c r="H2" s="41" t="s">
        <v>913</v>
      </c>
      <c r="I2" s="41" t="s">
        <v>356</v>
      </c>
      <c r="J2" s="41"/>
      <c r="K2" s="932" t="s">
        <v>916</v>
      </c>
      <c r="L2" s="41" t="s">
        <v>917</v>
      </c>
      <c r="M2" s="41" t="s">
        <v>918</v>
      </c>
      <c r="N2" s="41"/>
      <c r="O2" s="41"/>
      <c r="P2" s="933"/>
      <c r="S2" s="933"/>
      <c r="T2" s="41" t="s">
        <v>1291</v>
      </c>
      <c r="U2" s="32" t="s">
        <v>1292</v>
      </c>
      <c r="V2" s="32" t="s">
        <v>1078</v>
      </c>
    </row>
    <row r="3" spans="1:22" x14ac:dyDescent="0.25">
      <c r="A3" s="32" t="s">
        <v>912</v>
      </c>
      <c r="B3" s="934" t="str">
        <f>Fert_org!C27</f>
        <v>ammendante compostato misto</v>
      </c>
      <c r="C3" s="92"/>
      <c r="D3" s="92"/>
      <c r="E3" s="92"/>
      <c r="F3" s="92"/>
      <c r="G3" s="935">
        <f>Distribuz!L7</f>
        <v>0</v>
      </c>
      <c r="H3" s="936" t="str">
        <f>Ciclo_Modalità!F44</f>
        <v>Prearatura estiva o autunnale - su paglie o stocchi</v>
      </c>
      <c r="I3" s="937">
        <f>IF(Fert_org!E27=1,0,IF(Fert_org!E27&lt;4,Ciclo_Modalità!L44,Efficienza!F223))</f>
        <v>40</v>
      </c>
      <c r="J3" s="938" t="s">
        <v>919</v>
      </c>
      <c r="K3" s="939">
        <f>Distribuz!N7</f>
        <v>0</v>
      </c>
      <c r="L3" s="940">
        <f>Distribuz!O7</f>
        <v>0</v>
      </c>
      <c r="M3" s="938"/>
      <c r="N3" s="938"/>
      <c r="O3" s="938"/>
      <c r="P3" s="941">
        <f>IF(Fert_org!$E27&gt;1,(Distribuz!H7*Distribuz!L7),0)</f>
        <v>0</v>
      </c>
      <c r="S3" s="941">
        <f>IF(Fert_org!E27&gt;1,(Distribuz!I7*Distribuz!L7),0)</f>
        <v>0</v>
      </c>
      <c r="T3" s="942">
        <f>IF(Fert_org!E27&gt;1,(Distribuz!L7*Distribuz!J7)/100,0)</f>
        <v>0</v>
      </c>
    </row>
    <row r="4" spans="1:22" ht="13.8" thickBot="1" x14ac:dyDescent="0.3">
      <c r="B4" s="932"/>
      <c r="C4" s="1004" t="s">
        <v>933</v>
      </c>
      <c r="D4" s="1004"/>
      <c r="E4" s="1004"/>
      <c r="F4" s="1004"/>
      <c r="G4" s="943">
        <f>Distribuz!Q7</f>
        <v>2023</v>
      </c>
      <c r="I4" s="944" t="s">
        <v>950</v>
      </c>
      <c r="J4" s="945" t="s">
        <v>925</v>
      </c>
      <c r="K4" s="946"/>
      <c r="L4" s="947"/>
      <c r="M4" s="948">
        <f>IF(Fert_org!$E27&lt;4,(K3*I3)/100,K3*0.85)</f>
        <v>0</v>
      </c>
      <c r="N4" s="948"/>
      <c r="O4" s="948"/>
      <c r="P4" s="949">
        <f>IF(Fert_org!E27&lt;4,(P3*$I3)/100,P3*0.95)</f>
        <v>0</v>
      </c>
      <c r="S4" s="949">
        <f>IF(Fert_org!E27&lt;4,(S3*$I3)/100,S3*0.95)</f>
        <v>0</v>
      </c>
      <c r="T4" s="950"/>
      <c r="U4" s="951">
        <f>IF(AND(Fert_org!S27=1,(Codici!D2=Codici!DT2)),'Apporti al terreno'!T3,0)</f>
        <v>0</v>
      </c>
    </row>
    <row r="5" spans="1:22" x14ac:dyDescent="0.25">
      <c r="B5" s="932"/>
      <c r="I5" s="32" t="s">
        <v>951</v>
      </c>
      <c r="J5" s="32" t="s">
        <v>920</v>
      </c>
      <c r="K5" s="932"/>
      <c r="L5" s="41"/>
      <c r="M5" s="952">
        <f>IF(Fert_org!$E27&lt;4,(M4*C_tempo!$C$22),((Distribuz!G7*Distribuz!$L7)*'Apporti al terreno'!$I3)/100)</f>
        <v>0</v>
      </c>
      <c r="N5" s="952"/>
      <c r="O5" s="952"/>
      <c r="P5" s="952">
        <f>IF(Fert_org!$E27&lt;4,(P4*C_tempo!$C$22),((Distribuz!H7*Distribuz!$L7)*'Apporti al terreno'!$I3)/100)</f>
        <v>0</v>
      </c>
      <c r="S5" s="953">
        <f>IF(Fert_org!$E27&lt;4,(S4*C_tempo!$C$22),((Distribuz!I7*Distribuz!$L7)*'Apporti al terreno'!$I3)/100)</f>
        <v>0</v>
      </c>
      <c r="T5" s="58"/>
    </row>
    <row r="6" spans="1:22" x14ac:dyDescent="0.25">
      <c r="A6" s="32" t="s">
        <v>924</v>
      </c>
      <c r="B6" s="934" t="str">
        <f>Fert_org!C29</f>
        <v>liquame bovini da carne</v>
      </c>
      <c r="C6" s="92"/>
      <c r="D6" s="92"/>
      <c r="E6" s="92"/>
      <c r="F6" s="92"/>
      <c r="G6" s="935">
        <f>Distribuz!L10</f>
        <v>123</v>
      </c>
      <c r="H6" s="936" t="str">
        <f>Ciclo_Modalità!F46</f>
        <v>In copertura con fertirrigazione a bassa pressione</v>
      </c>
      <c r="I6" s="937">
        <f>IF(Fert_org!E29=1,0,IF(Fert_org!E29&lt;4,40,Efficienza!F225))</f>
        <v>49.3</v>
      </c>
      <c r="J6" s="938" t="s">
        <v>919</v>
      </c>
      <c r="K6" s="939">
        <f>Distribuz!N10</f>
        <v>369</v>
      </c>
      <c r="L6" s="940">
        <f>Distribuz!O10</f>
        <v>369</v>
      </c>
      <c r="M6" s="938"/>
      <c r="P6" s="941">
        <f>IF(Fert_org!E29&gt;1,(Distribuz!H10*Distribuz!L10),0)</f>
        <v>344.4</v>
      </c>
      <c r="S6" s="941">
        <f>IF(Fert_org!E29&gt;1,(Distribuz!I10*Distribuz!L10),0)</f>
        <v>467.4</v>
      </c>
      <c r="T6" s="942">
        <f>IF(Fert_org!E29&gt;1,(Distribuz!L10*Distribuz!J10)/100,0)</f>
        <v>10.455</v>
      </c>
    </row>
    <row r="7" spans="1:22" ht="13.8" thickBot="1" x14ac:dyDescent="0.3">
      <c r="B7" s="932"/>
      <c r="C7" s="1004" t="s">
        <v>933</v>
      </c>
      <c r="D7" s="1004"/>
      <c r="E7" s="1004"/>
      <c r="F7" s="1004"/>
      <c r="G7" s="943">
        <f>Distribuz!Q10</f>
        <v>2024</v>
      </c>
      <c r="I7" s="944" t="s">
        <v>950</v>
      </c>
      <c r="J7" s="944" t="s">
        <v>925</v>
      </c>
      <c r="K7" s="954"/>
      <c r="L7" s="955"/>
      <c r="M7" s="956">
        <f>IF(Fert_org!$E29&lt;4,(K6*I6)/100,K6*0.85)</f>
        <v>313.64999999999998</v>
      </c>
      <c r="P7" s="957">
        <f>IF(Fert_org!E29&lt;4,(P6*$I6)/100,P6*0.95)</f>
        <v>327.17999999999995</v>
      </c>
      <c r="S7" s="957">
        <f>IF(Fert_org!E29&lt;4,(S6*$I6)/100,S6*0.95)</f>
        <v>444.03</v>
      </c>
      <c r="T7" s="958"/>
      <c r="U7" s="951">
        <f>IF(AND(Fert_org!S29=1,(Codici!D2=Codici!DU2)),'Apporti al terreno'!T6,0)</f>
        <v>0</v>
      </c>
    </row>
    <row r="8" spans="1:22" x14ac:dyDescent="0.25">
      <c r="B8" s="959"/>
      <c r="C8" s="519"/>
      <c r="D8" s="519"/>
      <c r="E8" s="519"/>
      <c r="F8" s="519"/>
      <c r="G8" s="519"/>
      <c r="H8" s="519"/>
      <c r="I8" s="32" t="s">
        <v>951</v>
      </c>
      <c r="J8" s="519" t="s">
        <v>920</v>
      </c>
      <c r="K8" s="959"/>
      <c r="L8" s="822"/>
      <c r="M8" s="960">
        <f>IF(Fert_org!$E29&lt;4,(M7*C_tempo!$C$22),((Distribuz!G10*Distribuz!$L10)*'Apporti al terreno'!$I6)/100)</f>
        <v>181.917</v>
      </c>
      <c r="P8" s="960">
        <f>IF(Fert_org!$E29&lt;4,(P7*C_tempo!$C$22),((Distribuz!H10*Distribuz!$L10)*'Apporti al terreno'!$I6)/100)</f>
        <v>169.78919999999999</v>
      </c>
      <c r="S8" s="960">
        <f>IF(Fert_org!$E29&lt;4,(S7*C_tempo!$C$22),((Distribuz!I10*Distribuz!$L10)*'Apporti al terreno'!$I6)/100)</f>
        <v>230.42819999999995</v>
      </c>
      <c r="T8" s="42"/>
    </row>
    <row r="9" spans="1:22" x14ac:dyDescent="0.25">
      <c r="A9" s="32" t="s">
        <v>926</v>
      </c>
      <c r="B9" s="934" t="str">
        <f>Fert_org!C31</f>
        <v>z nessuno</v>
      </c>
      <c r="C9" s="92"/>
      <c r="D9" s="92"/>
      <c r="E9" s="92"/>
      <c r="F9" s="92"/>
      <c r="G9" s="935">
        <f>Distribuz!L13</f>
        <v>0</v>
      </c>
      <c r="H9" s="936" t="str">
        <f>Ciclo_Modalità!F48</f>
        <v>In copertura in primavera senza interramento</v>
      </c>
      <c r="I9" s="937">
        <f>IF(Fert_org!E31=1,0,IF(Fert_org!E31&lt;4,40,Efficienza!F227))</f>
        <v>0</v>
      </c>
      <c r="J9" s="938" t="s">
        <v>919</v>
      </c>
      <c r="K9" s="939">
        <f>Distribuz!N13</f>
        <v>0</v>
      </c>
      <c r="L9" s="940">
        <f>Distribuz!O13</f>
        <v>0</v>
      </c>
      <c r="M9" s="938"/>
      <c r="P9" s="941">
        <f>IF(Fert_org!E31&gt;1,(Distribuz!H13*Distribuz!L13),0)</f>
        <v>0</v>
      </c>
      <c r="S9" s="941">
        <f>IF(Fert_org!E31&gt;1,(Distribuz!I13*Distribuz!L13),0)</f>
        <v>0</v>
      </c>
      <c r="T9" s="942">
        <f>IF(Fert_org!E31&gt;1,(Distribuz!L13*Distribuz!J13)/100,0)</f>
        <v>0</v>
      </c>
    </row>
    <row r="10" spans="1:22" ht="13.8" thickBot="1" x14ac:dyDescent="0.3">
      <c r="B10" s="932"/>
      <c r="C10" s="1004" t="s">
        <v>933</v>
      </c>
      <c r="D10" s="1004"/>
      <c r="E10" s="1004"/>
      <c r="F10" s="1004"/>
      <c r="G10" s="943">
        <f>Distribuz!Q13</f>
        <v>0</v>
      </c>
      <c r="I10" s="944" t="s">
        <v>950</v>
      </c>
      <c r="J10" s="944" t="s">
        <v>925</v>
      </c>
      <c r="K10" s="954"/>
      <c r="L10" s="955"/>
      <c r="M10" s="956">
        <f>IF(Fert_org!$E31&lt;4,(K9*I9)/100,K9*0.85)</f>
        <v>0</v>
      </c>
      <c r="P10" s="957">
        <f>IF(Fert_org!E31&lt;4,(P9*$I9)/100,P9*0.95)</f>
        <v>0</v>
      </c>
      <c r="S10" s="957">
        <f>IF(Fert_org!E31&lt;4,(S9*$I9)/100,S9*0.95)</f>
        <v>0</v>
      </c>
      <c r="T10" s="958"/>
      <c r="U10" s="951">
        <f>IF(AND(Fert_org!S31=1,(Codici!D5=Codici!DU5)),'Apporti al terreno'!T9,0)</f>
        <v>0</v>
      </c>
    </row>
    <row r="11" spans="1:22" ht="13.8" thickBot="1" x14ac:dyDescent="0.3">
      <c r="B11" s="959"/>
      <c r="C11" s="519"/>
      <c r="D11" s="519"/>
      <c r="E11" s="519"/>
      <c r="F11" s="519"/>
      <c r="G11" s="519"/>
      <c r="I11" s="32" t="s">
        <v>951</v>
      </c>
      <c r="J11" s="32" t="s">
        <v>920</v>
      </c>
      <c r="K11" s="932"/>
      <c r="L11" s="41"/>
      <c r="M11" s="51">
        <f>IF(Fert_org!$E31&lt;4,(M10*C_tempo!$C$22),((Distribuz!G13*Distribuz!$L13)*$I9)/100)</f>
        <v>0</v>
      </c>
      <c r="P11" s="51">
        <f>IF(Fert_org!$E31&lt;4,(P10*C_tempo!$C$22),((Distribuz!H13*Distribuz!$L13)*$I9)/100)</f>
        <v>0</v>
      </c>
      <c r="S11" s="51">
        <f>IF(Fert_org!$E31&lt;4,(S10*C_tempo!$C$22),((Distribuz!I13*Distribuz!$L13)*$I9)/100)</f>
        <v>0</v>
      </c>
      <c r="T11" s="42"/>
    </row>
    <row r="12" spans="1:22" ht="13.8" thickBot="1" x14ac:dyDescent="0.3">
      <c r="H12" s="1102" t="s">
        <v>1295</v>
      </c>
      <c r="I12" s="1103"/>
      <c r="J12" s="1104"/>
      <c r="K12" s="961"/>
      <c r="L12" s="656"/>
      <c r="M12" s="962">
        <f>(+M5+M8+M11)</f>
        <v>181.917</v>
      </c>
      <c r="N12" s="656"/>
      <c r="O12" s="656"/>
      <c r="P12" s="963">
        <f>(+P5+P8+P11)</f>
        <v>169.78919999999999</v>
      </c>
      <c r="Q12" s="656"/>
      <c r="R12" s="656"/>
      <c r="S12" s="964">
        <f>(+S5+S8+S11)</f>
        <v>230.42819999999995</v>
      </c>
    </row>
    <row r="13" spans="1:22" x14ac:dyDescent="0.25">
      <c r="B13" s="32" t="s">
        <v>941</v>
      </c>
      <c r="G13" s="41" t="s">
        <v>1234</v>
      </c>
      <c r="H13" s="41" t="s">
        <v>942</v>
      </c>
      <c r="K13" s="932"/>
    </row>
    <row r="14" spans="1:22" x14ac:dyDescent="0.25">
      <c r="A14" s="32" t="s">
        <v>943</v>
      </c>
      <c r="B14" s="930" t="str">
        <f>Concimi!C153</f>
        <v>Nessuno</v>
      </c>
      <c r="G14" s="45">
        <f>Distribuz!L19</f>
        <v>0</v>
      </c>
      <c r="H14" s="45" t="str">
        <f>Distribuz!R19</f>
        <v>fase rapido accrescimento</v>
      </c>
      <c r="K14" s="932"/>
      <c r="M14" s="49">
        <f>(Distribuz!G19*Distribuz!$L19)</f>
        <v>0</v>
      </c>
      <c r="P14" s="59">
        <f>(Distribuz!H19*Distribuz!$L19)</f>
        <v>0</v>
      </c>
      <c r="S14" s="59">
        <f>(Distribuz!I19*Distribuz!$L19)</f>
        <v>0</v>
      </c>
    </row>
    <row r="15" spans="1:22" x14ac:dyDescent="0.25">
      <c r="A15" s="32" t="s">
        <v>944</v>
      </c>
      <c r="B15" s="930" t="str">
        <f>Concimi!C156</f>
        <v>Nessuno</v>
      </c>
      <c r="G15" s="45">
        <f>Distribuz!L21</f>
        <v>0</v>
      </c>
      <c r="H15" s="45">
        <f>Distribuz!R21</f>
        <v>0</v>
      </c>
      <c r="K15" s="932"/>
      <c r="M15" s="49">
        <f>(Distribuz!G21*Distribuz!$L21)</f>
        <v>0</v>
      </c>
      <c r="P15" s="59">
        <f>(Distribuz!H21*Distribuz!$L21)</f>
        <v>0</v>
      </c>
      <c r="S15" s="59">
        <f>(Distribuz!I21*Distribuz!$L21)</f>
        <v>0</v>
      </c>
    </row>
    <row r="16" spans="1:22" x14ac:dyDescent="0.25">
      <c r="A16" s="32" t="s">
        <v>945</v>
      </c>
      <c r="B16" s="930" t="str">
        <f>Concimi!C159</f>
        <v>Nessuno</v>
      </c>
      <c r="G16" s="45">
        <f>Distribuz!L23</f>
        <v>0</v>
      </c>
      <c r="H16" s="45">
        <f>Distribuz!R23</f>
        <v>0</v>
      </c>
      <c r="K16" s="932"/>
      <c r="M16" s="49">
        <f>(Distribuz!G23*Distribuz!$L23)</f>
        <v>0</v>
      </c>
      <c r="P16" s="59">
        <f>(Distribuz!H23*Distribuz!$L23)</f>
        <v>0</v>
      </c>
      <c r="S16" s="59">
        <f>(Distribuz!I23*Distribuz!$L23)</f>
        <v>0</v>
      </c>
    </row>
    <row r="17" spans="1:22" x14ac:dyDescent="0.25">
      <c r="A17" s="32" t="s">
        <v>946</v>
      </c>
      <c r="B17" s="930" t="str">
        <f>Concimi!C162</f>
        <v>Nessuno</v>
      </c>
      <c r="G17" s="45">
        <f>Distribuz!L25</f>
        <v>0</v>
      </c>
      <c r="H17" s="45">
        <f>Distribuz!R25</f>
        <v>0</v>
      </c>
      <c r="K17" s="932"/>
      <c r="M17" s="49">
        <f>(Distribuz!G25*Distribuz!$L25)</f>
        <v>0</v>
      </c>
      <c r="P17" s="59">
        <f>(Distribuz!H25*Distribuz!$L25)</f>
        <v>0</v>
      </c>
      <c r="S17" s="59">
        <f>(Distribuz!I25*Distribuz!$L25)</f>
        <v>0</v>
      </c>
    </row>
    <row r="18" spans="1:22" x14ac:dyDescent="0.25">
      <c r="A18" s="32" t="s">
        <v>947</v>
      </c>
      <c r="B18" s="930">
        <f>Distribuz!B27</f>
        <v>0</v>
      </c>
      <c r="G18" s="45">
        <f>Distribuz!L27</f>
        <v>0</v>
      </c>
      <c r="H18" s="45">
        <f>Distribuz!R27</f>
        <v>0</v>
      </c>
      <c r="K18" s="932"/>
      <c r="M18" s="49">
        <f>(Distribuz!G27*Distribuz!$L27)</f>
        <v>0</v>
      </c>
      <c r="P18" s="59">
        <f>(Distribuz!H27*Distribuz!$L27)</f>
        <v>0</v>
      </c>
      <c r="S18" s="59">
        <f>(Distribuz!I27*Distribuz!$L27)</f>
        <v>0</v>
      </c>
    </row>
    <row r="19" spans="1:22" x14ac:dyDescent="0.25">
      <c r="A19" s="32" t="s">
        <v>948</v>
      </c>
      <c r="B19" s="930">
        <f>Distribuz!B29</f>
        <v>0</v>
      </c>
      <c r="G19" s="45">
        <f>Distribuz!L29</f>
        <v>0</v>
      </c>
      <c r="H19" s="45">
        <f>Distribuz!R29</f>
        <v>0</v>
      </c>
      <c r="K19" s="932"/>
      <c r="M19" s="49">
        <f>(Distribuz!G29*Distribuz!$L29)</f>
        <v>0</v>
      </c>
      <c r="P19" s="59">
        <f>(Distribuz!H29*Distribuz!$L29)</f>
        <v>0</v>
      </c>
      <c r="S19" s="59">
        <f>(Distribuz!I29*Distribuz!$L29)</f>
        <v>0</v>
      </c>
      <c r="V19" s="41"/>
    </row>
    <row r="20" spans="1:22" x14ac:dyDescent="0.25">
      <c r="A20" s="32" t="s">
        <v>6</v>
      </c>
      <c r="B20" s="930">
        <f>Distribuz!B31</f>
        <v>0</v>
      </c>
      <c r="G20" s="45">
        <f>Distribuz!L31</f>
        <v>0</v>
      </c>
      <c r="H20" s="45">
        <f>Distribuz!R31</f>
        <v>0</v>
      </c>
      <c r="K20" s="932"/>
      <c r="M20" s="49">
        <f>(Distribuz!G31*Distribuz!$L31)</f>
        <v>0</v>
      </c>
      <c r="P20" s="59">
        <f>(Distribuz!H31*Distribuz!$L31)</f>
        <v>0</v>
      </c>
      <c r="S20" s="59">
        <f>(Distribuz!I31*Distribuz!$L31)</f>
        <v>0</v>
      </c>
    </row>
    <row r="21" spans="1:22" ht="13.8" thickBot="1" x14ac:dyDescent="0.3">
      <c r="A21" s="32" t="s">
        <v>7</v>
      </c>
      <c r="B21" s="930">
        <f>Distribuz!B33</f>
        <v>0</v>
      </c>
      <c r="G21" s="45">
        <f>Distribuz!L33</f>
        <v>0</v>
      </c>
      <c r="H21" s="45">
        <f>Distribuz!R33</f>
        <v>0</v>
      </c>
      <c r="K21" s="932"/>
      <c r="M21" s="49">
        <f>(Distribuz!G33*Distribuz!$L33)</f>
        <v>0</v>
      </c>
      <c r="P21" s="59">
        <f>(Distribuz!H33*Distribuz!$L33)</f>
        <v>0</v>
      </c>
      <c r="S21" s="59">
        <f>(Distribuz!I33*Distribuz!$L33)</f>
        <v>0</v>
      </c>
    </row>
    <row r="22" spans="1:22" ht="13.8" thickBot="1" x14ac:dyDescent="0.3">
      <c r="H22" s="1099" t="s">
        <v>1294</v>
      </c>
      <c r="I22" s="1100"/>
      <c r="J22" s="1101"/>
      <c r="K22" s="961"/>
      <c r="L22" s="656"/>
      <c r="M22" s="965">
        <f>SUM(M14:M21)</f>
        <v>0</v>
      </c>
      <c r="N22" s="656"/>
      <c r="O22" s="656"/>
      <c r="P22" s="966">
        <f>SUM(P14:P21)</f>
        <v>0</v>
      </c>
      <c r="Q22" s="656"/>
      <c r="R22" s="656"/>
      <c r="S22" s="967">
        <f>SUM(S14:S21)</f>
        <v>0</v>
      </c>
    </row>
    <row r="23" spans="1:22" ht="13.8" thickBot="1" x14ac:dyDescent="0.3">
      <c r="H23" s="486"/>
      <c r="I23" s="486"/>
      <c r="J23" s="486"/>
      <c r="K23" s="486"/>
      <c r="L23" s="486"/>
      <c r="M23" s="486"/>
      <c r="N23" s="486"/>
      <c r="O23" s="486"/>
      <c r="P23" s="486"/>
      <c r="Q23" s="486"/>
      <c r="R23" s="486"/>
      <c r="S23" s="486"/>
    </row>
    <row r="24" spans="1:22" ht="14.4" thickTop="1" thickBot="1" x14ac:dyDescent="0.3">
      <c r="A24" s="151" t="s">
        <v>949</v>
      </c>
      <c r="B24" s="833"/>
      <c r="C24" s="833"/>
      <c r="D24" s="833"/>
      <c r="E24" s="833"/>
      <c r="F24" s="833"/>
      <c r="G24" s="833"/>
      <c r="H24" s="968" t="s">
        <v>954</v>
      </c>
      <c r="I24" s="969"/>
      <c r="J24" s="969"/>
      <c r="K24" s="969"/>
      <c r="L24" s="969"/>
      <c r="M24" s="970">
        <f>(M12+M22)</f>
        <v>181.917</v>
      </c>
      <c r="N24" s="970">
        <f t="shared" ref="N24:S24" si="0">(N12+N22)</f>
        <v>0</v>
      </c>
      <c r="O24" s="970">
        <f t="shared" si="0"/>
        <v>0</v>
      </c>
      <c r="P24" s="970">
        <f t="shared" si="0"/>
        <v>169.78919999999999</v>
      </c>
      <c r="Q24" s="970">
        <f t="shared" si="0"/>
        <v>0</v>
      </c>
      <c r="R24" s="970">
        <f t="shared" si="0"/>
        <v>0</v>
      </c>
      <c r="S24" s="970">
        <f t="shared" si="0"/>
        <v>230.42819999999995</v>
      </c>
      <c r="T24" s="971">
        <f>(T3+T6+T9)</f>
        <v>10.455</v>
      </c>
    </row>
    <row r="25" spans="1:22" ht="13.8" thickTop="1" x14ac:dyDescent="0.25">
      <c r="A25" s="91" t="s">
        <v>955</v>
      </c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72"/>
      <c r="P25" s="973">
        <f>(P24-Bilancio!I15)</f>
        <v>106.1892</v>
      </c>
      <c r="S25" s="973">
        <f>(S24-(Bilancio!J15+Bilancio!J16))</f>
        <v>91.02819999999997</v>
      </c>
      <c r="T25" s="41"/>
    </row>
    <row r="26" spans="1:22" ht="16.5" customHeight="1" x14ac:dyDescent="0.25">
      <c r="A26" s="974" t="s">
        <v>959</v>
      </c>
      <c r="B26" s="833"/>
      <c r="C26" s="833"/>
      <c r="D26" s="833"/>
      <c r="E26" s="833"/>
      <c r="F26" s="833"/>
      <c r="G26" s="833"/>
      <c r="H26" s="833"/>
      <c r="I26" s="833"/>
      <c r="J26" s="833"/>
      <c r="K26" s="975" t="s">
        <v>1465</v>
      </c>
      <c r="L26" s="92"/>
      <c r="M26" s="972"/>
      <c r="N26" s="92"/>
      <c r="O26" s="92"/>
      <c r="P26" s="976">
        <f>Gri_P!D27</f>
        <v>32.017492349999998</v>
      </c>
      <c r="Q26" s="92"/>
      <c r="R26" s="92"/>
      <c r="S26" s="977">
        <f>Gri_K!C36</f>
        <v>167.50920052705482</v>
      </c>
      <c r="T26" s="41"/>
    </row>
    <row r="27" spans="1:22" ht="13.95" customHeight="1" x14ac:dyDescent="0.25">
      <c r="K27" s="978" t="s">
        <v>1482</v>
      </c>
      <c r="L27" s="519"/>
      <c r="M27" s="519"/>
      <c r="N27" s="519"/>
      <c r="O27" s="519"/>
      <c r="P27" s="979">
        <f>Gri_P!D28</f>
        <v>13.981430576890348</v>
      </c>
      <c r="Q27" s="519"/>
      <c r="R27" s="519"/>
      <c r="S27" s="980">
        <f>Gri_K!C37</f>
        <v>139.5904420752106</v>
      </c>
    </row>
    <row r="28" spans="1:22" x14ac:dyDescent="0.25">
      <c r="H28" s="41" t="s">
        <v>953</v>
      </c>
      <c r="M28" s="32" t="s">
        <v>952</v>
      </c>
    </row>
    <row r="29" spans="1:22" x14ac:dyDescent="0.25">
      <c r="A29" s="32">
        <v>1</v>
      </c>
      <c r="B29" s="91" t="str">
        <f>IF(B3="z nessuno"," ",CONCATENATE(G3," t/ha di ",B3," ",H3,"-",G4))</f>
        <v>0 t/ha di ammendante compostato misto Prearatura estiva o autunnale - su paglie o stocchi-2023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81">
        <f>M5</f>
        <v>0</v>
      </c>
      <c r="P29" s="981">
        <f>P5</f>
        <v>0</v>
      </c>
      <c r="S29" s="982">
        <f>S5</f>
        <v>0</v>
      </c>
      <c r="U29" s="983">
        <f>U4</f>
        <v>0</v>
      </c>
    </row>
    <row r="30" spans="1:22" x14ac:dyDescent="0.25">
      <c r="A30" s="32">
        <v>2</v>
      </c>
      <c r="B30" s="932" t="str">
        <f>IF(B6="z nessuno"," ",CONCATENATE(G6," t/ha di ",B6," ",H6,"-",G7))</f>
        <v>123 t/ha di liquame bovini da carne In copertura con fertirrigazione a bassa pressione-2024</v>
      </c>
      <c r="M30" s="984">
        <f>M8</f>
        <v>181.917</v>
      </c>
      <c r="P30" s="984">
        <f>P8</f>
        <v>169.78919999999999</v>
      </c>
      <c r="S30" s="985">
        <f>S8</f>
        <v>230.42819999999995</v>
      </c>
      <c r="U30" s="983">
        <f>U7</f>
        <v>0</v>
      </c>
    </row>
    <row r="31" spans="1:22" x14ac:dyDescent="0.25">
      <c r="A31" s="32">
        <v>3</v>
      </c>
      <c r="B31" s="932" t="str">
        <f>IF(B9="z nessuno"," ",CONCATENATE(G9," t/ha di ",B9," ",H9,"- ",G10))</f>
        <v xml:space="preserve"> </v>
      </c>
      <c r="M31" s="984">
        <f>M11</f>
        <v>0</v>
      </c>
      <c r="P31" s="984">
        <f>P11</f>
        <v>0</v>
      </c>
      <c r="S31" s="985">
        <f>S11</f>
        <v>0</v>
      </c>
      <c r="U31" s="983">
        <f>U10</f>
        <v>0</v>
      </c>
    </row>
    <row r="32" spans="1:22" x14ac:dyDescent="0.25">
      <c r="A32" s="32">
        <v>4</v>
      </c>
      <c r="B32" s="932" t="str">
        <f>IF(B14="Nessuno"," ",CONCATENATE(G14," q/ha di ",B14," ",H14))</f>
        <v xml:space="preserve"> </v>
      </c>
      <c r="M32" s="45">
        <f t="shared" ref="M32:M39" si="1">M14</f>
        <v>0</v>
      </c>
      <c r="P32" s="45">
        <f t="shared" ref="P32:P39" si="2">P14</f>
        <v>0</v>
      </c>
      <c r="S32" s="46">
        <f t="shared" ref="S32:S39" si="3">S14</f>
        <v>0</v>
      </c>
    </row>
    <row r="33" spans="1:19" x14ac:dyDescent="0.25">
      <c r="A33" s="32">
        <v>5</v>
      </c>
      <c r="B33" s="932" t="str">
        <f>IF(B15="Nessuno"," ",CONCATENATE(G15," q/ha di ",B15," ",H15))</f>
        <v xml:space="preserve"> </v>
      </c>
      <c r="M33" s="45">
        <f t="shared" si="1"/>
        <v>0</v>
      </c>
      <c r="P33" s="45">
        <f t="shared" si="2"/>
        <v>0</v>
      </c>
      <c r="S33" s="46">
        <f t="shared" si="3"/>
        <v>0</v>
      </c>
    </row>
    <row r="34" spans="1:19" x14ac:dyDescent="0.25">
      <c r="A34" s="32">
        <v>6</v>
      </c>
      <c r="B34" s="932" t="str">
        <f>IF(B16="Nessuno"," ",CONCATENATE(G16," q/ha di ",B16," ",H16))</f>
        <v xml:space="preserve"> </v>
      </c>
      <c r="M34" s="45">
        <f t="shared" si="1"/>
        <v>0</v>
      </c>
      <c r="P34" s="45">
        <f t="shared" si="2"/>
        <v>0</v>
      </c>
      <c r="S34" s="46">
        <f t="shared" si="3"/>
        <v>0</v>
      </c>
    </row>
    <row r="35" spans="1:19" x14ac:dyDescent="0.25">
      <c r="A35" s="32">
        <v>7</v>
      </c>
      <c r="B35" s="932" t="str">
        <f>IF(B17="Nessuno"," ",CONCATENATE(G17," q/ha di ",B17," ",H17))</f>
        <v xml:space="preserve"> </v>
      </c>
      <c r="M35" s="45">
        <f t="shared" si="1"/>
        <v>0</v>
      </c>
      <c r="P35" s="45">
        <f t="shared" si="2"/>
        <v>0</v>
      </c>
      <c r="S35" s="46">
        <f t="shared" si="3"/>
        <v>0</v>
      </c>
    </row>
    <row r="36" spans="1:19" x14ac:dyDescent="0.25">
      <c r="A36" s="32">
        <v>8</v>
      </c>
      <c r="B36" s="932" t="str">
        <f>IF(ISBLANK(Distribuz!B27)," ",CONCATENATE(G18," q/ha di ",B18," ",H18))</f>
        <v xml:space="preserve"> </v>
      </c>
      <c r="M36" s="45">
        <f t="shared" si="1"/>
        <v>0</v>
      </c>
      <c r="P36" s="45">
        <f t="shared" si="2"/>
        <v>0</v>
      </c>
      <c r="S36" s="46">
        <f t="shared" si="3"/>
        <v>0</v>
      </c>
    </row>
    <row r="37" spans="1:19" x14ac:dyDescent="0.25">
      <c r="A37" s="32">
        <v>9</v>
      </c>
      <c r="B37" s="932" t="str">
        <f>IF(ISBLANK(Distribuz!B29)," ",CONCATENATE(G19," q/ha di ",B19," ",H19))</f>
        <v xml:space="preserve"> </v>
      </c>
      <c r="M37" s="45">
        <f t="shared" si="1"/>
        <v>0</v>
      </c>
      <c r="P37" s="45">
        <f t="shared" si="2"/>
        <v>0</v>
      </c>
      <c r="S37" s="46">
        <f t="shared" si="3"/>
        <v>0</v>
      </c>
    </row>
    <row r="38" spans="1:19" x14ac:dyDescent="0.25">
      <c r="A38" s="32">
        <v>10</v>
      </c>
      <c r="B38" s="932" t="str">
        <f>IF(ISBLANK(Distribuz!B31)," ",CONCATENATE(G20," q/ha di ",B20," ",H20))</f>
        <v xml:space="preserve"> </v>
      </c>
      <c r="M38" s="45">
        <f t="shared" si="1"/>
        <v>0</v>
      </c>
      <c r="P38" s="45">
        <f t="shared" si="2"/>
        <v>0</v>
      </c>
      <c r="S38" s="46">
        <f t="shared" si="3"/>
        <v>0</v>
      </c>
    </row>
    <row r="39" spans="1:19" x14ac:dyDescent="0.25">
      <c r="A39" s="32">
        <v>11</v>
      </c>
      <c r="B39" s="959" t="str">
        <f>IF(ISBLANK(Distribuz!B33)," ",CONCATENATE(G21," q/ha di ",B21," ",H21))</f>
        <v xml:space="preserve"> </v>
      </c>
      <c r="C39" s="519"/>
      <c r="D39" s="519"/>
      <c r="E39" s="519"/>
      <c r="F39" s="519"/>
      <c r="G39" s="519"/>
      <c r="H39" s="519"/>
      <c r="I39" s="519"/>
      <c r="J39" s="519"/>
      <c r="K39" s="519"/>
      <c r="L39" s="519"/>
      <c r="M39" s="504">
        <f t="shared" si="1"/>
        <v>0</v>
      </c>
      <c r="P39" s="504">
        <f t="shared" si="2"/>
        <v>0</v>
      </c>
      <c r="S39" s="986">
        <f t="shared" si="3"/>
        <v>0</v>
      </c>
    </row>
    <row r="40" spans="1:19" ht="5.25" customHeight="1" x14ac:dyDescent="0.25"/>
    <row r="41" spans="1:19" x14ac:dyDescent="0.25">
      <c r="A41" s="32" t="s">
        <v>954</v>
      </c>
      <c r="M41" s="51">
        <f>SUM(M29:M39)</f>
        <v>181.917</v>
      </c>
      <c r="P41" s="51">
        <f>SUM(P29:P39)</f>
        <v>169.78919999999999</v>
      </c>
      <c r="S41" s="51">
        <f>SUM(S29:S39)</f>
        <v>230.42819999999995</v>
      </c>
    </row>
  </sheetData>
  <sheetProtection algorithmName="SHA-512" hashValue="vW2jtxNxuURRs+aBJkIBO6dPUlZ0akgMQx9QyQ3LbnjnAIwTDLlWoQrZQbmHULr/WEvQnBGZc1LDgI9Ln82LgA==" saltValue="MSwoZaYYGX4R6X2NIhQECg==" spinCount="100000" sheet="1" objects="1" scenarios="1"/>
  <mergeCells count="5">
    <mergeCell ref="H22:J22"/>
    <mergeCell ref="H12:J12"/>
    <mergeCell ref="C4:F4"/>
    <mergeCell ref="C7:F7"/>
    <mergeCell ref="C10:F10"/>
  </mergeCells>
  <phoneticPr fontId="2" type="noConversion"/>
  <pageMargins left="0.75" right="0.75" top="1" bottom="1" header="0.5" footer="0.5"/>
  <pageSetup paperSize="9" scale="78" orientation="landscape" r:id="rId1"/>
  <headerFooter alignWithMargins="0">
    <oddFooter>&amp;L&amp;F&amp;R&amp;D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38"/>
  <dimension ref="B1:M31"/>
  <sheetViews>
    <sheetView workbookViewId="0">
      <selection activeCell="H17" sqref="H17"/>
    </sheetView>
  </sheetViews>
  <sheetFormatPr defaultRowHeight="13.2" x14ac:dyDescent="0.25"/>
  <cols>
    <col min="1" max="1" width="1.44140625" customWidth="1"/>
    <col min="3" max="3" width="14.33203125" bestFit="1" customWidth="1"/>
    <col min="4" max="4" width="1.6640625" customWidth="1"/>
    <col min="6" max="6" width="26.5546875" bestFit="1" customWidth="1"/>
    <col min="8" max="8" width="27.6640625" customWidth="1"/>
  </cols>
  <sheetData>
    <row r="1" spans="2:13" x14ac:dyDescent="0.25">
      <c r="B1" s="116" t="s">
        <v>1160</v>
      </c>
      <c r="C1" s="119"/>
      <c r="E1" s="116" t="s">
        <v>1162</v>
      </c>
      <c r="F1" s="118"/>
      <c r="G1" s="118" t="s">
        <v>1163</v>
      </c>
      <c r="H1" s="119"/>
      <c r="I1" s="118" t="s">
        <v>1164</v>
      </c>
      <c r="J1" s="118"/>
      <c r="K1" s="118"/>
      <c r="L1" s="118"/>
      <c r="M1" s="119"/>
    </row>
    <row r="2" spans="2:13" x14ac:dyDescent="0.25">
      <c r="B2" s="349" t="s">
        <v>858</v>
      </c>
      <c r="C2" s="330" t="s">
        <v>862</v>
      </c>
      <c r="E2" s="159" t="s">
        <v>1139</v>
      </c>
      <c r="F2" t="s">
        <v>1166</v>
      </c>
      <c r="G2" t="s">
        <v>1144</v>
      </c>
      <c r="H2" s="330" t="s">
        <v>1163</v>
      </c>
      <c r="I2" t="s">
        <v>1167</v>
      </c>
      <c r="J2" t="s">
        <v>1168</v>
      </c>
      <c r="K2" t="s">
        <v>1169</v>
      </c>
      <c r="L2" t="s">
        <v>242</v>
      </c>
      <c r="M2" s="330" t="s">
        <v>594</v>
      </c>
    </row>
    <row r="3" spans="2:13" x14ac:dyDescent="0.25">
      <c r="B3" s="159" t="s">
        <v>602</v>
      </c>
      <c r="C3" s="330" t="s">
        <v>1170</v>
      </c>
      <c r="E3" s="159">
        <v>1</v>
      </c>
      <c r="F3" t="s">
        <v>1145</v>
      </c>
      <c r="G3">
        <v>9</v>
      </c>
      <c r="H3" s="330" t="s">
        <v>1171</v>
      </c>
      <c r="I3" t="s">
        <v>234</v>
      </c>
      <c r="J3" t="s">
        <v>1029</v>
      </c>
      <c r="K3" t="s">
        <v>1172</v>
      </c>
      <c r="L3">
        <v>1</v>
      </c>
      <c r="M3" s="330">
        <v>4</v>
      </c>
    </row>
    <row r="4" spans="2:13" x14ac:dyDescent="0.25">
      <c r="B4" s="159" t="s">
        <v>604</v>
      </c>
      <c r="C4" s="330" t="s">
        <v>1173</v>
      </c>
      <c r="E4" s="159">
        <v>2</v>
      </c>
      <c r="F4" t="s">
        <v>1146</v>
      </c>
      <c r="G4">
        <v>3</v>
      </c>
      <c r="H4" s="330" t="s">
        <v>933</v>
      </c>
      <c r="I4" t="s">
        <v>235</v>
      </c>
      <c r="J4" t="s">
        <v>602</v>
      </c>
      <c r="K4" t="s">
        <v>1174</v>
      </c>
      <c r="L4">
        <v>5</v>
      </c>
      <c r="M4" s="330">
        <v>7</v>
      </c>
    </row>
    <row r="5" spans="2:13" ht="13.8" thickBot="1" x14ac:dyDescent="0.3">
      <c r="B5" s="346" t="s">
        <v>1029</v>
      </c>
      <c r="C5" s="348" t="s">
        <v>1175</v>
      </c>
      <c r="E5" s="159">
        <v>3</v>
      </c>
      <c r="F5" t="s">
        <v>1147</v>
      </c>
      <c r="G5">
        <v>3</v>
      </c>
      <c r="H5" s="330" t="s">
        <v>933</v>
      </c>
      <c r="I5" t="s">
        <v>235</v>
      </c>
      <c r="J5" t="s">
        <v>604</v>
      </c>
      <c r="K5" t="s">
        <v>1176</v>
      </c>
      <c r="L5">
        <v>8</v>
      </c>
      <c r="M5" s="330">
        <v>14</v>
      </c>
    </row>
    <row r="6" spans="2:13" ht="13.8" thickBot="1" x14ac:dyDescent="0.3">
      <c r="E6" s="159">
        <v>4</v>
      </c>
      <c r="F6" t="s">
        <v>1148</v>
      </c>
      <c r="G6">
        <v>3</v>
      </c>
      <c r="H6" s="330" t="s">
        <v>933</v>
      </c>
      <c r="I6" t="s">
        <v>235</v>
      </c>
      <c r="J6" t="s">
        <v>1029</v>
      </c>
      <c r="K6" t="s">
        <v>1177</v>
      </c>
      <c r="L6">
        <v>15</v>
      </c>
      <c r="M6" s="330">
        <v>17</v>
      </c>
    </row>
    <row r="7" spans="2:13" x14ac:dyDescent="0.25">
      <c r="C7" s="26" t="s">
        <v>1161</v>
      </c>
      <c r="E7" s="159">
        <v>5</v>
      </c>
      <c r="F7" t="s">
        <v>1149</v>
      </c>
      <c r="G7">
        <v>8</v>
      </c>
      <c r="H7" s="330" t="s">
        <v>1178</v>
      </c>
      <c r="I7" t="s">
        <v>235</v>
      </c>
      <c r="J7" t="s">
        <v>598</v>
      </c>
      <c r="K7" t="s">
        <v>1176</v>
      </c>
      <c r="L7">
        <v>8</v>
      </c>
      <c r="M7" s="330">
        <v>14</v>
      </c>
    </row>
    <row r="8" spans="2:13" x14ac:dyDescent="0.25">
      <c r="C8" s="350" t="s">
        <v>1165</v>
      </c>
      <c r="E8" s="159">
        <v>6</v>
      </c>
      <c r="F8" t="s">
        <v>1150</v>
      </c>
      <c r="G8">
        <v>8</v>
      </c>
      <c r="H8" s="330" t="s">
        <v>1178</v>
      </c>
      <c r="M8" s="330"/>
    </row>
    <row r="9" spans="2:13" x14ac:dyDescent="0.25">
      <c r="C9" s="344" t="s">
        <v>234</v>
      </c>
      <c r="E9" s="159">
        <v>7</v>
      </c>
      <c r="F9" t="s">
        <v>1151</v>
      </c>
      <c r="G9">
        <v>8</v>
      </c>
      <c r="H9" s="330" t="s">
        <v>1178</v>
      </c>
      <c r="M9" s="330"/>
    </row>
    <row r="10" spans="2:13" ht="13.8" thickBot="1" x14ac:dyDescent="0.3">
      <c r="C10" s="225" t="s">
        <v>235</v>
      </c>
      <c r="E10" s="159">
        <v>8</v>
      </c>
      <c r="F10" t="s">
        <v>1152</v>
      </c>
      <c r="G10">
        <v>2</v>
      </c>
      <c r="H10" s="330" t="s">
        <v>1179</v>
      </c>
      <c r="M10" s="330"/>
    </row>
    <row r="11" spans="2:13" x14ac:dyDescent="0.25">
      <c r="E11" s="159">
        <v>9</v>
      </c>
      <c r="F11" t="s">
        <v>1153</v>
      </c>
      <c r="G11">
        <v>5</v>
      </c>
      <c r="H11" s="330" t="s">
        <v>1180</v>
      </c>
      <c r="M11" s="330"/>
    </row>
    <row r="12" spans="2:13" x14ac:dyDescent="0.25">
      <c r="E12" s="159">
        <v>10</v>
      </c>
      <c r="F12" t="s">
        <v>1154</v>
      </c>
      <c r="G12">
        <v>5</v>
      </c>
      <c r="H12" s="330" t="s">
        <v>1180</v>
      </c>
      <c r="M12" s="330"/>
    </row>
    <row r="13" spans="2:13" x14ac:dyDescent="0.25">
      <c r="E13" s="159">
        <v>11</v>
      </c>
      <c r="F13" t="s">
        <v>1155</v>
      </c>
      <c r="G13">
        <v>5</v>
      </c>
      <c r="H13" s="330" t="s">
        <v>1180</v>
      </c>
      <c r="M13" s="330"/>
    </row>
    <row r="14" spans="2:13" x14ac:dyDescent="0.25">
      <c r="E14" s="159">
        <v>12</v>
      </c>
      <c r="F14" t="s">
        <v>1156</v>
      </c>
      <c r="G14">
        <v>5</v>
      </c>
      <c r="H14" s="330" t="s">
        <v>1180</v>
      </c>
      <c r="M14" s="330"/>
    </row>
    <row r="15" spans="2:13" x14ac:dyDescent="0.25">
      <c r="E15" s="159">
        <v>13</v>
      </c>
      <c r="F15" t="s">
        <v>1157</v>
      </c>
      <c r="G15">
        <v>1</v>
      </c>
      <c r="H15" s="330" t="s">
        <v>1181</v>
      </c>
      <c r="M15" s="330"/>
    </row>
    <row r="16" spans="2:13" x14ac:dyDescent="0.25">
      <c r="E16" s="159">
        <v>14</v>
      </c>
      <c r="F16" t="s">
        <v>1158</v>
      </c>
      <c r="G16">
        <v>1</v>
      </c>
      <c r="H16" s="330" t="s">
        <v>1181</v>
      </c>
      <c r="M16" s="330"/>
    </row>
    <row r="17" spans="5:13" x14ac:dyDescent="0.25">
      <c r="E17" s="159">
        <v>15</v>
      </c>
      <c r="F17" t="s">
        <v>1275</v>
      </c>
      <c r="G17">
        <v>7</v>
      </c>
      <c r="H17" s="330" t="s">
        <v>1183</v>
      </c>
      <c r="M17" s="330"/>
    </row>
    <row r="18" spans="5:13" x14ac:dyDescent="0.25">
      <c r="E18" s="159">
        <v>16</v>
      </c>
      <c r="F18" t="s">
        <v>1274</v>
      </c>
      <c r="G18">
        <v>6</v>
      </c>
      <c r="H18" s="330" t="s">
        <v>1182</v>
      </c>
      <c r="M18" s="330"/>
    </row>
    <row r="19" spans="5:13" x14ac:dyDescent="0.25">
      <c r="E19" s="159">
        <v>17</v>
      </c>
      <c r="F19" t="s">
        <v>1159</v>
      </c>
      <c r="G19">
        <v>4</v>
      </c>
      <c r="H19" s="330" t="s">
        <v>933</v>
      </c>
      <c r="M19" s="330"/>
    </row>
    <row r="20" spans="5:13" x14ac:dyDescent="0.25">
      <c r="E20" s="67" t="s">
        <v>1184</v>
      </c>
      <c r="H20" s="330"/>
      <c r="I20" t="s">
        <v>1167</v>
      </c>
      <c r="J20" t="s">
        <v>1168</v>
      </c>
      <c r="M20" s="330"/>
    </row>
    <row r="21" spans="5:13" x14ac:dyDescent="0.25">
      <c r="E21" s="67">
        <v>1</v>
      </c>
      <c r="F21" s="2" t="str">
        <f t="array" aca="1" ref="F21:F27" ca="1">INDIRECT(K21)</f>
        <v>secondo raccolto</v>
      </c>
      <c r="H21" s="330"/>
      <c r="I21" s="1" t="str">
        <f>Gruppo!G9</f>
        <v>erbacee</v>
      </c>
      <c r="J21" s="4" t="str">
        <f>Coltura!F238</f>
        <v>m</v>
      </c>
      <c r="K21" s="2" t="str">
        <f>DGET($I$2:$M$7,K2,$I$20:$J$21)</f>
        <v>F10:H16</v>
      </c>
      <c r="L21" s="2">
        <f>DGET($I$2:$M$7,L2,$I$20:$J$21)</f>
        <v>8</v>
      </c>
      <c r="M21" s="351">
        <f>DGET($I$2:$M$7,M2,$I$20:$J$21)</f>
        <v>14</v>
      </c>
    </row>
    <row r="22" spans="5:13" ht="13.8" thickBot="1" x14ac:dyDescent="0.3">
      <c r="E22" s="67">
        <v>2</v>
      </c>
      <c r="F22" s="2" t="str">
        <f ca="1"/>
        <v>Primaverile-estiva &lt;70 gg</v>
      </c>
      <c r="H22" s="330"/>
      <c r="I22" s="181" t="s">
        <v>1185</v>
      </c>
      <c r="J22" s="181"/>
      <c r="K22" s="181" t="s">
        <v>1186</v>
      </c>
      <c r="L22" s="181"/>
      <c r="M22" s="348"/>
    </row>
    <row r="23" spans="5:13" x14ac:dyDescent="0.25">
      <c r="E23" s="67">
        <v>3</v>
      </c>
      <c r="F23" s="2" t="str">
        <f ca="1"/>
        <v>Primaverile-estiva  70–100 gg</v>
      </c>
      <c r="H23" s="330"/>
    </row>
    <row r="24" spans="5:13" x14ac:dyDescent="0.25">
      <c r="E24" s="67">
        <v>4</v>
      </c>
      <c r="F24" s="2" t="str">
        <f ca="1"/>
        <v>Primaverile-estiva  100–130 gg</v>
      </c>
      <c r="H24" s="330"/>
    </row>
    <row r="25" spans="5:13" x14ac:dyDescent="0.25">
      <c r="E25" s="67">
        <v>5</v>
      </c>
      <c r="F25" s="2" t="str">
        <f ca="1"/>
        <v>Primaverile-estiva  &gt;130 gg</v>
      </c>
      <c r="H25" s="330"/>
    </row>
    <row r="26" spans="5:13" x14ac:dyDescent="0.25">
      <c r="E26" s="67">
        <v>6</v>
      </c>
      <c r="F26" s="2" t="str">
        <f ca="1"/>
        <v>Autunno-vernina &lt;150 gg</v>
      </c>
      <c r="H26" s="330"/>
    </row>
    <row r="27" spans="5:13" ht="13.8" thickBot="1" x14ac:dyDescent="0.3">
      <c r="E27" s="67">
        <v>7</v>
      </c>
      <c r="F27" s="2" t="str">
        <f ca="1"/>
        <v>Autunno-vernina &gt;150 gg</v>
      </c>
      <c r="H27" s="330"/>
    </row>
    <row r="28" spans="5:13" x14ac:dyDescent="0.25">
      <c r="E28" s="159"/>
      <c r="F28" s="189" t="s">
        <v>1187</v>
      </c>
      <c r="H28" s="330"/>
    </row>
    <row r="29" spans="5:13" x14ac:dyDescent="0.25">
      <c r="E29" s="67" t="s">
        <v>1184</v>
      </c>
      <c r="F29" s="345" t="s">
        <v>1139</v>
      </c>
      <c r="H29" s="330"/>
    </row>
    <row r="30" spans="5:13" ht="13.8" thickBot="1" x14ac:dyDescent="0.3">
      <c r="E30" s="187">
        <f>Codici!H2</f>
        <v>4</v>
      </c>
      <c r="F30" s="27">
        <f>(E30+L21-1)</f>
        <v>11</v>
      </c>
      <c r="G30" s="163">
        <f>DGET($E$2:$H$19,G2,$F$29:$F$30)</f>
        <v>5</v>
      </c>
      <c r="H30" s="164" t="str">
        <f>DGET($E$2:$H$19,H2,$F$29:$F$30)</f>
        <v>primavera estate</v>
      </c>
    </row>
    <row r="31" spans="5:13" x14ac:dyDescent="0.25">
      <c r="F31" s="5" t="str">
        <f>DGET(E2:F19,F2,F29:F30)</f>
        <v>Primaverile-estiva  100–130 gg</v>
      </c>
    </row>
  </sheetData>
  <sheetProtection algorithmName="SHA-512" hashValue="T4WhXQ1Akcvs2ECqK31iVfT05cZLa6Nstpcj1fJ/xri/9p1wrMWhbmep956D6W0aogbNw2XeXG5NjYkKkCulCQ==" saltValue="MawzXw1B37NElliaa4upFw==" spinCount="100000" sheet="1" objects="1" scenarios="1"/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9"/>
  <dimension ref="B1:D8"/>
  <sheetViews>
    <sheetView workbookViewId="0">
      <selection activeCell="C4" sqref="C4"/>
    </sheetView>
  </sheetViews>
  <sheetFormatPr defaultRowHeight="13.2" x14ac:dyDescent="0.25"/>
  <sheetData>
    <row r="1" spans="2:4" x14ac:dyDescent="0.25">
      <c r="C1" t="s">
        <v>1219</v>
      </c>
      <c r="D1" t="s">
        <v>1218</v>
      </c>
    </row>
    <row r="2" spans="2:4" x14ac:dyDescent="0.25">
      <c r="B2" s="34" t="s">
        <v>904</v>
      </c>
      <c r="C2" t="s">
        <v>905</v>
      </c>
    </row>
    <row r="3" spans="2:4" x14ac:dyDescent="0.25">
      <c r="B3" s="9">
        <v>1</v>
      </c>
      <c r="C3" s="9" t="s">
        <v>906</v>
      </c>
      <c r="D3" s="340" t="str">
        <f>A!G241</f>
        <v>sì</v>
      </c>
    </row>
    <row r="4" spans="2:4" x14ac:dyDescent="0.25">
      <c r="B4" s="9">
        <v>2</v>
      </c>
      <c r="C4" s="9" t="s">
        <v>907</v>
      </c>
      <c r="D4" s="5" t="str">
        <f>IF(Standard!E243="nd","no","sì")</f>
        <v>sì</v>
      </c>
    </row>
    <row r="6" spans="2:4" x14ac:dyDescent="0.25">
      <c r="B6" s="190" t="s">
        <v>605</v>
      </c>
    </row>
    <row r="7" spans="2:4" x14ac:dyDescent="0.25">
      <c r="B7" s="262" t="s">
        <v>904</v>
      </c>
    </row>
    <row r="8" spans="2:4" x14ac:dyDescent="0.25">
      <c r="B8" s="263">
        <f>Codici!E2</f>
        <v>2</v>
      </c>
      <c r="C8" s="2" t="str">
        <f>VLOOKUP(B8,B2:C4,2)</f>
        <v>Schede</v>
      </c>
      <c r="D8" s="5" t="str">
        <f>VLOOKUP(C8,C2:D4,2)</f>
        <v>sì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24"/>
  <dimension ref="A1:N48"/>
  <sheetViews>
    <sheetView topLeftCell="B1" zoomScaleNormal="100" workbookViewId="0">
      <selection activeCell="F31" sqref="F31"/>
    </sheetView>
  </sheetViews>
  <sheetFormatPr defaultRowHeight="13.2" x14ac:dyDescent="0.25"/>
  <cols>
    <col min="1" max="1" width="7.6640625" customWidth="1"/>
    <col min="2" max="2" width="10" bestFit="1" customWidth="1"/>
    <col min="3" max="3" width="10" customWidth="1"/>
    <col min="5" max="5" width="10" bestFit="1" customWidth="1"/>
    <col min="6" max="6" width="79.33203125" customWidth="1"/>
    <col min="9" max="9" width="12.33203125" customWidth="1"/>
    <col min="10" max="10" width="19.5546875" customWidth="1"/>
    <col min="11" max="11" width="10.33203125" customWidth="1"/>
    <col min="13" max="13" width="9.6640625" bestFit="1" customWidth="1"/>
    <col min="14" max="14" width="52" customWidth="1"/>
  </cols>
  <sheetData>
    <row r="1" spans="1:14" x14ac:dyDescent="0.25">
      <c r="A1" s="34" t="s">
        <v>861</v>
      </c>
      <c r="L1" t="s">
        <v>9</v>
      </c>
    </row>
    <row r="2" spans="1:14" x14ac:dyDescent="0.25">
      <c r="B2" s="30" t="s">
        <v>860</v>
      </c>
      <c r="C2" s="7" t="s">
        <v>901</v>
      </c>
      <c r="D2" s="7" t="s">
        <v>1144</v>
      </c>
      <c r="E2" s="7" t="s">
        <v>835</v>
      </c>
      <c r="F2" t="s">
        <v>836</v>
      </c>
      <c r="G2" s="34" t="s">
        <v>878</v>
      </c>
      <c r="H2" t="s">
        <v>834</v>
      </c>
      <c r="I2" t="s">
        <v>923</v>
      </c>
      <c r="L2" t="s">
        <v>1144</v>
      </c>
      <c r="M2" t="s">
        <v>900</v>
      </c>
    </row>
    <row r="3" spans="1:14" x14ac:dyDescent="0.25">
      <c r="B3" s="236">
        <v>1</v>
      </c>
      <c r="C3" s="236">
        <v>1</v>
      </c>
      <c r="D3" s="236">
        <v>1</v>
      </c>
      <c r="E3" s="236">
        <v>3</v>
      </c>
      <c r="F3" s="758" t="s">
        <v>1814</v>
      </c>
      <c r="G3" s="3">
        <v>1</v>
      </c>
      <c r="H3" t="s">
        <v>346</v>
      </c>
      <c r="I3" t="s">
        <v>570</v>
      </c>
      <c r="J3" s="17" t="s">
        <v>1811</v>
      </c>
      <c r="L3" s="3">
        <v>1</v>
      </c>
      <c r="M3" t="s">
        <v>902</v>
      </c>
    </row>
    <row r="4" spans="1:14" x14ac:dyDescent="0.25">
      <c r="B4" s="236">
        <v>2</v>
      </c>
      <c r="C4" s="236">
        <v>2</v>
      </c>
      <c r="D4" s="236">
        <v>1</v>
      </c>
      <c r="E4" s="236">
        <v>9</v>
      </c>
      <c r="F4" s="758" t="s">
        <v>1815</v>
      </c>
      <c r="G4" s="3">
        <v>2</v>
      </c>
      <c r="H4" t="s">
        <v>347</v>
      </c>
      <c r="I4" t="s">
        <v>570</v>
      </c>
      <c r="J4" s="17" t="s">
        <v>1811</v>
      </c>
      <c r="L4" s="3">
        <v>2</v>
      </c>
      <c r="M4" t="s">
        <v>10</v>
      </c>
    </row>
    <row r="5" spans="1:14" x14ac:dyDescent="0.25">
      <c r="B5" s="236">
        <v>3</v>
      </c>
      <c r="C5" s="236">
        <v>3</v>
      </c>
      <c r="D5" s="236">
        <v>1</v>
      </c>
      <c r="E5" s="236">
        <v>10</v>
      </c>
      <c r="F5" s="758" t="s">
        <v>1838</v>
      </c>
      <c r="G5" s="3">
        <v>1</v>
      </c>
      <c r="H5" t="s">
        <v>346</v>
      </c>
      <c r="I5" t="s">
        <v>570</v>
      </c>
      <c r="J5" s="17" t="s">
        <v>1811</v>
      </c>
      <c r="L5" s="3">
        <v>3</v>
      </c>
      <c r="M5" t="s">
        <v>1267</v>
      </c>
    </row>
    <row r="6" spans="1:14" x14ac:dyDescent="0.25">
      <c r="B6" s="236">
        <v>4</v>
      </c>
      <c r="C6" s="236">
        <v>4</v>
      </c>
      <c r="D6" s="236">
        <v>1</v>
      </c>
      <c r="E6" s="236">
        <v>11</v>
      </c>
      <c r="F6" s="758" t="s">
        <v>1816</v>
      </c>
      <c r="G6" s="3">
        <v>2</v>
      </c>
      <c r="H6" t="s">
        <v>347</v>
      </c>
      <c r="I6" t="s">
        <v>571</v>
      </c>
      <c r="J6" s="17" t="s">
        <v>1811</v>
      </c>
      <c r="L6" s="3">
        <v>4</v>
      </c>
      <c r="M6" t="s">
        <v>1268</v>
      </c>
    </row>
    <row r="7" spans="1:14" x14ac:dyDescent="0.25">
      <c r="B7" s="236">
        <v>5</v>
      </c>
      <c r="C7" s="240">
        <v>5</v>
      </c>
      <c r="D7" s="240">
        <v>1</v>
      </c>
      <c r="E7" s="240">
        <v>12</v>
      </c>
      <c r="F7" s="758" t="s">
        <v>1817</v>
      </c>
      <c r="G7" s="242">
        <v>3</v>
      </c>
      <c r="H7" s="16" t="s">
        <v>683</v>
      </c>
      <c r="I7" s="16" t="s">
        <v>571</v>
      </c>
      <c r="J7" s="17" t="s">
        <v>1811</v>
      </c>
      <c r="L7" s="3">
        <v>5</v>
      </c>
      <c r="M7" t="s">
        <v>1269</v>
      </c>
    </row>
    <row r="8" spans="1:14" x14ac:dyDescent="0.25">
      <c r="B8" s="236">
        <v>6</v>
      </c>
      <c r="C8" s="236">
        <v>1</v>
      </c>
      <c r="D8" s="236">
        <v>2</v>
      </c>
      <c r="E8" s="236">
        <v>10</v>
      </c>
      <c r="F8" s="758" t="s">
        <v>1818</v>
      </c>
      <c r="G8" s="3">
        <v>3</v>
      </c>
      <c r="H8" t="s">
        <v>683</v>
      </c>
      <c r="I8" t="s">
        <v>571</v>
      </c>
      <c r="J8" s="17" t="s">
        <v>1152</v>
      </c>
      <c r="L8" s="3">
        <v>6</v>
      </c>
      <c r="M8" t="s">
        <v>1270</v>
      </c>
    </row>
    <row r="9" spans="1:14" x14ac:dyDescent="0.25">
      <c r="B9" s="236">
        <v>7</v>
      </c>
      <c r="C9" s="236">
        <v>2</v>
      </c>
      <c r="D9" s="236">
        <v>2</v>
      </c>
      <c r="E9" s="236">
        <v>6</v>
      </c>
      <c r="F9" s="758" t="s">
        <v>1819</v>
      </c>
      <c r="G9" s="3">
        <v>3</v>
      </c>
      <c r="H9" t="s">
        <v>683</v>
      </c>
      <c r="I9" t="s">
        <v>571</v>
      </c>
      <c r="J9" s="17" t="s">
        <v>1152</v>
      </c>
      <c r="L9" s="3">
        <v>7</v>
      </c>
      <c r="M9" t="s">
        <v>1271</v>
      </c>
    </row>
    <row r="10" spans="1:14" x14ac:dyDescent="0.25">
      <c r="B10" s="236">
        <v>8</v>
      </c>
      <c r="C10" s="236">
        <v>3</v>
      </c>
      <c r="D10" s="236">
        <v>2</v>
      </c>
      <c r="E10" s="236">
        <v>4</v>
      </c>
      <c r="F10" s="759" t="s">
        <v>859</v>
      </c>
      <c r="G10" s="3">
        <v>2</v>
      </c>
      <c r="H10" t="s">
        <v>347</v>
      </c>
      <c r="I10" t="s">
        <v>571</v>
      </c>
      <c r="J10" s="17" t="s">
        <v>1152</v>
      </c>
      <c r="L10" s="3">
        <v>8</v>
      </c>
      <c r="M10" t="s">
        <v>1272</v>
      </c>
    </row>
    <row r="11" spans="1:14" x14ac:dyDescent="0.25">
      <c r="B11" s="236">
        <v>9</v>
      </c>
      <c r="C11" s="236">
        <v>4</v>
      </c>
      <c r="D11" s="236">
        <v>2</v>
      </c>
      <c r="E11" s="236">
        <v>5</v>
      </c>
      <c r="F11" s="760" t="s">
        <v>1821</v>
      </c>
      <c r="G11" s="686">
        <v>2</v>
      </c>
      <c r="H11" s="516" t="s">
        <v>347</v>
      </c>
      <c r="I11" t="s">
        <v>571</v>
      </c>
      <c r="J11" s="17" t="s">
        <v>1152</v>
      </c>
      <c r="L11" s="3">
        <v>9</v>
      </c>
      <c r="M11" t="s">
        <v>1266</v>
      </c>
    </row>
    <row r="12" spans="1:14" x14ac:dyDescent="0.25">
      <c r="B12" s="239">
        <v>10</v>
      </c>
      <c r="C12" s="239">
        <v>5</v>
      </c>
      <c r="D12" s="239">
        <v>2</v>
      </c>
      <c r="E12" s="239">
        <v>8</v>
      </c>
      <c r="F12" s="761" t="s">
        <v>1820</v>
      </c>
      <c r="G12" s="756">
        <v>2</v>
      </c>
      <c r="H12" s="757" t="s">
        <v>347</v>
      </c>
      <c r="I12" s="16" t="s">
        <v>571</v>
      </c>
      <c r="J12" s="17" t="s">
        <v>1152</v>
      </c>
      <c r="L12" t="s">
        <v>858</v>
      </c>
      <c r="M12" t="s">
        <v>900</v>
      </c>
    </row>
    <row r="13" spans="1:14" x14ac:dyDescent="0.25">
      <c r="B13" s="9">
        <v>11</v>
      </c>
      <c r="C13" s="9">
        <v>1</v>
      </c>
      <c r="D13" s="9">
        <v>9</v>
      </c>
      <c r="E13" s="9">
        <v>16</v>
      </c>
      <c r="F13" s="759" t="s">
        <v>1264</v>
      </c>
      <c r="G13" s="3">
        <v>1</v>
      </c>
      <c r="H13" t="s">
        <v>346</v>
      </c>
      <c r="I13" t="s">
        <v>570</v>
      </c>
      <c r="J13" s="17" t="s">
        <v>1812</v>
      </c>
      <c r="L13" s="4">
        <f>C_tempo!J22</f>
        <v>5</v>
      </c>
      <c r="M13" s="2" t="str">
        <f>VLOOKUP(L13,L2:M11,2)</f>
        <v>F23:H30</v>
      </c>
      <c r="N13" s="2" t="str">
        <f>CONCATENATE("Ciclo_Modalità!",M13)</f>
        <v>Ciclo_Modalità!F23:H30</v>
      </c>
    </row>
    <row r="14" spans="1:14" x14ac:dyDescent="0.25">
      <c r="B14" s="278">
        <f>(B13+1)</f>
        <v>12</v>
      </c>
      <c r="C14" s="466">
        <v>2</v>
      </c>
      <c r="D14" s="466">
        <v>9</v>
      </c>
      <c r="E14" s="466">
        <v>17</v>
      </c>
      <c r="F14" s="763" t="s">
        <v>1265</v>
      </c>
      <c r="G14" s="242">
        <v>2</v>
      </c>
      <c r="H14" s="16" t="s">
        <v>347</v>
      </c>
      <c r="I14" s="16" t="s">
        <v>571</v>
      </c>
      <c r="J14" s="17" t="s">
        <v>1812</v>
      </c>
      <c r="L14" s="4"/>
      <c r="M14" s="2"/>
      <c r="N14" s="2"/>
    </row>
    <row r="15" spans="1:14" x14ac:dyDescent="0.25">
      <c r="B15" s="2">
        <f t="shared" ref="B15:B39" si="0">(B14+1)</f>
        <v>13</v>
      </c>
      <c r="C15" s="9">
        <v>1</v>
      </c>
      <c r="D15" s="9">
        <v>3</v>
      </c>
      <c r="E15" s="9">
        <v>18</v>
      </c>
      <c r="F15" s="760" t="s">
        <v>1834</v>
      </c>
      <c r="G15" s="3">
        <v>3</v>
      </c>
      <c r="H15" t="s">
        <v>683</v>
      </c>
      <c r="I15" t="s">
        <v>1229</v>
      </c>
      <c r="J15" s="17" t="s">
        <v>1812</v>
      </c>
    </row>
    <row r="16" spans="1:14" x14ac:dyDescent="0.25">
      <c r="B16" s="2">
        <f t="shared" si="0"/>
        <v>14</v>
      </c>
      <c r="C16" s="9">
        <v>2</v>
      </c>
      <c r="D16" s="9">
        <v>3</v>
      </c>
      <c r="E16" s="9">
        <v>19</v>
      </c>
      <c r="F16" s="760" t="s">
        <v>1835</v>
      </c>
      <c r="G16" s="686">
        <v>3</v>
      </c>
      <c r="H16" s="516" t="s">
        <v>683</v>
      </c>
      <c r="I16" t="s">
        <v>571</v>
      </c>
      <c r="J16" s="17" t="s">
        <v>1812</v>
      </c>
    </row>
    <row r="17" spans="1:14" x14ac:dyDescent="0.25">
      <c r="B17" s="2">
        <f t="shared" si="0"/>
        <v>15</v>
      </c>
      <c r="C17" s="9">
        <v>3</v>
      </c>
      <c r="D17" s="9">
        <v>3</v>
      </c>
      <c r="E17" s="9">
        <v>20</v>
      </c>
      <c r="F17" s="759" t="s">
        <v>1230</v>
      </c>
      <c r="G17" s="3">
        <v>2</v>
      </c>
      <c r="H17" t="s">
        <v>347</v>
      </c>
      <c r="I17" t="s">
        <v>571</v>
      </c>
      <c r="J17" s="17" t="s">
        <v>1812</v>
      </c>
      <c r="M17" t="s">
        <v>901</v>
      </c>
      <c r="N17" t="s">
        <v>836</v>
      </c>
    </row>
    <row r="18" spans="1:14" x14ac:dyDescent="0.25">
      <c r="B18" s="2">
        <f t="shared" si="0"/>
        <v>16</v>
      </c>
      <c r="C18" s="88">
        <v>4</v>
      </c>
      <c r="D18" s="88">
        <v>3</v>
      </c>
      <c r="E18" s="88">
        <v>21</v>
      </c>
      <c r="F18" s="759" t="s">
        <v>1231</v>
      </c>
      <c r="G18" s="686">
        <v>2</v>
      </c>
      <c r="H18" s="516" t="s">
        <v>347</v>
      </c>
      <c r="I18" t="s">
        <v>571</v>
      </c>
      <c r="J18" s="17" t="s">
        <v>1812</v>
      </c>
      <c r="M18">
        <v>1</v>
      </c>
      <c r="N18" s="2" t="str">
        <f t="array" aca="1" ref="N18:N25" ca="1">INDIRECT(N13)</f>
        <v>Prearatura estiva o autunnale - su terreno nudo o stoppie</v>
      </c>
    </row>
    <row r="19" spans="1:14" x14ac:dyDescent="0.25">
      <c r="B19" s="2">
        <f t="shared" si="0"/>
        <v>17</v>
      </c>
      <c r="C19" s="239">
        <v>5</v>
      </c>
      <c r="D19" s="239">
        <v>3</v>
      </c>
      <c r="E19" s="239">
        <v>15</v>
      </c>
      <c r="F19" s="762" t="s">
        <v>850</v>
      </c>
      <c r="G19" s="242">
        <v>1</v>
      </c>
      <c r="H19" s="16" t="s">
        <v>346</v>
      </c>
      <c r="I19" s="16" t="s">
        <v>571</v>
      </c>
      <c r="J19" s="17" t="s">
        <v>1812</v>
      </c>
      <c r="M19">
        <v>2</v>
      </c>
      <c r="N19" s="2" t="str">
        <f ca="1"/>
        <v>Prearatura estiva o autunnale - su paglie o stocchi</v>
      </c>
    </row>
    <row r="20" spans="1:14" x14ac:dyDescent="0.25">
      <c r="B20" s="2">
        <f t="shared" si="0"/>
        <v>18</v>
      </c>
      <c r="C20" s="88">
        <v>1</v>
      </c>
      <c r="D20" s="88">
        <v>4</v>
      </c>
      <c r="E20" s="88">
        <v>13</v>
      </c>
      <c r="F20" s="760" t="s">
        <v>1822</v>
      </c>
      <c r="G20" s="3">
        <v>3</v>
      </c>
      <c r="H20" t="s">
        <v>683</v>
      </c>
      <c r="I20" t="s">
        <v>571</v>
      </c>
      <c r="J20" s="17" t="s">
        <v>1826</v>
      </c>
      <c r="M20">
        <v>3</v>
      </c>
      <c r="N20" s="2" t="str">
        <f ca="1"/>
        <v xml:space="preserve">Prearatura primaverile o presemina su terreno nudo o stoppie </v>
      </c>
    </row>
    <row r="21" spans="1:14" x14ac:dyDescent="0.25">
      <c r="B21" s="2">
        <f t="shared" si="0"/>
        <v>19</v>
      </c>
      <c r="C21" s="88">
        <v>2</v>
      </c>
      <c r="D21" s="88">
        <v>4</v>
      </c>
      <c r="E21" s="88">
        <v>14</v>
      </c>
      <c r="F21" s="758" t="s">
        <v>1823</v>
      </c>
      <c r="G21" s="3">
        <v>2</v>
      </c>
      <c r="H21" t="s">
        <v>347</v>
      </c>
      <c r="I21" t="s">
        <v>571</v>
      </c>
      <c r="J21" s="17" t="s">
        <v>1826</v>
      </c>
      <c r="M21">
        <v>4</v>
      </c>
      <c r="N21" s="2" t="str">
        <f ca="1"/>
        <v>In copertura con fertirrigazione</v>
      </c>
    </row>
    <row r="22" spans="1:14" x14ac:dyDescent="0.25">
      <c r="B22" s="2">
        <f t="shared" si="0"/>
        <v>20</v>
      </c>
      <c r="C22" s="239">
        <v>3</v>
      </c>
      <c r="D22" s="239">
        <v>4</v>
      </c>
      <c r="E22" s="239">
        <v>15</v>
      </c>
      <c r="F22" s="764" t="s">
        <v>1824</v>
      </c>
      <c r="G22" s="242">
        <v>1</v>
      </c>
      <c r="H22" s="16" t="s">
        <v>346</v>
      </c>
      <c r="I22" s="16" t="s">
        <v>571</v>
      </c>
      <c r="J22" s="17" t="s">
        <v>1826</v>
      </c>
      <c r="M22">
        <v>5</v>
      </c>
      <c r="N22" s="2" t="str">
        <f ca="1"/>
        <v>In copertura con fertirrigazione a bassa pressione</v>
      </c>
    </row>
    <row r="23" spans="1:14" x14ac:dyDescent="0.25">
      <c r="B23" s="2">
        <f t="shared" si="0"/>
        <v>21</v>
      </c>
      <c r="C23" s="88">
        <v>1</v>
      </c>
      <c r="D23" s="88">
        <v>5</v>
      </c>
      <c r="E23" s="88">
        <v>1</v>
      </c>
      <c r="F23" s="758" t="s">
        <v>1829</v>
      </c>
      <c r="G23" s="3">
        <v>1</v>
      </c>
      <c r="H23" t="s">
        <v>346</v>
      </c>
      <c r="I23" t="s">
        <v>570</v>
      </c>
      <c r="J23" s="17" t="s">
        <v>1810</v>
      </c>
      <c r="M23">
        <v>6</v>
      </c>
      <c r="N23" s="2" t="str">
        <f ca="1"/>
        <v>In copertura con interramento</v>
      </c>
    </row>
    <row r="24" spans="1:14" x14ac:dyDescent="0.25">
      <c r="B24" s="2">
        <f t="shared" si="0"/>
        <v>22</v>
      </c>
      <c r="C24" s="88">
        <v>2</v>
      </c>
      <c r="D24" s="88">
        <v>5</v>
      </c>
      <c r="E24" s="88">
        <v>2</v>
      </c>
      <c r="F24" s="758" t="s">
        <v>1830</v>
      </c>
      <c r="G24" s="3">
        <v>2</v>
      </c>
      <c r="H24" t="s">
        <v>347</v>
      </c>
      <c r="I24" t="s">
        <v>570</v>
      </c>
      <c r="J24" s="17" t="s">
        <v>1810</v>
      </c>
      <c r="M24">
        <v>7</v>
      </c>
      <c r="N24" s="2" t="str">
        <f ca="1"/>
        <v>In copertura in primavera senza interramento</v>
      </c>
    </row>
    <row r="25" spans="1:14" x14ac:dyDescent="0.25">
      <c r="B25" s="2">
        <f t="shared" si="0"/>
        <v>23</v>
      </c>
      <c r="C25" s="88">
        <v>3</v>
      </c>
      <c r="D25" s="88">
        <v>5</v>
      </c>
      <c r="E25" s="88">
        <v>3</v>
      </c>
      <c r="F25" s="758" t="s">
        <v>1831</v>
      </c>
      <c r="G25" s="3">
        <v>3</v>
      </c>
      <c r="H25" t="s">
        <v>683</v>
      </c>
      <c r="I25" t="s">
        <v>571</v>
      </c>
      <c r="J25" s="17" t="s">
        <v>1810</v>
      </c>
      <c r="M25">
        <v>8</v>
      </c>
      <c r="N25" s="2" t="str">
        <f ca="1"/>
        <v>In copertura in estate senza interramento</v>
      </c>
    </row>
    <row r="26" spans="1:14" x14ac:dyDescent="0.25">
      <c r="B26" s="2">
        <f t="shared" si="0"/>
        <v>24</v>
      </c>
      <c r="C26" s="88">
        <v>4</v>
      </c>
      <c r="D26" s="88">
        <v>5</v>
      </c>
      <c r="E26" s="88">
        <v>4</v>
      </c>
      <c r="F26" s="758" t="s">
        <v>840</v>
      </c>
      <c r="G26" s="686">
        <v>3</v>
      </c>
      <c r="H26" s="516" t="s">
        <v>683</v>
      </c>
      <c r="I26" t="s">
        <v>571</v>
      </c>
      <c r="J26" s="17" t="s">
        <v>1810</v>
      </c>
    </row>
    <row r="27" spans="1:14" x14ac:dyDescent="0.25">
      <c r="B27" s="2">
        <f t="shared" si="0"/>
        <v>25</v>
      </c>
      <c r="C27" s="88">
        <v>5</v>
      </c>
      <c r="D27" s="88">
        <v>5</v>
      </c>
      <c r="E27" s="88">
        <v>5</v>
      </c>
      <c r="F27" s="758" t="s">
        <v>1228</v>
      </c>
      <c r="G27" s="3">
        <v>3</v>
      </c>
      <c r="H27" t="s">
        <v>683</v>
      </c>
      <c r="I27" t="s">
        <v>1229</v>
      </c>
      <c r="J27" s="17" t="s">
        <v>1810</v>
      </c>
    </row>
    <row r="28" spans="1:14" x14ac:dyDescent="0.25">
      <c r="B28" s="2">
        <f t="shared" si="0"/>
        <v>26</v>
      </c>
      <c r="C28" s="88">
        <v>6</v>
      </c>
      <c r="D28" s="88">
        <v>5</v>
      </c>
      <c r="E28" s="88">
        <v>6</v>
      </c>
      <c r="F28" s="759" t="s">
        <v>841</v>
      </c>
      <c r="G28" s="3">
        <v>3</v>
      </c>
      <c r="H28" t="s">
        <v>683</v>
      </c>
      <c r="I28" t="s">
        <v>571</v>
      </c>
      <c r="J28" s="17" t="s">
        <v>1810</v>
      </c>
    </row>
    <row r="29" spans="1:14" x14ac:dyDescent="0.25">
      <c r="B29" s="2">
        <f t="shared" si="0"/>
        <v>27</v>
      </c>
      <c r="C29" s="88">
        <v>7</v>
      </c>
      <c r="D29" s="88">
        <v>5</v>
      </c>
      <c r="E29" s="88">
        <v>7</v>
      </c>
      <c r="F29" s="759" t="s">
        <v>842</v>
      </c>
      <c r="G29" s="3">
        <v>2</v>
      </c>
      <c r="H29" t="s">
        <v>347</v>
      </c>
      <c r="I29" t="s">
        <v>571</v>
      </c>
      <c r="J29" s="17" t="s">
        <v>1810</v>
      </c>
    </row>
    <row r="30" spans="1:14" ht="13.8" thickBot="1" x14ac:dyDescent="0.3">
      <c r="A30" s="181"/>
      <c r="B30" s="2">
        <f t="shared" si="0"/>
        <v>28</v>
      </c>
      <c r="C30" s="239">
        <v>8</v>
      </c>
      <c r="D30" s="239">
        <v>5</v>
      </c>
      <c r="E30" s="239">
        <v>8</v>
      </c>
      <c r="F30" s="762" t="s">
        <v>843</v>
      </c>
      <c r="G30" s="686">
        <v>2</v>
      </c>
      <c r="H30" s="516" t="s">
        <v>347</v>
      </c>
      <c r="I30" s="16" t="s">
        <v>571</v>
      </c>
      <c r="J30" s="17" t="s">
        <v>1810</v>
      </c>
    </row>
    <row r="31" spans="1:14" x14ac:dyDescent="0.25">
      <c r="B31" s="2">
        <f t="shared" si="0"/>
        <v>29</v>
      </c>
      <c r="C31" s="88">
        <v>1</v>
      </c>
      <c r="D31" s="88">
        <v>6</v>
      </c>
      <c r="E31" s="88">
        <v>1</v>
      </c>
      <c r="F31" s="758" t="s">
        <v>1825</v>
      </c>
      <c r="G31" s="3">
        <v>1</v>
      </c>
      <c r="H31" t="s">
        <v>346</v>
      </c>
      <c r="I31" t="s">
        <v>570</v>
      </c>
      <c r="J31" s="17" t="s">
        <v>1827</v>
      </c>
    </row>
    <row r="32" spans="1:14" x14ac:dyDescent="0.25">
      <c r="B32" s="2">
        <f t="shared" si="0"/>
        <v>30</v>
      </c>
      <c r="C32" s="88">
        <v>2</v>
      </c>
      <c r="D32" s="88">
        <v>6</v>
      </c>
      <c r="E32" s="88">
        <v>2</v>
      </c>
      <c r="F32" s="758" t="s">
        <v>1837</v>
      </c>
      <c r="G32" s="3">
        <v>2</v>
      </c>
      <c r="H32" t="s">
        <v>347</v>
      </c>
      <c r="I32" t="s">
        <v>570</v>
      </c>
      <c r="J32" s="17" t="s">
        <v>1827</v>
      </c>
    </row>
    <row r="33" spans="1:12" x14ac:dyDescent="0.25">
      <c r="B33" s="2">
        <f t="shared" si="0"/>
        <v>31</v>
      </c>
      <c r="C33" s="88">
        <v>3</v>
      </c>
      <c r="D33" s="88">
        <v>6</v>
      </c>
      <c r="E33" s="88">
        <v>3</v>
      </c>
      <c r="F33" s="764" t="s">
        <v>1836</v>
      </c>
      <c r="G33" s="3">
        <v>3</v>
      </c>
      <c r="H33" t="s">
        <v>683</v>
      </c>
      <c r="I33" t="s">
        <v>571</v>
      </c>
      <c r="J33" s="17" t="s">
        <v>1827</v>
      </c>
    </row>
    <row r="34" spans="1:12" x14ac:dyDescent="0.25">
      <c r="B34" s="2">
        <f t="shared" si="0"/>
        <v>32</v>
      </c>
      <c r="C34" s="88">
        <v>4</v>
      </c>
      <c r="D34" s="88">
        <v>6</v>
      </c>
      <c r="E34" s="88">
        <v>13</v>
      </c>
      <c r="F34" s="760" t="s">
        <v>1839</v>
      </c>
      <c r="G34" s="3">
        <v>3</v>
      </c>
      <c r="H34" t="s">
        <v>683</v>
      </c>
      <c r="I34" t="s">
        <v>571</v>
      </c>
      <c r="J34" s="17" t="s">
        <v>1827</v>
      </c>
    </row>
    <row r="35" spans="1:12" x14ac:dyDescent="0.25">
      <c r="B35" s="2">
        <f t="shared" si="0"/>
        <v>33</v>
      </c>
      <c r="C35" s="88">
        <v>5</v>
      </c>
      <c r="D35" s="88">
        <v>6</v>
      </c>
      <c r="E35" s="88">
        <v>14</v>
      </c>
      <c r="F35" s="758" t="s">
        <v>1823</v>
      </c>
      <c r="G35" s="3">
        <v>2</v>
      </c>
      <c r="H35" t="s">
        <v>347</v>
      </c>
      <c r="I35" t="s">
        <v>571</v>
      </c>
      <c r="J35" s="17" t="s">
        <v>1827</v>
      </c>
    </row>
    <row r="36" spans="1:12" x14ac:dyDescent="0.25">
      <c r="B36" s="2">
        <f t="shared" si="0"/>
        <v>34</v>
      </c>
      <c r="C36" s="239">
        <v>6</v>
      </c>
      <c r="D36" s="239">
        <v>6</v>
      </c>
      <c r="E36" s="239">
        <v>15</v>
      </c>
      <c r="F36" s="764" t="s">
        <v>1824</v>
      </c>
      <c r="G36" s="242">
        <v>1</v>
      </c>
      <c r="H36" s="16" t="s">
        <v>346</v>
      </c>
      <c r="I36" s="16" t="s">
        <v>571</v>
      </c>
      <c r="J36" s="17" t="s">
        <v>1827</v>
      </c>
    </row>
    <row r="37" spans="1:12" x14ac:dyDescent="0.25">
      <c r="B37" s="2">
        <f t="shared" si="0"/>
        <v>35</v>
      </c>
      <c r="C37" s="88">
        <v>1</v>
      </c>
      <c r="D37" s="88">
        <v>7</v>
      </c>
      <c r="E37" s="88">
        <v>3</v>
      </c>
      <c r="F37" s="759" t="s">
        <v>839</v>
      </c>
      <c r="G37" s="53">
        <v>2</v>
      </c>
      <c r="H37" s="17" t="s">
        <v>347</v>
      </c>
      <c r="I37" t="s">
        <v>570</v>
      </c>
      <c r="J37" s="17" t="s">
        <v>1828</v>
      </c>
    </row>
    <row r="38" spans="1:12" x14ac:dyDescent="0.25">
      <c r="B38" s="2">
        <f t="shared" si="0"/>
        <v>36</v>
      </c>
      <c r="C38" s="239">
        <v>2</v>
      </c>
      <c r="D38" s="239">
        <v>7</v>
      </c>
      <c r="E38" s="239">
        <v>15</v>
      </c>
      <c r="F38" s="762" t="s">
        <v>850</v>
      </c>
      <c r="G38" s="242">
        <v>1</v>
      </c>
      <c r="H38" s="16" t="s">
        <v>346</v>
      </c>
      <c r="I38" s="16" t="s">
        <v>570</v>
      </c>
      <c r="J38" s="17" t="s">
        <v>1828</v>
      </c>
    </row>
    <row r="39" spans="1:12" x14ac:dyDescent="0.25">
      <c r="B39" s="2">
        <f t="shared" si="0"/>
        <v>37</v>
      </c>
      <c r="C39" s="88">
        <v>1</v>
      </c>
      <c r="D39" s="88">
        <v>8</v>
      </c>
      <c r="E39" s="88">
        <v>22</v>
      </c>
      <c r="F39" t="s">
        <v>1232</v>
      </c>
      <c r="G39" s="3">
        <v>3</v>
      </c>
      <c r="H39" t="s">
        <v>683</v>
      </c>
      <c r="I39" t="s">
        <v>571</v>
      </c>
      <c r="J39" s="17" t="s">
        <v>1813</v>
      </c>
    </row>
    <row r="40" spans="1:12" x14ac:dyDescent="0.25">
      <c r="B40" s="32"/>
      <c r="C40" s="32"/>
      <c r="D40" s="32"/>
      <c r="E40" s="32"/>
      <c r="G40" s="3"/>
      <c r="I40" s="196"/>
    </row>
    <row r="41" spans="1:12" x14ac:dyDescent="0.25">
      <c r="B41" s="41">
        <v>1</v>
      </c>
      <c r="C41" s="41">
        <v>2</v>
      </c>
      <c r="D41" s="41">
        <v>3</v>
      </c>
      <c r="E41" s="41">
        <v>4</v>
      </c>
      <c r="F41" s="41">
        <v>5</v>
      </c>
      <c r="G41" s="3">
        <v>6</v>
      </c>
      <c r="H41" s="41">
        <v>7</v>
      </c>
      <c r="I41" s="58">
        <v>8</v>
      </c>
      <c r="J41" s="53" t="s">
        <v>1497</v>
      </c>
      <c r="K41" s="53" t="s">
        <v>1498</v>
      </c>
      <c r="L41" s="17" t="s">
        <v>1500</v>
      </c>
    </row>
    <row r="42" spans="1:12" x14ac:dyDescent="0.25">
      <c r="B42" s="41"/>
      <c r="C42" s="96" t="s">
        <v>605</v>
      </c>
      <c r="D42" s="272"/>
      <c r="E42" s="41"/>
      <c r="F42" s="41"/>
      <c r="G42" s="3"/>
      <c r="H42" s="41"/>
      <c r="I42" s="58"/>
      <c r="J42" s="53" t="s">
        <v>933</v>
      </c>
      <c r="K42" s="53" t="s">
        <v>933</v>
      </c>
      <c r="L42" s="53" t="s">
        <v>1499</v>
      </c>
    </row>
    <row r="43" spans="1:12" x14ac:dyDescent="0.25">
      <c r="B43" s="30" t="s">
        <v>860</v>
      </c>
      <c r="C43" s="7" t="s">
        <v>901</v>
      </c>
      <c r="D43" s="7" t="s">
        <v>1144</v>
      </c>
      <c r="I43" s="196"/>
      <c r="J43" s="3"/>
      <c r="K43" s="3"/>
    </row>
    <row r="44" spans="1:12" x14ac:dyDescent="0.25">
      <c r="A44" t="s">
        <v>912</v>
      </c>
      <c r="B44" s="5">
        <f>DGET($B$2:$H$39,B41,$C43:$D44)</f>
        <v>22</v>
      </c>
      <c r="C44" s="403">
        <f>Codici!AQ2</f>
        <v>2</v>
      </c>
      <c r="D44" s="269">
        <f>L13</f>
        <v>5</v>
      </c>
      <c r="E44" s="5">
        <f>DGET($B$2:$I$39,E41,$C43:$D44)</f>
        <v>2</v>
      </c>
      <c r="F44" s="5" t="str">
        <f>DGET($B$2:$I$39,F41,$C43:$D44)</f>
        <v>Prearatura estiva o autunnale - su paglie o stocchi</v>
      </c>
      <c r="G44" s="5">
        <f>DGET($B$2:$H$39,G41,$C43:$D44)</f>
        <v>2</v>
      </c>
      <c r="H44" s="5" t="str">
        <f>DGET($B$2:$H$39,H41,$C43:$D44)</f>
        <v>media</v>
      </c>
      <c r="I44" s="202" t="str">
        <f>DGET($B$2:$I$39,I41,$C43:$D44)</f>
        <v>no</v>
      </c>
      <c r="J44" s="473">
        <f>Distribuz!Q7</f>
        <v>2023</v>
      </c>
      <c r="K44" s="473">
        <f>Inserimento!$T$5</f>
        <v>2025</v>
      </c>
      <c r="L44" s="479">
        <f>IF(AND(E44=15,(J44=K44)),0,40)</f>
        <v>40</v>
      </c>
    </row>
    <row r="45" spans="1:12" x14ac:dyDescent="0.25">
      <c r="C45" s="7" t="s">
        <v>901</v>
      </c>
      <c r="D45" s="7" t="s">
        <v>1144</v>
      </c>
      <c r="I45" s="196"/>
      <c r="J45" s="3"/>
      <c r="K45" s="3"/>
    </row>
    <row r="46" spans="1:12" x14ac:dyDescent="0.25">
      <c r="A46" t="s">
        <v>924</v>
      </c>
      <c r="B46" s="5">
        <f>DGET($B$2:$I$39,B41,$C45:$D46)</f>
        <v>25</v>
      </c>
      <c r="C46" s="403">
        <f>Codici!AY2</f>
        <v>5</v>
      </c>
      <c r="D46" s="269">
        <f>L13</f>
        <v>5</v>
      </c>
      <c r="E46" s="5">
        <f>DGET($B$2:$I$39,E41,$C45:$D46)</f>
        <v>5</v>
      </c>
      <c r="F46" s="5" t="str">
        <f>DGET($B$2:$I$39,F41,$C45:$D46)</f>
        <v>In copertura con fertirrigazione a bassa pressione</v>
      </c>
      <c r="G46" s="5">
        <f>DGET($B$2:$I$39,G41,$C45:$D46)</f>
        <v>3</v>
      </c>
      <c r="H46" s="5" t="str">
        <f>DGET($B$2:$I$39,H41,$C45:$D46)</f>
        <v>alta</v>
      </c>
      <c r="I46" s="202" t="str">
        <f>DGET($B$2:$I$39,I41,$C45:$D46)</f>
        <v>si</v>
      </c>
      <c r="J46" s="473">
        <f>Distribuz!Q10</f>
        <v>2024</v>
      </c>
      <c r="K46" s="473">
        <f>Inserimento!$T$5</f>
        <v>2025</v>
      </c>
      <c r="L46" s="479">
        <f>IF(AND(E46=15,(J46=K46)),0,40)</f>
        <v>40</v>
      </c>
    </row>
    <row r="47" spans="1:12" x14ac:dyDescent="0.25">
      <c r="C47" s="273" t="s">
        <v>901</v>
      </c>
      <c r="D47" s="7" t="s">
        <v>1144</v>
      </c>
      <c r="I47" s="196"/>
      <c r="J47" s="3"/>
      <c r="K47" s="3"/>
    </row>
    <row r="48" spans="1:12" x14ac:dyDescent="0.25">
      <c r="A48" t="s">
        <v>926</v>
      </c>
      <c r="B48" s="5">
        <f>DGET($B$2:$I$39,B41,$C47:$D48)</f>
        <v>27</v>
      </c>
      <c r="C48" s="405">
        <f>Codici!BG2</f>
        <v>7</v>
      </c>
      <c r="D48" s="275">
        <f>L13</f>
        <v>5</v>
      </c>
      <c r="E48" s="5">
        <f>DGET($B$2:$I$39,E41,$C47:$D48)</f>
        <v>7</v>
      </c>
      <c r="F48" s="5" t="str">
        <f>DGET($B$2:$I$39,F41,$C47:$D48)</f>
        <v>In copertura in primavera senza interramento</v>
      </c>
      <c r="G48" s="5">
        <f>DGET($B$2:$I$39,G41,$C47:$D48)</f>
        <v>2</v>
      </c>
      <c r="H48" s="5" t="str">
        <f>DGET($B$2:$I$39,H41,$C47:$D48)</f>
        <v>media</v>
      </c>
      <c r="I48" s="202" t="str">
        <f>DGET($B$2:$I$39,I41,$C47:$D48)</f>
        <v>sì</v>
      </c>
      <c r="J48" s="473">
        <f>Distribuz!Q13</f>
        <v>0</v>
      </c>
      <c r="K48" s="473">
        <f>Inserimento!$T$5</f>
        <v>2025</v>
      </c>
      <c r="L48" s="479">
        <f>IF(AND(E48=15,(J48=K48)),0,40)</f>
        <v>40</v>
      </c>
    </row>
  </sheetData>
  <sheetProtection algorithmName="SHA-512" hashValue="mkxwgOp8bokyr0lBERFWQexfxDKxpnzQs8tAogOF1SRxxDD1VwxN6OuqP4MrEulKpAtHQXWftONjaeO5uc6Msg==" saltValue="vm50rHy+yCrZ2hLhGEScCA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4"/>
  <dimension ref="A1:F1569"/>
  <sheetViews>
    <sheetView topLeftCell="A94" workbookViewId="0">
      <selection activeCell="E119" sqref="E119"/>
    </sheetView>
  </sheetViews>
  <sheetFormatPr defaultRowHeight="13.2" x14ac:dyDescent="0.25"/>
  <cols>
    <col min="2" max="2" width="11.5546875" bestFit="1" customWidth="1"/>
    <col min="3" max="3" width="51.44140625" bestFit="1" customWidth="1"/>
    <col min="4" max="6" width="9.33203125" style="3" customWidth="1"/>
  </cols>
  <sheetData>
    <row r="1" spans="1:6" x14ac:dyDescent="0.25">
      <c r="A1" s="34" t="s">
        <v>832</v>
      </c>
    </row>
    <row r="2" spans="1:6" x14ac:dyDescent="0.25">
      <c r="B2" s="3" t="s">
        <v>684</v>
      </c>
      <c r="C2" t="s">
        <v>685</v>
      </c>
      <c r="D2" s="3" t="s">
        <v>243</v>
      </c>
      <c r="E2" s="3" t="s">
        <v>244</v>
      </c>
      <c r="F2" s="3" t="s">
        <v>245</v>
      </c>
    </row>
    <row r="3" spans="1:6" x14ac:dyDescent="0.25">
      <c r="B3" s="3">
        <v>1</v>
      </c>
      <c r="C3" t="s">
        <v>495</v>
      </c>
      <c r="D3" s="3">
        <v>0</v>
      </c>
      <c r="E3" s="3">
        <v>0</v>
      </c>
      <c r="F3" s="3">
        <v>0</v>
      </c>
    </row>
    <row r="4" spans="1:6" x14ac:dyDescent="0.25">
      <c r="B4" s="3">
        <v>2</v>
      </c>
      <c r="C4" t="s">
        <v>686</v>
      </c>
      <c r="D4" s="3">
        <v>0</v>
      </c>
      <c r="E4" s="3">
        <v>61</v>
      </c>
      <c r="F4" s="3">
        <v>0</v>
      </c>
    </row>
    <row r="5" spans="1:6" x14ac:dyDescent="0.25">
      <c r="B5" s="3">
        <v>3</v>
      </c>
      <c r="C5" t="s">
        <v>687</v>
      </c>
      <c r="D5" s="3">
        <v>7.5</v>
      </c>
      <c r="E5" s="3">
        <v>12</v>
      </c>
      <c r="F5" s="3">
        <v>21</v>
      </c>
    </row>
    <row r="6" spans="1:6" x14ac:dyDescent="0.25">
      <c r="B6" s="3">
        <v>4</v>
      </c>
      <c r="C6" t="s">
        <v>688</v>
      </c>
      <c r="D6" s="3">
        <v>10</v>
      </c>
      <c r="E6" s="3">
        <v>5</v>
      </c>
      <c r="F6" s="3">
        <v>15</v>
      </c>
    </row>
    <row r="7" spans="1:6" x14ac:dyDescent="0.25">
      <c r="B7" s="3">
        <v>5</v>
      </c>
      <c r="C7" t="s">
        <v>689</v>
      </c>
      <c r="D7" s="3">
        <v>9.5</v>
      </c>
      <c r="E7" s="3">
        <v>5</v>
      </c>
      <c r="F7" s="3">
        <v>14.5</v>
      </c>
    </row>
    <row r="8" spans="1:6" x14ac:dyDescent="0.25">
      <c r="B8" s="3">
        <v>6</v>
      </c>
      <c r="C8" t="s">
        <v>690</v>
      </c>
      <c r="D8" s="3">
        <v>18.5</v>
      </c>
      <c r="E8" s="3">
        <v>0</v>
      </c>
      <c r="F8" s="3">
        <v>0</v>
      </c>
    </row>
    <row r="9" spans="1:6" x14ac:dyDescent="0.25">
      <c r="B9" s="3">
        <v>7</v>
      </c>
      <c r="C9" t="s">
        <v>691</v>
      </c>
      <c r="D9" s="3">
        <v>18.5</v>
      </c>
      <c r="E9" s="3">
        <v>0</v>
      </c>
      <c r="F9" s="3">
        <v>0</v>
      </c>
    </row>
    <row r="10" spans="1:6" x14ac:dyDescent="0.25">
      <c r="B10" s="3">
        <v>8</v>
      </c>
      <c r="C10" t="s">
        <v>692</v>
      </c>
      <c r="D10" s="3">
        <v>40</v>
      </c>
      <c r="E10" s="3">
        <v>0</v>
      </c>
      <c r="F10" s="3">
        <v>0</v>
      </c>
    </row>
    <row r="11" spans="1:6" x14ac:dyDescent="0.25">
      <c r="B11" s="3">
        <v>9</v>
      </c>
      <c r="C11" t="s">
        <v>693</v>
      </c>
      <c r="D11" s="3">
        <v>35</v>
      </c>
      <c r="E11" s="3">
        <v>0</v>
      </c>
      <c r="F11" s="3">
        <v>0</v>
      </c>
    </row>
    <row r="12" spans="1:6" x14ac:dyDescent="0.25">
      <c r="B12" s="3">
        <v>10</v>
      </c>
      <c r="C12" t="s">
        <v>694</v>
      </c>
      <c r="D12" s="3">
        <v>5</v>
      </c>
      <c r="E12" s="3">
        <v>10</v>
      </c>
      <c r="F12" s="3">
        <v>15</v>
      </c>
    </row>
    <row r="13" spans="1:6" x14ac:dyDescent="0.25">
      <c r="B13" s="3">
        <v>11</v>
      </c>
      <c r="C13" t="s">
        <v>695</v>
      </c>
      <c r="D13" s="3">
        <v>6</v>
      </c>
      <c r="E13" s="3">
        <v>10</v>
      </c>
      <c r="F13" s="3">
        <v>15</v>
      </c>
    </row>
    <row r="14" spans="1:6" x14ac:dyDescent="0.25">
      <c r="B14" s="3">
        <v>12</v>
      </c>
      <c r="C14" t="s">
        <v>696</v>
      </c>
      <c r="D14" s="3">
        <v>20</v>
      </c>
      <c r="E14" s="3">
        <v>0</v>
      </c>
      <c r="F14" s="3">
        <v>0</v>
      </c>
    </row>
    <row r="15" spans="1:6" x14ac:dyDescent="0.25">
      <c r="B15" s="3">
        <v>13</v>
      </c>
      <c r="C15" t="s">
        <v>697</v>
      </c>
      <c r="D15" s="3">
        <v>19</v>
      </c>
      <c r="E15" s="3">
        <v>0</v>
      </c>
      <c r="F15" s="3">
        <v>0</v>
      </c>
    </row>
    <row r="16" spans="1:6" x14ac:dyDescent="0.25">
      <c r="B16" s="3">
        <v>14</v>
      </c>
      <c r="C16" t="s">
        <v>698</v>
      </c>
      <c r="D16" s="3">
        <v>20</v>
      </c>
      <c r="E16" s="3">
        <v>0</v>
      </c>
      <c r="F16" s="3">
        <v>0</v>
      </c>
    </row>
    <row r="17" spans="2:6" x14ac:dyDescent="0.25">
      <c r="B17" s="3">
        <v>15</v>
      </c>
      <c r="C17" t="s">
        <v>699</v>
      </c>
      <c r="D17" s="3">
        <v>19</v>
      </c>
      <c r="E17" s="3">
        <v>0</v>
      </c>
      <c r="F17" s="3">
        <v>0</v>
      </c>
    </row>
    <row r="18" spans="2:6" x14ac:dyDescent="0.25">
      <c r="B18" s="3">
        <v>16</v>
      </c>
      <c r="C18" t="s">
        <v>700</v>
      </c>
      <c r="D18" s="3">
        <v>0</v>
      </c>
      <c r="E18" s="3">
        <v>0</v>
      </c>
      <c r="F18" s="3">
        <v>60</v>
      </c>
    </row>
    <row r="19" spans="2:6" x14ac:dyDescent="0.25">
      <c r="B19" s="3">
        <v>17</v>
      </c>
      <c r="C19" t="s">
        <v>701</v>
      </c>
      <c r="D19" s="3">
        <v>5</v>
      </c>
      <c r="E19" s="3">
        <v>0</v>
      </c>
      <c r="F19" s="3">
        <v>0</v>
      </c>
    </row>
    <row r="20" spans="2:6" x14ac:dyDescent="0.25">
      <c r="B20" s="3">
        <v>18</v>
      </c>
      <c r="C20" t="s">
        <v>702</v>
      </c>
      <c r="D20" s="3">
        <v>10</v>
      </c>
      <c r="E20" s="3">
        <v>12</v>
      </c>
      <c r="F20" s="3">
        <v>7</v>
      </c>
    </row>
    <row r="21" spans="2:6" x14ac:dyDescent="0.25">
      <c r="B21" s="3">
        <v>19</v>
      </c>
      <c r="C21" t="s">
        <v>703</v>
      </c>
      <c r="D21" s="3">
        <v>9</v>
      </c>
      <c r="E21" s="3">
        <v>14</v>
      </c>
      <c r="F21" s="3">
        <v>13</v>
      </c>
    </row>
    <row r="22" spans="2:6" x14ac:dyDescent="0.25">
      <c r="B22" s="3">
        <v>20</v>
      </c>
      <c r="C22" t="s">
        <v>704</v>
      </c>
      <c r="D22" s="3">
        <v>18</v>
      </c>
      <c r="E22" s="3">
        <v>46</v>
      </c>
      <c r="F22" s="3">
        <v>0</v>
      </c>
    </row>
    <row r="23" spans="2:6" x14ac:dyDescent="0.25">
      <c r="B23" s="3">
        <v>21</v>
      </c>
      <c r="C23" t="s">
        <v>705</v>
      </c>
      <c r="D23" s="3">
        <v>21</v>
      </c>
      <c r="E23" s="3">
        <v>52</v>
      </c>
      <c r="F23" s="3">
        <v>0</v>
      </c>
    </row>
    <row r="24" spans="2:6" x14ac:dyDescent="0.25">
      <c r="B24" s="3">
        <v>22</v>
      </c>
      <c r="C24" t="s">
        <v>706</v>
      </c>
      <c r="D24" s="3">
        <v>12</v>
      </c>
      <c r="E24" s="3">
        <v>61</v>
      </c>
      <c r="F24" s="3">
        <v>0</v>
      </c>
    </row>
    <row r="25" spans="2:6" x14ac:dyDescent="0.25">
      <c r="B25" s="3">
        <v>23</v>
      </c>
      <c r="C25" t="s">
        <v>707</v>
      </c>
      <c r="D25" s="3">
        <v>0</v>
      </c>
      <c r="E25" s="3">
        <v>52</v>
      </c>
      <c r="F25" s="3">
        <v>34</v>
      </c>
    </row>
    <row r="26" spans="2:6" x14ac:dyDescent="0.25">
      <c r="B26" s="3">
        <v>24</v>
      </c>
      <c r="C26" t="s">
        <v>708</v>
      </c>
      <c r="D26" s="3">
        <v>0</v>
      </c>
      <c r="E26" s="3">
        <v>27</v>
      </c>
      <c r="F26" s="3">
        <v>0</v>
      </c>
    </row>
    <row r="27" spans="2:6" x14ac:dyDescent="0.25">
      <c r="B27" s="3">
        <v>25</v>
      </c>
      <c r="C27" t="s">
        <v>709</v>
      </c>
      <c r="D27" s="3">
        <v>12</v>
      </c>
      <c r="E27" s="3">
        <v>61</v>
      </c>
      <c r="F27" s="3">
        <v>0</v>
      </c>
    </row>
    <row r="28" spans="2:6" x14ac:dyDescent="0.25">
      <c r="B28" s="3">
        <v>26</v>
      </c>
      <c r="C28" t="s">
        <v>710</v>
      </c>
      <c r="D28" s="3">
        <v>0</v>
      </c>
      <c r="E28" s="3">
        <v>52</v>
      </c>
      <c r="F28" s="3">
        <v>34</v>
      </c>
    </row>
    <row r="29" spans="2:6" x14ac:dyDescent="0.25">
      <c r="B29" s="3">
        <v>27</v>
      </c>
      <c r="C29" t="s">
        <v>711</v>
      </c>
      <c r="D29" s="3">
        <v>0</v>
      </c>
      <c r="E29" s="3">
        <v>0</v>
      </c>
      <c r="F29" s="3">
        <v>0</v>
      </c>
    </row>
    <row r="30" spans="2:6" x14ac:dyDescent="0.25">
      <c r="B30" s="3">
        <v>28</v>
      </c>
      <c r="C30" t="s">
        <v>712</v>
      </c>
      <c r="D30" s="3">
        <v>3</v>
      </c>
      <c r="E30" s="3">
        <v>15</v>
      </c>
      <c r="F30" s="3">
        <v>0</v>
      </c>
    </row>
    <row r="31" spans="2:6" x14ac:dyDescent="0.25">
      <c r="B31" s="3">
        <v>29</v>
      </c>
      <c r="C31" t="s">
        <v>713</v>
      </c>
      <c r="D31" s="3">
        <v>3</v>
      </c>
      <c r="E31" s="3">
        <v>15</v>
      </c>
      <c r="F31" s="3">
        <v>0</v>
      </c>
    </row>
    <row r="32" spans="2:6" x14ac:dyDescent="0.25">
      <c r="B32" s="3">
        <v>30</v>
      </c>
      <c r="C32" t="s">
        <v>714</v>
      </c>
      <c r="D32" s="3">
        <v>6</v>
      </c>
      <c r="E32" s="3">
        <v>0</v>
      </c>
      <c r="F32" s="3">
        <v>0</v>
      </c>
    </row>
    <row r="33" spans="2:6" x14ac:dyDescent="0.25">
      <c r="B33" s="3">
        <v>31</v>
      </c>
      <c r="C33" t="s">
        <v>715</v>
      </c>
      <c r="D33" s="3">
        <v>7.5</v>
      </c>
      <c r="E33" s="3">
        <v>2.7E-2</v>
      </c>
      <c r="F33" s="3">
        <v>0.9</v>
      </c>
    </row>
    <row r="34" spans="2:6" x14ac:dyDescent="0.25">
      <c r="B34" s="3">
        <v>32</v>
      </c>
      <c r="C34" t="s">
        <v>716</v>
      </c>
      <c r="D34" s="3">
        <v>17</v>
      </c>
      <c r="E34" s="3">
        <v>44</v>
      </c>
      <c r="F34" s="3">
        <v>0</v>
      </c>
    </row>
    <row r="35" spans="2:6" x14ac:dyDescent="0.25">
      <c r="B35" s="3">
        <v>33</v>
      </c>
      <c r="C35" t="s">
        <v>717</v>
      </c>
      <c r="D35" s="3">
        <v>26</v>
      </c>
      <c r="E35" s="3">
        <v>0</v>
      </c>
      <c r="F35" s="3">
        <v>0</v>
      </c>
    </row>
    <row r="36" spans="2:6" x14ac:dyDescent="0.25">
      <c r="B36" s="3">
        <v>34</v>
      </c>
      <c r="C36" t="s">
        <v>718</v>
      </c>
      <c r="D36" s="3">
        <v>27</v>
      </c>
      <c r="E36" s="3">
        <v>0</v>
      </c>
      <c r="F36" s="3">
        <v>0</v>
      </c>
    </row>
    <row r="37" spans="2:6" x14ac:dyDescent="0.25">
      <c r="B37" s="3">
        <v>35</v>
      </c>
      <c r="C37" t="s">
        <v>719</v>
      </c>
      <c r="D37" s="3">
        <v>27</v>
      </c>
      <c r="E37" s="3">
        <v>0</v>
      </c>
      <c r="F37" s="3">
        <v>0</v>
      </c>
    </row>
    <row r="38" spans="2:6" x14ac:dyDescent="0.25">
      <c r="B38" s="3">
        <v>36</v>
      </c>
      <c r="C38" t="s">
        <v>720</v>
      </c>
      <c r="D38" s="3">
        <v>34.299999999999997</v>
      </c>
      <c r="E38" s="3">
        <v>0</v>
      </c>
      <c r="F38" s="3">
        <v>0</v>
      </c>
    </row>
    <row r="39" spans="2:6" x14ac:dyDescent="0.25">
      <c r="B39" s="3">
        <v>37</v>
      </c>
      <c r="C39" t="s">
        <v>721</v>
      </c>
      <c r="D39" s="3">
        <v>15.5</v>
      </c>
      <c r="E39" s="3">
        <v>0</v>
      </c>
      <c r="F39" s="3">
        <v>0</v>
      </c>
    </row>
    <row r="40" spans="2:6" x14ac:dyDescent="0.25">
      <c r="B40" s="3">
        <v>38</v>
      </c>
      <c r="C40" t="s">
        <v>722</v>
      </c>
      <c r="D40" s="3">
        <v>15.5</v>
      </c>
      <c r="E40" s="3">
        <v>0</v>
      </c>
      <c r="F40" s="3">
        <v>0</v>
      </c>
    </row>
    <row r="41" spans="2:6" x14ac:dyDescent="0.25">
      <c r="B41" s="3">
        <v>39</v>
      </c>
      <c r="C41" t="s">
        <v>723</v>
      </c>
      <c r="D41" s="3">
        <v>15.5</v>
      </c>
      <c r="E41" s="3">
        <v>0</v>
      </c>
      <c r="F41" s="3">
        <v>0</v>
      </c>
    </row>
    <row r="42" spans="2:6" x14ac:dyDescent="0.25">
      <c r="B42" s="3">
        <v>40</v>
      </c>
      <c r="C42" t="s">
        <v>724</v>
      </c>
      <c r="D42" s="3">
        <v>8.5</v>
      </c>
      <c r="E42" s="3">
        <v>0</v>
      </c>
      <c r="F42" s="3">
        <v>0</v>
      </c>
    </row>
    <row r="43" spans="2:6" x14ac:dyDescent="0.25">
      <c r="B43" s="3">
        <v>41</v>
      </c>
      <c r="C43" t="s">
        <v>725</v>
      </c>
      <c r="D43" s="3">
        <v>13</v>
      </c>
      <c r="E43" s="3">
        <v>0</v>
      </c>
      <c r="F43" s="3">
        <v>46</v>
      </c>
    </row>
    <row r="44" spans="2:6" x14ac:dyDescent="0.25">
      <c r="B44" s="3">
        <v>42</v>
      </c>
      <c r="C44" t="s">
        <v>726</v>
      </c>
      <c r="D44" s="3">
        <v>13</v>
      </c>
      <c r="E44" s="3">
        <v>0</v>
      </c>
      <c r="F44" s="3">
        <v>46</v>
      </c>
    </row>
    <row r="45" spans="2:6" x14ac:dyDescent="0.25">
      <c r="B45" s="3">
        <v>43</v>
      </c>
      <c r="C45" t="s">
        <v>727</v>
      </c>
      <c r="D45" s="3">
        <v>12</v>
      </c>
      <c r="E45" s="3">
        <v>0</v>
      </c>
      <c r="F45" s="3">
        <v>42</v>
      </c>
    </row>
    <row r="46" spans="2:6" x14ac:dyDescent="0.25">
      <c r="B46" s="3">
        <v>44</v>
      </c>
      <c r="C46" t="s">
        <v>728</v>
      </c>
      <c r="D46" s="3">
        <v>12</v>
      </c>
      <c r="E46" s="3">
        <v>0</v>
      </c>
      <c r="F46" s="3">
        <v>42</v>
      </c>
    </row>
    <row r="47" spans="2:6" x14ac:dyDescent="0.25">
      <c r="B47" s="3">
        <v>45</v>
      </c>
      <c r="C47" t="s">
        <v>729</v>
      </c>
      <c r="D47" s="3">
        <v>11</v>
      </c>
      <c r="E47" s="3">
        <v>0</v>
      </c>
      <c r="F47" s="3">
        <v>0</v>
      </c>
    </row>
    <row r="48" spans="2:6" x14ac:dyDescent="0.25">
      <c r="B48" s="3">
        <v>46</v>
      </c>
      <c r="C48" t="s">
        <v>730</v>
      </c>
      <c r="D48" s="3">
        <v>8</v>
      </c>
      <c r="E48" s="3">
        <v>1</v>
      </c>
      <c r="F48" s="3">
        <v>1</v>
      </c>
    </row>
    <row r="49" spans="2:6" x14ac:dyDescent="0.25">
      <c r="B49" s="3">
        <v>47</v>
      </c>
      <c r="C49" t="s">
        <v>731</v>
      </c>
      <c r="D49" s="3">
        <v>3</v>
      </c>
      <c r="E49" s="3">
        <v>12</v>
      </c>
      <c r="F49" s="3">
        <v>0</v>
      </c>
    </row>
    <row r="50" spans="2:6" x14ac:dyDescent="0.25">
      <c r="B50" s="3">
        <v>48</v>
      </c>
      <c r="C50" t="s">
        <v>732</v>
      </c>
      <c r="D50" s="3">
        <v>6</v>
      </c>
      <c r="E50" s="3">
        <v>5</v>
      </c>
      <c r="F50" s="3">
        <v>7</v>
      </c>
    </row>
    <row r="51" spans="2:6" x14ac:dyDescent="0.25">
      <c r="B51" s="3">
        <v>49</v>
      </c>
      <c r="C51" t="s">
        <v>733</v>
      </c>
      <c r="D51" s="3">
        <v>26</v>
      </c>
      <c r="E51" s="3">
        <v>0</v>
      </c>
      <c r="F51" s="3">
        <v>0</v>
      </c>
    </row>
    <row r="52" spans="2:6" x14ac:dyDescent="0.25">
      <c r="B52" s="3">
        <v>50</v>
      </c>
      <c r="C52" t="s">
        <v>734</v>
      </c>
      <c r="D52" s="3">
        <v>27</v>
      </c>
      <c r="E52" s="3">
        <v>0</v>
      </c>
      <c r="F52" s="3">
        <v>0</v>
      </c>
    </row>
    <row r="53" spans="2:6" x14ac:dyDescent="0.25">
      <c r="B53" s="3">
        <v>51</v>
      </c>
      <c r="C53" t="s">
        <v>735</v>
      </c>
      <c r="D53" s="3">
        <v>33.5</v>
      </c>
      <c r="E53" s="3">
        <v>0</v>
      </c>
      <c r="F53" s="3">
        <v>0</v>
      </c>
    </row>
    <row r="54" spans="2:6" x14ac:dyDescent="0.25">
      <c r="B54" s="3">
        <v>52</v>
      </c>
      <c r="C54" t="s">
        <v>736</v>
      </c>
      <c r="D54" s="3">
        <v>15.5</v>
      </c>
      <c r="E54" s="3">
        <v>0</v>
      </c>
      <c r="F54" s="3">
        <v>0</v>
      </c>
    </row>
    <row r="55" spans="2:6" x14ac:dyDescent="0.25">
      <c r="B55" s="3">
        <v>53</v>
      </c>
      <c r="C55" t="s">
        <v>737</v>
      </c>
      <c r="D55" s="3">
        <v>3</v>
      </c>
      <c r="E55" s="3">
        <v>0</v>
      </c>
      <c r="F55" s="3">
        <v>15</v>
      </c>
    </row>
    <row r="56" spans="2:6" x14ac:dyDescent="0.25">
      <c r="B56" s="3">
        <v>54</v>
      </c>
      <c r="C56" t="s">
        <v>738</v>
      </c>
      <c r="D56" s="3">
        <v>13</v>
      </c>
      <c r="E56" s="3">
        <v>0</v>
      </c>
      <c r="F56" s="3">
        <v>42</v>
      </c>
    </row>
    <row r="57" spans="2:6" x14ac:dyDescent="0.25">
      <c r="B57" s="3">
        <v>55</v>
      </c>
      <c r="C57" t="s">
        <v>739</v>
      </c>
      <c r="D57" s="3">
        <v>13</v>
      </c>
      <c r="E57" s="3">
        <v>0</v>
      </c>
      <c r="F57" s="3">
        <v>46</v>
      </c>
    </row>
    <row r="58" spans="2:6" x14ac:dyDescent="0.25">
      <c r="B58" s="3">
        <v>56</v>
      </c>
      <c r="C58" t="s">
        <v>740</v>
      </c>
      <c r="D58" s="3">
        <v>12</v>
      </c>
      <c r="E58" s="3">
        <v>0</v>
      </c>
      <c r="F58" s="3">
        <v>43</v>
      </c>
    </row>
    <row r="59" spans="2:6" x14ac:dyDescent="0.25">
      <c r="B59" s="3">
        <v>57</v>
      </c>
      <c r="C59" t="s">
        <v>741</v>
      </c>
      <c r="D59" s="3">
        <v>15</v>
      </c>
      <c r="E59" s="3">
        <v>0</v>
      </c>
      <c r="F59" s="3">
        <v>14</v>
      </c>
    </row>
    <row r="60" spans="2:6" x14ac:dyDescent="0.25">
      <c r="B60" s="3">
        <v>58</v>
      </c>
      <c r="C60" t="s">
        <v>742</v>
      </c>
      <c r="D60" s="3">
        <v>6</v>
      </c>
      <c r="E60" s="3">
        <v>40</v>
      </c>
      <c r="F60" s="3">
        <v>0</v>
      </c>
    </row>
    <row r="61" spans="2:6" x14ac:dyDescent="0.25">
      <c r="B61" s="3">
        <v>59</v>
      </c>
      <c r="C61" t="s">
        <v>743</v>
      </c>
      <c r="D61" s="3">
        <v>12</v>
      </c>
      <c r="E61" s="3">
        <v>52</v>
      </c>
      <c r="F61" s="3">
        <v>0</v>
      </c>
    </row>
    <row r="62" spans="2:6" x14ac:dyDescent="0.25">
      <c r="B62" s="3">
        <v>60</v>
      </c>
      <c r="C62" t="s">
        <v>744</v>
      </c>
      <c r="D62" s="3">
        <v>16</v>
      </c>
      <c r="E62" s="3">
        <v>35</v>
      </c>
      <c r="F62" s="3">
        <v>0</v>
      </c>
    </row>
    <row r="63" spans="2:6" x14ac:dyDescent="0.25">
      <c r="B63" s="3">
        <v>61</v>
      </c>
      <c r="C63" t="s">
        <v>745</v>
      </c>
      <c r="D63" s="3">
        <v>17</v>
      </c>
      <c r="E63" s="3">
        <v>36</v>
      </c>
      <c r="F63" s="3">
        <v>0</v>
      </c>
    </row>
    <row r="64" spans="2:6" x14ac:dyDescent="0.25">
      <c r="B64" s="3">
        <v>62</v>
      </c>
      <c r="C64" t="s">
        <v>746</v>
      </c>
      <c r="D64" s="3">
        <v>18</v>
      </c>
      <c r="E64" s="3">
        <v>46</v>
      </c>
      <c r="F64" s="3">
        <v>0</v>
      </c>
    </row>
    <row r="65" spans="2:6" x14ac:dyDescent="0.25">
      <c r="B65" s="3">
        <v>63</v>
      </c>
      <c r="C65" t="s">
        <v>747</v>
      </c>
      <c r="D65" s="3">
        <v>23</v>
      </c>
      <c r="E65" s="3">
        <v>21</v>
      </c>
      <c r="F65" s="3">
        <v>0</v>
      </c>
    </row>
    <row r="66" spans="2:6" x14ac:dyDescent="0.25">
      <c r="B66" s="3">
        <v>64</v>
      </c>
      <c r="C66" t="s">
        <v>748</v>
      </c>
      <c r="D66" s="3">
        <v>25</v>
      </c>
      <c r="E66" s="3">
        <v>10</v>
      </c>
      <c r="F66" s="3">
        <v>0</v>
      </c>
    </row>
    <row r="67" spans="2:6" x14ac:dyDescent="0.25">
      <c r="B67" s="3">
        <v>65</v>
      </c>
      <c r="C67" t="s">
        <v>749</v>
      </c>
      <c r="D67" s="3">
        <v>25</v>
      </c>
      <c r="E67" s="3">
        <v>10</v>
      </c>
      <c r="F67" s="3">
        <v>0</v>
      </c>
    </row>
    <row r="68" spans="2:6" x14ac:dyDescent="0.25">
      <c r="B68" s="3">
        <v>66</v>
      </c>
      <c r="C68" t="s">
        <v>750</v>
      </c>
      <c r="D68" s="3">
        <v>25</v>
      </c>
      <c r="E68" s="3">
        <v>13</v>
      </c>
      <c r="F68" s="3">
        <v>0</v>
      </c>
    </row>
    <row r="69" spans="2:6" x14ac:dyDescent="0.25">
      <c r="B69" s="3">
        <v>67</v>
      </c>
      <c r="C69" t="s">
        <v>751</v>
      </c>
      <c r="D69" s="3">
        <v>30</v>
      </c>
      <c r="E69" s="3">
        <v>10</v>
      </c>
      <c r="F69" s="3">
        <v>0</v>
      </c>
    </row>
    <row r="70" spans="2:6" x14ac:dyDescent="0.25">
      <c r="B70" s="3">
        <v>68</v>
      </c>
      <c r="C70" t="s">
        <v>752</v>
      </c>
      <c r="D70" s="3">
        <v>8</v>
      </c>
      <c r="E70" s="3">
        <v>40</v>
      </c>
      <c r="F70" s="3">
        <v>0</v>
      </c>
    </row>
    <row r="71" spans="2:6" x14ac:dyDescent="0.25">
      <c r="B71" s="3">
        <v>69</v>
      </c>
      <c r="C71" t="s">
        <v>753</v>
      </c>
      <c r="D71" s="3">
        <v>12</v>
      </c>
      <c r="E71" s="3">
        <v>12</v>
      </c>
      <c r="F71" s="3">
        <v>17</v>
      </c>
    </row>
    <row r="72" spans="2:6" x14ac:dyDescent="0.25">
      <c r="B72" s="3">
        <v>70</v>
      </c>
      <c r="C72" t="s">
        <v>754</v>
      </c>
      <c r="D72" s="3">
        <v>10</v>
      </c>
      <c r="E72" s="3">
        <v>12</v>
      </c>
      <c r="F72" s="3">
        <v>20</v>
      </c>
    </row>
    <row r="73" spans="2:6" x14ac:dyDescent="0.25">
      <c r="B73" s="3">
        <v>71</v>
      </c>
      <c r="C73" t="s">
        <v>755</v>
      </c>
      <c r="D73" s="3">
        <v>10</v>
      </c>
      <c r="E73" s="3">
        <v>25</v>
      </c>
      <c r="F73" s="3">
        <v>25</v>
      </c>
    </row>
    <row r="74" spans="2:6" x14ac:dyDescent="0.25">
      <c r="B74" s="3">
        <v>72</v>
      </c>
      <c r="C74" t="s">
        <v>756</v>
      </c>
      <c r="D74" s="3">
        <v>11</v>
      </c>
      <c r="E74" s="3">
        <v>22</v>
      </c>
      <c r="F74" s="3">
        <v>16</v>
      </c>
    </row>
    <row r="75" spans="2:6" x14ac:dyDescent="0.25">
      <c r="B75" s="3">
        <v>73</v>
      </c>
      <c r="C75" t="s">
        <v>757</v>
      </c>
      <c r="D75" s="3">
        <v>11</v>
      </c>
      <c r="E75" s="3">
        <v>22</v>
      </c>
      <c r="F75" s="3">
        <v>16</v>
      </c>
    </row>
    <row r="76" spans="2:6" x14ac:dyDescent="0.25">
      <c r="B76" s="3">
        <v>74</v>
      </c>
      <c r="C76" t="s">
        <v>758</v>
      </c>
      <c r="D76" s="3">
        <v>12</v>
      </c>
      <c r="E76" s="3">
        <v>16</v>
      </c>
      <c r="F76" s="3">
        <v>18</v>
      </c>
    </row>
    <row r="77" spans="2:6" x14ac:dyDescent="0.25">
      <c r="B77" s="3">
        <v>75</v>
      </c>
      <c r="C77" t="s">
        <v>759</v>
      </c>
      <c r="D77" s="3">
        <v>12</v>
      </c>
      <c r="E77" s="3">
        <v>12</v>
      </c>
      <c r="F77" s="3">
        <v>12</v>
      </c>
    </row>
    <row r="78" spans="2:6" x14ac:dyDescent="0.25">
      <c r="B78" s="3">
        <v>76</v>
      </c>
      <c r="C78" t="s">
        <v>760</v>
      </c>
      <c r="D78" s="3">
        <v>12</v>
      </c>
      <c r="E78" s="3">
        <v>12</v>
      </c>
      <c r="F78" s="3">
        <v>17</v>
      </c>
    </row>
    <row r="79" spans="2:6" x14ac:dyDescent="0.25">
      <c r="B79" s="3">
        <v>77</v>
      </c>
      <c r="C79" t="s">
        <v>761</v>
      </c>
      <c r="D79" s="3">
        <v>12</v>
      </c>
      <c r="E79" s="3">
        <v>20</v>
      </c>
      <c r="F79" s="3">
        <v>27</v>
      </c>
    </row>
    <row r="80" spans="2:6" x14ac:dyDescent="0.25">
      <c r="B80" s="3">
        <v>78</v>
      </c>
      <c r="C80" t="s">
        <v>762</v>
      </c>
      <c r="D80" s="3">
        <v>12</v>
      </c>
      <c r="E80" s="3">
        <v>27</v>
      </c>
      <c r="F80" s="3">
        <v>21</v>
      </c>
    </row>
    <row r="81" spans="2:6" x14ac:dyDescent="0.25">
      <c r="B81" s="3">
        <v>79</v>
      </c>
      <c r="C81" t="s">
        <v>763</v>
      </c>
      <c r="D81" s="3">
        <v>12</v>
      </c>
      <c r="E81" s="3">
        <v>10</v>
      </c>
      <c r="F81" s="3">
        <v>20</v>
      </c>
    </row>
    <row r="82" spans="2:6" x14ac:dyDescent="0.25">
      <c r="B82" s="3">
        <v>80</v>
      </c>
      <c r="C82" t="s">
        <v>764</v>
      </c>
      <c r="D82" s="3">
        <v>12</v>
      </c>
      <c r="E82" s="3">
        <v>12</v>
      </c>
      <c r="F82" s="3">
        <v>12</v>
      </c>
    </row>
    <row r="83" spans="2:6" x14ac:dyDescent="0.25">
      <c r="B83" s="3">
        <v>81</v>
      </c>
      <c r="C83" t="s">
        <v>765</v>
      </c>
      <c r="D83" s="3">
        <v>12</v>
      </c>
      <c r="E83" s="3">
        <v>5</v>
      </c>
      <c r="F83" s="3">
        <v>20</v>
      </c>
    </row>
    <row r="84" spans="2:6" x14ac:dyDescent="0.25">
      <c r="B84" s="3">
        <v>82</v>
      </c>
      <c r="C84" t="s">
        <v>766</v>
      </c>
      <c r="D84" s="3">
        <v>12</v>
      </c>
      <c r="E84" s="3">
        <v>6</v>
      </c>
      <c r="F84" s="3">
        <v>18</v>
      </c>
    </row>
    <row r="85" spans="2:6" x14ac:dyDescent="0.25">
      <c r="B85" s="3">
        <v>83</v>
      </c>
      <c r="C85" t="s">
        <v>767</v>
      </c>
      <c r="D85" s="3">
        <v>13</v>
      </c>
      <c r="E85" s="3">
        <v>10</v>
      </c>
      <c r="F85" s="3">
        <v>12</v>
      </c>
    </row>
    <row r="86" spans="2:6" x14ac:dyDescent="0.25">
      <c r="B86" s="3">
        <v>84</v>
      </c>
      <c r="C86" t="s">
        <v>768</v>
      </c>
      <c r="D86" s="3">
        <v>14</v>
      </c>
      <c r="E86" s="3">
        <v>10</v>
      </c>
      <c r="F86" s="3">
        <v>12</v>
      </c>
    </row>
    <row r="87" spans="2:6" x14ac:dyDescent="0.25">
      <c r="B87" s="3">
        <v>85</v>
      </c>
      <c r="C87" t="s">
        <v>769</v>
      </c>
      <c r="D87" s="3">
        <v>14</v>
      </c>
      <c r="E87" s="3">
        <v>7</v>
      </c>
      <c r="F87" s="3">
        <v>28</v>
      </c>
    </row>
    <row r="88" spans="2:6" x14ac:dyDescent="0.25">
      <c r="B88" s="3">
        <v>86</v>
      </c>
      <c r="C88" t="s">
        <v>770</v>
      </c>
      <c r="D88" s="3">
        <v>15</v>
      </c>
      <c r="E88" s="3">
        <v>15</v>
      </c>
      <c r="F88" s="3">
        <v>15</v>
      </c>
    </row>
    <row r="89" spans="2:6" x14ac:dyDescent="0.25">
      <c r="B89" s="3">
        <v>87</v>
      </c>
      <c r="C89" t="s">
        <v>771</v>
      </c>
      <c r="D89" s="3">
        <v>15</v>
      </c>
      <c r="E89" s="3">
        <v>23</v>
      </c>
      <c r="F89" s="3">
        <v>23</v>
      </c>
    </row>
    <row r="90" spans="2:6" x14ac:dyDescent="0.25">
      <c r="B90" s="3">
        <v>88</v>
      </c>
      <c r="C90" t="s">
        <v>772</v>
      </c>
      <c r="D90" s="3">
        <v>15</v>
      </c>
      <c r="E90" s="3">
        <v>5</v>
      </c>
      <c r="F90" s="3">
        <v>20</v>
      </c>
    </row>
    <row r="91" spans="2:6" x14ac:dyDescent="0.25">
      <c r="B91" s="3">
        <v>89</v>
      </c>
      <c r="C91" t="s">
        <v>773</v>
      </c>
      <c r="D91" s="3">
        <v>15</v>
      </c>
      <c r="E91" s="3">
        <v>5</v>
      </c>
      <c r="F91" s="3">
        <v>30</v>
      </c>
    </row>
    <row r="92" spans="2:6" x14ac:dyDescent="0.25">
      <c r="B92" s="3">
        <v>90</v>
      </c>
      <c r="C92" t="s">
        <v>774</v>
      </c>
      <c r="D92" s="3">
        <v>15</v>
      </c>
      <c r="E92" s="3">
        <v>9</v>
      </c>
      <c r="F92" s="3">
        <v>15</v>
      </c>
    </row>
    <row r="93" spans="2:6" x14ac:dyDescent="0.25">
      <c r="B93" s="3">
        <v>91</v>
      </c>
      <c r="C93" t="s">
        <v>775</v>
      </c>
      <c r="D93" s="3">
        <v>15</v>
      </c>
      <c r="E93" s="3">
        <v>5</v>
      </c>
      <c r="F93" s="3">
        <v>20</v>
      </c>
    </row>
    <row r="94" spans="2:6" x14ac:dyDescent="0.25">
      <c r="B94" s="3">
        <v>92</v>
      </c>
      <c r="C94" t="s">
        <v>776</v>
      </c>
      <c r="D94" s="3">
        <v>16</v>
      </c>
      <c r="E94" s="3">
        <v>5</v>
      </c>
      <c r="F94" s="3">
        <v>8</v>
      </c>
    </row>
    <row r="95" spans="2:6" x14ac:dyDescent="0.25">
      <c r="B95" s="3">
        <v>93</v>
      </c>
      <c r="C95" t="s">
        <v>777</v>
      </c>
      <c r="D95" s="3">
        <v>17</v>
      </c>
      <c r="E95" s="3">
        <v>9</v>
      </c>
      <c r="F95" s="3">
        <v>16</v>
      </c>
    </row>
    <row r="96" spans="2:6" x14ac:dyDescent="0.25">
      <c r="B96" s="3">
        <v>94</v>
      </c>
      <c r="C96" t="s">
        <v>778</v>
      </c>
      <c r="D96" s="3">
        <v>18</v>
      </c>
      <c r="E96" s="3">
        <v>11</v>
      </c>
      <c r="F96" s="3">
        <v>23</v>
      </c>
    </row>
    <row r="97" spans="2:6" x14ac:dyDescent="0.25">
      <c r="B97" s="3">
        <v>95</v>
      </c>
      <c r="C97" t="s">
        <v>779</v>
      </c>
      <c r="D97" s="3">
        <v>20</v>
      </c>
      <c r="E97" s="3">
        <v>10</v>
      </c>
      <c r="F97" s="3">
        <v>10</v>
      </c>
    </row>
    <row r="98" spans="2:6" x14ac:dyDescent="0.25">
      <c r="B98" s="3">
        <v>96</v>
      </c>
      <c r="C98" t="s">
        <v>780</v>
      </c>
      <c r="D98" s="3">
        <v>20</v>
      </c>
      <c r="E98" s="3">
        <v>5</v>
      </c>
      <c r="F98" s="3">
        <v>10</v>
      </c>
    </row>
    <row r="99" spans="2:6" x14ac:dyDescent="0.25">
      <c r="B99" s="3">
        <v>97</v>
      </c>
      <c r="C99" t="s">
        <v>781</v>
      </c>
      <c r="D99" s="3">
        <v>20</v>
      </c>
      <c r="E99" s="3">
        <v>10</v>
      </c>
      <c r="F99" s="3">
        <v>10</v>
      </c>
    </row>
    <row r="100" spans="2:6" x14ac:dyDescent="0.25">
      <c r="B100" s="3">
        <v>98</v>
      </c>
      <c r="C100" t="s">
        <v>782</v>
      </c>
      <c r="D100" s="3">
        <v>20</v>
      </c>
      <c r="E100" s="3">
        <v>5</v>
      </c>
      <c r="F100" s="3">
        <v>10</v>
      </c>
    </row>
    <row r="101" spans="2:6" x14ac:dyDescent="0.25">
      <c r="B101" s="3">
        <v>99</v>
      </c>
      <c r="C101" t="s">
        <v>783</v>
      </c>
      <c r="D101" s="3">
        <v>4</v>
      </c>
      <c r="E101" s="3">
        <v>8</v>
      </c>
      <c r="F101" s="3">
        <v>16</v>
      </c>
    </row>
    <row r="102" spans="2:6" x14ac:dyDescent="0.25">
      <c r="B102" s="3">
        <v>100</v>
      </c>
      <c r="C102" t="s">
        <v>784</v>
      </c>
      <c r="D102" s="3">
        <v>5</v>
      </c>
      <c r="E102" s="3">
        <v>10</v>
      </c>
      <c r="F102" s="3">
        <v>15</v>
      </c>
    </row>
    <row r="103" spans="2:6" x14ac:dyDescent="0.25">
      <c r="B103" s="3">
        <v>101</v>
      </c>
      <c r="C103" t="s">
        <v>785</v>
      </c>
      <c r="D103" s="3">
        <v>5</v>
      </c>
      <c r="E103" s="3">
        <v>12</v>
      </c>
      <c r="F103" s="3">
        <v>25</v>
      </c>
    </row>
    <row r="104" spans="2:6" x14ac:dyDescent="0.25">
      <c r="B104" s="3">
        <v>102</v>
      </c>
      <c r="C104" t="s">
        <v>786</v>
      </c>
      <c r="D104" s="3">
        <v>5</v>
      </c>
      <c r="E104" s="3">
        <v>14</v>
      </c>
      <c r="F104" s="3">
        <v>22</v>
      </c>
    </row>
    <row r="105" spans="2:6" x14ac:dyDescent="0.25">
      <c r="B105" s="3">
        <v>103</v>
      </c>
      <c r="C105" t="s">
        <v>787</v>
      </c>
      <c r="D105" s="3">
        <v>6</v>
      </c>
      <c r="E105" s="3">
        <v>12</v>
      </c>
      <c r="F105" s="3">
        <v>24</v>
      </c>
    </row>
    <row r="106" spans="2:6" x14ac:dyDescent="0.25">
      <c r="B106" s="3">
        <v>104</v>
      </c>
      <c r="C106" t="s">
        <v>788</v>
      </c>
      <c r="D106" s="3">
        <v>6</v>
      </c>
      <c r="E106" s="3">
        <v>15</v>
      </c>
      <c r="F106" s="3">
        <v>10</v>
      </c>
    </row>
    <row r="107" spans="2:6" x14ac:dyDescent="0.25">
      <c r="B107" s="3">
        <v>105</v>
      </c>
      <c r="C107" t="s">
        <v>789</v>
      </c>
      <c r="D107" s="3">
        <v>6</v>
      </c>
      <c r="E107" s="3">
        <v>18</v>
      </c>
      <c r="F107" s="3">
        <v>12</v>
      </c>
    </row>
    <row r="108" spans="2:6" x14ac:dyDescent="0.25">
      <c r="B108" s="3">
        <v>106</v>
      </c>
      <c r="C108" t="s">
        <v>790</v>
      </c>
      <c r="D108" s="3">
        <v>7</v>
      </c>
      <c r="E108" s="3">
        <v>14</v>
      </c>
      <c r="F108" s="3">
        <v>28</v>
      </c>
    </row>
    <row r="109" spans="2:6" x14ac:dyDescent="0.25">
      <c r="B109" s="3">
        <v>107</v>
      </c>
      <c r="C109" t="s">
        <v>791</v>
      </c>
      <c r="D109" s="3">
        <v>8</v>
      </c>
      <c r="E109" s="3">
        <v>24</v>
      </c>
      <c r="F109" s="3">
        <v>20</v>
      </c>
    </row>
    <row r="110" spans="2:6" x14ac:dyDescent="0.25">
      <c r="B110" s="3">
        <v>108</v>
      </c>
      <c r="C110" t="s">
        <v>792</v>
      </c>
      <c r="D110" s="3">
        <v>8</v>
      </c>
      <c r="E110" s="3">
        <v>24</v>
      </c>
      <c r="F110" s="3">
        <v>24</v>
      </c>
    </row>
    <row r="111" spans="2:6" x14ac:dyDescent="0.25">
      <c r="B111" s="3">
        <v>109</v>
      </c>
      <c r="C111" t="s">
        <v>793</v>
      </c>
      <c r="D111" s="3">
        <v>8</v>
      </c>
      <c r="E111" s="3">
        <v>14</v>
      </c>
      <c r="F111" s="3">
        <v>18</v>
      </c>
    </row>
    <row r="112" spans="2:6" x14ac:dyDescent="0.25">
      <c r="B112" s="3">
        <v>110</v>
      </c>
      <c r="C112" t="s">
        <v>794</v>
      </c>
      <c r="D112" s="3">
        <v>8</v>
      </c>
      <c r="E112" s="3">
        <v>16</v>
      </c>
      <c r="F112" s="3">
        <v>20</v>
      </c>
    </row>
    <row r="113" spans="2:6" x14ac:dyDescent="0.25">
      <c r="B113" s="3">
        <v>111</v>
      </c>
      <c r="C113" t="s">
        <v>795</v>
      </c>
      <c r="D113" s="3">
        <v>8</v>
      </c>
      <c r="E113" s="3">
        <v>24</v>
      </c>
      <c r="F113" s="3">
        <v>20</v>
      </c>
    </row>
    <row r="114" spans="2:6" x14ac:dyDescent="0.25">
      <c r="B114" s="3">
        <v>112</v>
      </c>
      <c r="C114" t="s">
        <v>796</v>
      </c>
      <c r="D114" s="3">
        <v>8</v>
      </c>
      <c r="E114" s="3">
        <v>24</v>
      </c>
      <c r="F114" s="3">
        <v>24</v>
      </c>
    </row>
    <row r="115" spans="2:6" x14ac:dyDescent="0.25">
      <c r="B115" s="3">
        <v>113</v>
      </c>
      <c r="C115" t="s">
        <v>797</v>
      </c>
      <c r="D115" s="3">
        <v>8</v>
      </c>
      <c r="E115" s="3">
        <v>5</v>
      </c>
      <c r="F115" s="3">
        <v>28</v>
      </c>
    </row>
    <row r="116" spans="2:6" x14ac:dyDescent="0.25">
      <c r="B116" s="3">
        <v>114</v>
      </c>
      <c r="C116" t="s">
        <v>798</v>
      </c>
      <c r="D116" s="3">
        <v>12</v>
      </c>
      <c r="E116" s="3">
        <v>24.5</v>
      </c>
      <c r="F116" s="3">
        <v>0</v>
      </c>
    </row>
    <row r="117" spans="2:6" x14ac:dyDescent="0.25">
      <c r="B117" s="3">
        <v>115</v>
      </c>
      <c r="C117" t="s">
        <v>799</v>
      </c>
      <c r="D117" s="3">
        <v>15</v>
      </c>
      <c r="E117" s="3">
        <v>5</v>
      </c>
      <c r="F117" s="3">
        <v>5</v>
      </c>
    </row>
    <row r="118" spans="2:6" x14ac:dyDescent="0.25">
      <c r="B118" s="3">
        <v>116</v>
      </c>
      <c r="C118" t="s">
        <v>800</v>
      </c>
      <c r="D118" s="3">
        <v>5</v>
      </c>
      <c r="E118" s="3">
        <v>3</v>
      </c>
      <c r="F118" s="3" t="s">
        <v>801</v>
      </c>
    </row>
    <row r="119" spans="2:6" x14ac:dyDescent="0.25">
      <c r="B119" s="3">
        <v>117</v>
      </c>
      <c r="C119" t="s">
        <v>802</v>
      </c>
      <c r="D119" s="3">
        <v>0</v>
      </c>
      <c r="E119" s="3">
        <v>27</v>
      </c>
      <c r="F119" s="3">
        <v>0</v>
      </c>
    </row>
    <row r="120" spans="2:6" x14ac:dyDescent="0.25">
      <c r="B120" s="3">
        <v>118</v>
      </c>
      <c r="C120" t="s">
        <v>803</v>
      </c>
      <c r="D120" s="3">
        <v>0</v>
      </c>
      <c r="E120" s="3">
        <v>19</v>
      </c>
      <c r="F120" s="3">
        <v>0</v>
      </c>
    </row>
    <row r="121" spans="2:6" x14ac:dyDescent="0.25">
      <c r="B121" s="3">
        <v>119</v>
      </c>
      <c r="C121" t="s">
        <v>804</v>
      </c>
      <c r="D121" s="3">
        <v>0</v>
      </c>
      <c r="E121" s="3">
        <v>18</v>
      </c>
      <c r="F121" s="3">
        <v>0</v>
      </c>
    </row>
    <row r="122" spans="2:6" x14ac:dyDescent="0.25">
      <c r="B122" s="3">
        <v>120</v>
      </c>
      <c r="C122" t="s">
        <v>805</v>
      </c>
      <c r="D122" s="3">
        <v>0</v>
      </c>
      <c r="E122" s="3">
        <v>19</v>
      </c>
      <c r="F122" s="3">
        <v>0</v>
      </c>
    </row>
    <row r="123" spans="2:6" x14ac:dyDescent="0.25">
      <c r="B123" s="3">
        <v>121</v>
      </c>
      <c r="C123" t="s">
        <v>806</v>
      </c>
      <c r="D123" s="3">
        <v>0</v>
      </c>
      <c r="E123" s="3">
        <v>45</v>
      </c>
      <c r="F123" s="3">
        <v>0</v>
      </c>
    </row>
    <row r="124" spans="2:6" x14ac:dyDescent="0.25">
      <c r="B124" s="3">
        <v>122</v>
      </c>
      <c r="C124" t="s">
        <v>807</v>
      </c>
      <c r="D124" s="3">
        <v>0</v>
      </c>
      <c r="E124" s="3">
        <v>46</v>
      </c>
      <c r="F124" s="3">
        <v>0</v>
      </c>
    </row>
    <row r="125" spans="2:6" x14ac:dyDescent="0.25">
      <c r="B125" s="3">
        <v>123</v>
      </c>
      <c r="C125" t="s">
        <v>808</v>
      </c>
      <c r="D125" s="3">
        <v>0</v>
      </c>
      <c r="E125" s="3">
        <v>29</v>
      </c>
      <c r="F125" s="3">
        <v>17</v>
      </c>
    </row>
    <row r="126" spans="2:6" x14ac:dyDescent="0.25">
      <c r="B126" s="3">
        <v>124</v>
      </c>
      <c r="C126" t="s">
        <v>809</v>
      </c>
      <c r="D126" s="3">
        <v>0</v>
      </c>
      <c r="E126" s="3">
        <v>10</v>
      </c>
      <c r="F126" s="3">
        <v>20</v>
      </c>
    </row>
    <row r="127" spans="2:6" x14ac:dyDescent="0.25">
      <c r="B127" s="3">
        <v>125</v>
      </c>
      <c r="C127" t="s">
        <v>810</v>
      </c>
      <c r="D127" s="3">
        <v>0</v>
      </c>
      <c r="E127" s="3">
        <v>16</v>
      </c>
      <c r="F127" s="3">
        <v>25</v>
      </c>
    </row>
    <row r="128" spans="2:6" x14ac:dyDescent="0.25">
      <c r="B128" s="3">
        <v>126</v>
      </c>
      <c r="C128" t="s">
        <v>811</v>
      </c>
      <c r="D128" s="3">
        <v>0</v>
      </c>
      <c r="E128" s="3">
        <v>19</v>
      </c>
      <c r="F128" s="3">
        <v>28</v>
      </c>
    </row>
    <row r="129" spans="2:6" x14ac:dyDescent="0.25">
      <c r="B129" s="3">
        <v>127</v>
      </c>
      <c r="C129" t="s">
        <v>812</v>
      </c>
      <c r="D129" s="3">
        <v>0</v>
      </c>
      <c r="E129" s="3">
        <v>0</v>
      </c>
      <c r="F129" s="3">
        <v>25</v>
      </c>
    </row>
    <row r="130" spans="2:6" x14ac:dyDescent="0.25">
      <c r="B130" s="3">
        <v>128</v>
      </c>
      <c r="C130" t="s">
        <v>813</v>
      </c>
      <c r="D130" s="3">
        <v>0</v>
      </c>
      <c r="E130" s="3">
        <v>12</v>
      </c>
      <c r="F130" s="3">
        <v>12</v>
      </c>
    </row>
    <row r="131" spans="2:6" x14ac:dyDescent="0.25">
      <c r="B131" s="3">
        <v>129</v>
      </c>
      <c r="C131" t="s">
        <v>814</v>
      </c>
      <c r="D131" s="3">
        <v>0</v>
      </c>
      <c r="E131" s="3">
        <v>16</v>
      </c>
      <c r="F131" s="3">
        <v>0</v>
      </c>
    </row>
    <row r="132" spans="2:6" x14ac:dyDescent="0.25">
      <c r="B132" s="3">
        <v>130</v>
      </c>
      <c r="C132" t="s">
        <v>815</v>
      </c>
      <c r="D132" s="3">
        <v>21</v>
      </c>
      <c r="E132" s="3">
        <v>0</v>
      </c>
      <c r="F132" s="3">
        <v>0</v>
      </c>
    </row>
    <row r="133" spans="2:6" x14ac:dyDescent="0.25">
      <c r="B133" s="3">
        <v>131</v>
      </c>
      <c r="C133" t="s">
        <v>816</v>
      </c>
      <c r="D133" s="3">
        <v>20</v>
      </c>
      <c r="E133" s="3">
        <v>0</v>
      </c>
      <c r="F133" s="3">
        <v>0</v>
      </c>
    </row>
    <row r="134" spans="2:6" x14ac:dyDescent="0.25">
      <c r="B134" s="3">
        <v>132</v>
      </c>
      <c r="C134" t="s">
        <v>817</v>
      </c>
      <c r="D134" s="3">
        <v>21</v>
      </c>
      <c r="E134" s="3">
        <v>0</v>
      </c>
      <c r="F134" s="3">
        <v>0</v>
      </c>
    </row>
    <row r="135" spans="2:6" x14ac:dyDescent="0.25">
      <c r="B135" s="3">
        <v>133</v>
      </c>
      <c r="C135" t="s">
        <v>818</v>
      </c>
      <c r="D135" s="3">
        <v>0</v>
      </c>
      <c r="E135" s="3">
        <v>0</v>
      </c>
      <c r="F135" s="3">
        <v>50</v>
      </c>
    </row>
    <row r="136" spans="2:6" x14ac:dyDescent="0.25">
      <c r="B136" s="3">
        <v>134</v>
      </c>
      <c r="C136" t="s">
        <v>819</v>
      </c>
      <c r="D136" s="3">
        <v>0</v>
      </c>
      <c r="E136" s="3">
        <v>0</v>
      </c>
      <c r="F136" s="3">
        <v>30</v>
      </c>
    </row>
    <row r="137" spans="2:6" x14ac:dyDescent="0.25">
      <c r="B137" s="3">
        <v>135</v>
      </c>
      <c r="C137" t="s">
        <v>820</v>
      </c>
      <c r="D137" s="3">
        <v>0</v>
      </c>
      <c r="E137" s="3">
        <v>0</v>
      </c>
      <c r="F137" s="3">
        <v>51</v>
      </c>
    </row>
    <row r="138" spans="2:6" x14ac:dyDescent="0.25">
      <c r="B138" s="3">
        <v>136</v>
      </c>
      <c r="C138" t="s">
        <v>821</v>
      </c>
      <c r="D138" s="3">
        <v>0</v>
      </c>
      <c r="E138" s="3">
        <v>0</v>
      </c>
      <c r="F138" s="3">
        <v>30</v>
      </c>
    </row>
    <row r="139" spans="2:6" x14ac:dyDescent="0.25">
      <c r="B139" s="3">
        <v>137</v>
      </c>
      <c r="C139" t="s">
        <v>822</v>
      </c>
      <c r="D139" s="3">
        <v>0</v>
      </c>
      <c r="E139" s="3">
        <v>0</v>
      </c>
      <c r="F139" s="3">
        <v>50</v>
      </c>
    </row>
    <row r="140" spans="2:6" x14ac:dyDescent="0.25">
      <c r="B140" s="3">
        <v>138</v>
      </c>
      <c r="C140" t="s">
        <v>823</v>
      </c>
      <c r="D140" s="3">
        <v>15</v>
      </c>
      <c r="E140" s="3">
        <v>5</v>
      </c>
      <c r="F140" s="3">
        <v>5</v>
      </c>
    </row>
    <row r="141" spans="2:6" x14ac:dyDescent="0.25">
      <c r="B141" s="3">
        <v>139</v>
      </c>
      <c r="C141" t="s">
        <v>824</v>
      </c>
      <c r="D141" s="3">
        <v>17</v>
      </c>
      <c r="E141" s="3">
        <v>5</v>
      </c>
      <c r="F141" s="3">
        <v>7</v>
      </c>
    </row>
    <row r="142" spans="2:6" x14ac:dyDescent="0.25">
      <c r="B142" s="3">
        <v>140</v>
      </c>
      <c r="C142" t="s">
        <v>825</v>
      </c>
      <c r="D142" s="3">
        <v>25.5</v>
      </c>
      <c r="E142" s="3">
        <v>0</v>
      </c>
      <c r="F142" s="3">
        <v>0</v>
      </c>
    </row>
    <row r="143" spans="2:6" x14ac:dyDescent="0.25">
      <c r="B143" s="3">
        <v>141</v>
      </c>
      <c r="C143" t="s">
        <v>826</v>
      </c>
      <c r="D143" s="3">
        <v>46</v>
      </c>
      <c r="E143" s="3">
        <v>0</v>
      </c>
      <c r="F143" s="3">
        <v>0</v>
      </c>
    </row>
    <row r="144" spans="2:6" x14ac:dyDescent="0.25">
      <c r="B144" s="3">
        <v>142</v>
      </c>
      <c r="C144" t="s">
        <v>827</v>
      </c>
      <c r="D144" s="3">
        <v>46</v>
      </c>
      <c r="E144" s="3">
        <v>0</v>
      </c>
      <c r="F144" s="3">
        <v>0</v>
      </c>
    </row>
    <row r="145" spans="1:6" x14ac:dyDescent="0.25">
      <c r="B145" s="3">
        <v>143</v>
      </c>
      <c r="C145" t="s">
        <v>828</v>
      </c>
      <c r="D145" s="3">
        <v>46</v>
      </c>
      <c r="E145" s="3">
        <v>0</v>
      </c>
      <c r="F145" s="3">
        <v>0</v>
      </c>
    </row>
    <row r="146" spans="1:6" x14ac:dyDescent="0.25">
      <c r="B146" s="3">
        <v>144</v>
      </c>
      <c r="C146" t="s">
        <v>829</v>
      </c>
      <c r="D146" s="3">
        <v>18</v>
      </c>
      <c r="E146" s="3">
        <v>44</v>
      </c>
      <c r="F146" s="3">
        <v>0</v>
      </c>
    </row>
    <row r="147" spans="1:6" x14ac:dyDescent="0.25">
      <c r="B147" s="3">
        <v>145</v>
      </c>
      <c r="C147" t="s">
        <v>830</v>
      </c>
      <c r="D147" s="3">
        <v>10</v>
      </c>
      <c r="E147" s="3">
        <v>5</v>
      </c>
      <c r="F147" s="3">
        <v>14.5</v>
      </c>
    </row>
    <row r="148" spans="1:6" x14ac:dyDescent="0.25">
      <c r="B148" s="3">
        <v>146</v>
      </c>
      <c r="C148" t="s">
        <v>831</v>
      </c>
      <c r="D148" s="3">
        <v>10</v>
      </c>
      <c r="E148" s="3">
        <v>6</v>
      </c>
      <c r="F148" s="3">
        <v>14</v>
      </c>
    </row>
    <row r="149" spans="1:6" x14ac:dyDescent="0.25">
      <c r="B149" s="3">
        <v>147</v>
      </c>
    </row>
    <row r="150" spans="1:6" x14ac:dyDescent="0.25">
      <c r="B150" s="3"/>
    </row>
    <row r="151" spans="1:6" x14ac:dyDescent="0.25">
      <c r="A151" s="3" t="s">
        <v>929</v>
      </c>
      <c r="B151" s="190" t="s">
        <v>605</v>
      </c>
    </row>
    <row r="152" spans="1:6" x14ac:dyDescent="0.25">
      <c r="A152" s="3"/>
      <c r="B152" s="110" t="s">
        <v>684</v>
      </c>
      <c r="C152" t="s">
        <v>685</v>
      </c>
      <c r="D152" s="3" t="s">
        <v>243</v>
      </c>
      <c r="E152" s="3" t="s">
        <v>244</v>
      </c>
      <c r="F152" s="3" t="s">
        <v>245</v>
      </c>
    </row>
    <row r="153" spans="1:6" x14ac:dyDescent="0.25">
      <c r="A153" s="242">
        <v>1</v>
      </c>
      <c r="B153" s="326">
        <v>1</v>
      </c>
      <c r="C153" s="278" t="str">
        <f>VLOOKUP($B153,$B$3:$F$149,2)</f>
        <v>Nessuno</v>
      </c>
      <c r="D153" s="276">
        <f>VLOOKUP($B153,$B$3:$F$149,3)</f>
        <v>0</v>
      </c>
      <c r="E153" s="276">
        <f>VLOOKUP($B153,$B$3:$F$149,4)</f>
        <v>0</v>
      </c>
      <c r="F153" s="276">
        <f>VLOOKUP($B153,$B$3:$F$149,5)</f>
        <v>0</v>
      </c>
    </row>
    <row r="154" spans="1:6" x14ac:dyDescent="0.25">
      <c r="A154" s="3"/>
      <c r="B154" s="110"/>
    </row>
    <row r="155" spans="1:6" x14ac:dyDescent="0.25">
      <c r="A155" s="3"/>
      <c r="B155" s="110" t="s">
        <v>684</v>
      </c>
    </row>
    <row r="156" spans="1:6" x14ac:dyDescent="0.25">
      <c r="A156" s="242">
        <v>2</v>
      </c>
      <c r="B156" s="326">
        <v>1</v>
      </c>
      <c r="C156" s="278" t="str">
        <f>VLOOKUP($B156,$B$3:$F$149,2)</f>
        <v>Nessuno</v>
      </c>
      <c r="D156" s="276">
        <f>VLOOKUP($B156,$B$3:$F$149,3)</f>
        <v>0</v>
      </c>
      <c r="E156" s="276">
        <f>VLOOKUP($B156,$B$3:$F$149,4)</f>
        <v>0</v>
      </c>
      <c r="F156" s="276">
        <f>VLOOKUP($B156,$B$3:$F$149,5)</f>
        <v>0</v>
      </c>
    </row>
    <row r="157" spans="1:6" x14ac:dyDescent="0.25">
      <c r="A157" s="3"/>
      <c r="B157" s="277"/>
    </row>
    <row r="158" spans="1:6" x14ac:dyDescent="0.25">
      <c r="A158" s="3"/>
      <c r="B158" s="110" t="s">
        <v>684</v>
      </c>
    </row>
    <row r="159" spans="1:6" x14ac:dyDescent="0.25">
      <c r="A159" s="242">
        <v>3</v>
      </c>
      <c r="B159" s="326">
        <v>1</v>
      </c>
      <c r="C159" s="278" t="str">
        <f>VLOOKUP($B159,$B$3:$F$149,2)</f>
        <v>Nessuno</v>
      </c>
      <c r="D159" s="276">
        <f>VLOOKUP($B159,$B$3:$F$149,3)</f>
        <v>0</v>
      </c>
      <c r="E159" s="276">
        <f>VLOOKUP($B159,$B$3:$F$149,4)</f>
        <v>0</v>
      </c>
      <c r="F159" s="276">
        <f>VLOOKUP($B159,$B$3:$F$149,5)</f>
        <v>0</v>
      </c>
    </row>
    <row r="160" spans="1:6" x14ac:dyDescent="0.25">
      <c r="A160" s="3"/>
      <c r="B160" s="277"/>
    </row>
    <row r="161" spans="1:6" x14ac:dyDescent="0.25">
      <c r="A161" s="3"/>
      <c r="B161" s="110" t="s">
        <v>684</v>
      </c>
    </row>
    <row r="162" spans="1:6" x14ac:dyDescent="0.25">
      <c r="A162" s="242">
        <v>4</v>
      </c>
      <c r="B162" s="326">
        <v>1</v>
      </c>
      <c r="C162" s="278" t="str">
        <f>VLOOKUP($B162,$B$3:$F$149,2)</f>
        <v>Nessuno</v>
      </c>
      <c r="D162" s="276">
        <f>VLOOKUP($B162,$B$3:$F$149,3)</f>
        <v>0</v>
      </c>
      <c r="E162" s="276">
        <f>VLOOKUP($B162,$B$3:$F$149,4)</f>
        <v>0</v>
      </c>
      <c r="F162" s="276">
        <f>VLOOKUP($B162,$B$3:$F$149,5)</f>
        <v>0</v>
      </c>
    </row>
    <row r="1569" spans="2:2" x14ac:dyDescent="0.25">
      <c r="B1569">
        <v>115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25"/>
  <dimension ref="A1:N30"/>
  <sheetViews>
    <sheetView workbookViewId="0">
      <selection activeCell="H21" sqref="H21"/>
    </sheetView>
  </sheetViews>
  <sheetFormatPr defaultRowHeight="13.2" x14ac:dyDescent="0.25"/>
  <sheetData>
    <row r="1" spans="1:14" x14ac:dyDescent="0.25">
      <c r="A1" s="237" t="s">
        <v>853</v>
      </c>
      <c r="B1" s="155"/>
      <c r="C1" s="155"/>
      <c r="D1" s="155"/>
      <c r="E1" s="155"/>
      <c r="F1" s="155"/>
      <c r="G1" s="155"/>
      <c r="H1" s="76"/>
      <c r="J1" s="34" t="s">
        <v>854</v>
      </c>
    </row>
    <row r="2" spans="1:14" ht="13.8" thickBot="1" x14ac:dyDescent="0.3">
      <c r="A2" s="77"/>
      <c r="B2" s="30" t="s">
        <v>835</v>
      </c>
      <c r="C2" t="s">
        <v>836</v>
      </c>
      <c r="H2" s="196"/>
      <c r="J2" s="229" t="s">
        <v>856</v>
      </c>
      <c r="K2" s="194" t="s">
        <v>855</v>
      </c>
      <c r="L2" s="229" t="s">
        <v>242</v>
      </c>
      <c r="M2" s="229" t="s">
        <v>594</v>
      </c>
      <c r="N2" s="229" t="s">
        <v>857</v>
      </c>
    </row>
    <row r="3" spans="1:14" x14ac:dyDescent="0.25">
      <c r="A3" s="77"/>
      <c r="B3" s="88">
        <v>1</v>
      </c>
      <c r="C3" t="s">
        <v>837</v>
      </c>
      <c r="H3" s="196"/>
      <c r="J3" s="3">
        <v>0</v>
      </c>
      <c r="K3" s="3">
        <v>1</v>
      </c>
      <c r="L3" s="3">
        <v>0</v>
      </c>
      <c r="M3" s="3">
        <v>124</v>
      </c>
      <c r="N3" s="3" t="s">
        <v>346</v>
      </c>
    </row>
    <row r="4" spans="1:14" x14ac:dyDescent="0.25">
      <c r="A4" s="77"/>
      <c r="B4" s="88">
        <v>2</v>
      </c>
      <c r="C4" t="s">
        <v>838</v>
      </c>
      <c r="H4" s="196"/>
      <c r="J4" s="3">
        <v>125</v>
      </c>
      <c r="K4" s="3">
        <v>2</v>
      </c>
      <c r="L4" s="3">
        <v>125</v>
      </c>
      <c r="M4" s="3">
        <v>249</v>
      </c>
      <c r="N4" s="3" t="s">
        <v>347</v>
      </c>
    </row>
    <row r="5" spans="1:14" x14ac:dyDescent="0.25">
      <c r="A5" s="77"/>
      <c r="B5" s="88">
        <v>3</v>
      </c>
      <c r="C5" t="s">
        <v>839</v>
      </c>
      <c r="H5" s="196"/>
      <c r="J5" s="3">
        <v>250</v>
      </c>
      <c r="K5" s="3">
        <v>3</v>
      </c>
      <c r="L5" s="3">
        <v>250</v>
      </c>
      <c r="M5" s="3">
        <v>1000</v>
      </c>
      <c r="N5" s="3" t="s">
        <v>683</v>
      </c>
    </row>
    <row r="6" spans="1:14" x14ac:dyDescent="0.25">
      <c r="A6" s="77"/>
      <c r="B6" s="88">
        <v>4</v>
      </c>
      <c r="C6" t="s">
        <v>840</v>
      </c>
      <c r="H6" s="196"/>
      <c r="J6" s="3"/>
      <c r="K6" s="3"/>
      <c r="L6" s="3"/>
      <c r="M6" s="3"/>
      <c r="N6" s="3"/>
    </row>
    <row r="7" spans="1:14" x14ac:dyDescent="0.25">
      <c r="A7" s="77"/>
      <c r="B7" s="88">
        <v>5</v>
      </c>
      <c r="C7" t="s">
        <v>1228</v>
      </c>
      <c r="I7" t="s">
        <v>912</v>
      </c>
      <c r="J7" s="4">
        <f>Distribuz!N7</f>
        <v>0</v>
      </c>
      <c r="K7" s="5">
        <f>VLOOKUP($J7,$J$2:$M$5,2)</f>
        <v>1</v>
      </c>
      <c r="L7" s="5">
        <f>VLOOKUP($J7,$J$2:$M$5,3)</f>
        <v>0</v>
      </c>
      <c r="M7" s="5">
        <f>VLOOKUP($J7,$J$2:$M$5,4)</f>
        <v>124</v>
      </c>
      <c r="N7" s="5" t="str">
        <f>VLOOKUP($J7,$J$2:$N$5,5)</f>
        <v>bassa</v>
      </c>
    </row>
    <row r="8" spans="1:14" x14ac:dyDescent="0.25">
      <c r="A8" s="77"/>
      <c r="B8" s="88">
        <v>6</v>
      </c>
      <c r="C8" t="s">
        <v>841</v>
      </c>
      <c r="H8" s="196"/>
    </row>
    <row r="9" spans="1:14" x14ac:dyDescent="0.25">
      <c r="A9" s="77"/>
      <c r="B9" s="88">
        <v>7</v>
      </c>
      <c r="C9" t="s">
        <v>842</v>
      </c>
      <c r="H9" s="196"/>
      <c r="I9" t="s">
        <v>924</v>
      </c>
      <c r="J9" s="4">
        <f>Distribuz!N10</f>
        <v>369</v>
      </c>
      <c r="K9" s="5">
        <f>VLOOKUP($J9,$J$2:$M$5,2)</f>
        <v>3</v>
      </c>
      <c r="L9" s="5">
        <f>VLOOKUP($J9,$J$2:$M$5,3)</f>
        <v>250</v>
      </c>
      <c r="M9" s="5">
        <f>VLOOKUP($J9,$J$2:$M$5,4)</f>
        <v>1000</v>
      </c>
      <c r="N9" s="5" t="str">
        <f>VLOOKUP($J9,$J$2:$N$5,5)</f>
        <v>alta</v>
      </c>
    </row>
    <row r="10" spans="1:14" x14ac:dyDescent="0.25">
      <c r="A10" s="77"/>
      <c r="B10" s="236">
        <v>8</v>
      </c>
      <c r="C10" t="s">
        <v>843</v>
      </c>
      <c r="H10" s="196"/>
    </row>
    <row r="11" spans="1:14" x14ac:dyDescent="0.25">
      <c r="A11" s="77"/>
      <c r="B11" s="236">
        <v>9</v>
      </c>
      <c r="C11" t="s">
        <v>844</v>
      </c>
      <c r="H11" s="196"/>
      <c r="I11" t="s">
        <v>926</v>
      </c>
      <c r="J11" s="4">
        <f>Distribuz!N13</f>
        <v>0</v>
      </c>
      <c r="K11" s="5">
        <f>VLOOKUP($J11,$J$2:$M$5,2)</f>
        <v>1</v>
      </c>
      <c r="L11" s="5">
        <f>VLOOKUP($J11,$J$2:$M$5,3)</f>
        <v>0</v>
      </c>
      <c r="M11" s="5">
        <f>VLOOKUP($J11,$J$2:$M$5,4)</f>
        <v>124</v>
      </c>
      <c r="N11" s="5" t="str">
        <f>VLOOKUP($J11,$J$2:$N$5,5)</f>
        <v>bassa</v>
      </c>
    </row>
    <row r="12" spans="1:14" x14ac:dyDescent="0.25">
      <c r="A12" s="77"/>
      <c r="B12" s="236">
        <v>10</v>
      </c>
      <c r="C12" t="s">
        <v>845</v>
      </c>
      <c r="H12" s="196"/>
    </row>
    <row r="13" spans="1:14" x14ac:dyDescent="0.25">
      <c r="A13" s="77"/>
      <c r="B13" s="236">
        <v>11</v>
      </c>
      <c r="C13" t="s">
        <v>846</v>
      </c>
      <c r="H13" s="196"/>
    </row>
    <row r="14" spans="1:14" x14ac:dyDescent="0.25">
      <c r="A14" s="77"/>
      <c r="B14" s="88">
        <v>12</v>
      </c>
      <c r="C14" t="s">
        <v>847</v>
      </c>
      <c r="H14" s="196"/>
    </row>
    <row r="15" spans="1:14" x14ac:dyDescent="0.25">
      <c r="A15" s="77"/>
      <c r="B15" s="88">
        <v>13</v>
      </c>
      <c r="C15" t="s">
        <v>848</v>
      </c>
      <c r="H15" s="196"/>
    </row>
    <row r="16" spans="1:14" x14ac:dyDescent="0.25">
      <c r="A16" s="77"/>
      <c r="B16" s="88">
        <v>14</v>
      </c>
      <c r="C16" t="s">
        <v>849</v>
      </c>
      <c r="H16" s="196"/>
    </row>
    <row r="17" spans="1:8" x14ac:dyDescent="0.25">
      <c r="A17" s="77"/>
      <c r="B17" s="88">
        <v>15</v>
      </c>
      <c r="C17" t="s">
        <v>850</v>
      </c>
      <c r="H17" s="196"/>
    </row>
    <row r="18" spans="1:8" x14ac:dyDescent="0.25">
      <c r="A18" s="77"/>
      <c r="B18" s="9">
        <v>16</v>
      </c>
      <c r="C18" t="s">
        <v>1264</v>
      </c>
      <c r="H18" s="196"/>
    </row>
    <row r="19" spans="1:8" x14ac:dyDescent="0.25">
      <c r="A19" s="77"/>
      <c r="B19" s="9">
        <v>17</v>
      </c>
      <c r="C19" t="s">
        <v>1273</v>
      </c>
      <c r="H19" s="196"/>
    </row>
    <row r="20" spans="1:8" x14ac:dyDescent="0.25">
      <c r="A20" s="77"/>
      <c r="B20" s="9">
        <v>18</v>
      </c>
      <c r="C20" t="s">
        <v>851</v>
      </c>
      <c r="H20" s="196"/>
    </row>
    <row r="21" spans="1:8" x14ac:dyDescent="0.25">
      <c r="A21" s="77"/>
      <c r="B21" s="9">
        <v>19</v>
      </c>
      <c r="C21" t="s">
        <v>852</v>
      </c>
      <c r="H21" s="196"/>
    </row>
    <row r="22" spans="1:8" x14ac:dyDescent="0.25">
      <c r="A22" s="77"/>
      <c r="B22" s="9">
        <v>20</v>
      </c>
      <c r="C22" t="s">
        <v>1230</v>
      </c>
      <c r="H22" s="196"/>
    </row>
    <row r="23" spans="1:8" x14ac:dyDescent="0.25">
      <c r="A23" s="77"/>
      <c r="B23" s="9">
        <v>21</v>
      </c>
      <c r="C23" t="s">
        <v>1231</v>
      </c>
      <c r="H23" s="196"/>
    </row>
    <row r="24" spans="1:8" x14ac:dyDescent="0.25">
      <c r="A24" s="77"/>
      <c r="B24" s="9">
        <v>22</v>
      </c>
      <c r="C24" t="s">
        <v>1232</v>
      </c>
      <c r="H24" s="196"/>
    </row>
    <row r="25" spans="1:8" x14ac:dyDescent="0.25">
      <c r="A25" s="77"/>
      <c r="H25" s="196"/>
    </row>
    <row r="26" spans="1:8" x14ac:dyDescent="0.25">
      <c r="A26" s="77"/>
      <c r="H26" s="196"/>
    </row>
    <row r="27" spans="1:8" x14ac:dyDescent="0.25">
      <c r="A27" s="77"/>
      <c r="H27" s="196"/>
    </row>
    <row r="28" spans="1:8" x14ac:dyDescent="0.25">
      <c r="A28" s="77"/>
      <c r="H28" s="196"/>
    </row>
    <row r="29" spans="1:8" x14ac:dyDescent="0.25">
      <c r="A29" s="77"/>
      <c r="H29" s="196"/>
    </row>
    <row r="30" spans="1:8" x14ac:dyDescent="0.25">
      <c r="A30" s="78"/>
      <c r="B30" s="16"/>
      <c r="C30" s="16"/>
      <c r="D30" s="16"/>
      <c r="E30" s="16"/>
      <c r="F30" s="16"/>
      <c r="G30" s="16"/>
      <c r="H30" s="238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15"/>
  <dimension ref="A1:J9"/>
  <sheetViews>
    <sheetView workbookViewId="0">
      <selection activeCell="C6" sqref="C6"/>
    </sheetView>
  </sheetViews>
  <sheetFormatPr defaultRowHeight="13.2" x14ac:dyDescent="0.25"/>
  <cols>
    <col min="3" max="3" width="17.33203125" bestFit="1" customWidth="1"/>
    <col min="4" max="4" width="19.33203125" bestFit="1" customWidth="1"/>
  </cols>
  <sheetData>
    <row r="1" spans="1:10" x14ac:dyDescent="0.25">
      <c r="A1" s="34" t="s">
        <v>863</v>
      </c>
    </row>
    <row r="2" spans="1:10" x14ac:dyDescent="0.25">
      <c r="B2" s="34" t="s">
        <v>858</v>
      </c>
      <c r="C2" t="s">
        <v>862</v>
      </c>
      <c r="D2" s="3" t="s">
        <v>864</v>
      </c>
      <c r="E2" t="s">
        <v>1030</v>
      </c>
      <c r="I2" s="34" t="s">
        <v>1031</v>
      </c>
    </row>
    <row r="3" spans="1:10" x14ac:dyDescent="0.25">
      <c r="B3">
        <v>1</v>
      </c>
      <c r="C3" t="s">
        <v>871</v>
      </c>
      <c r="D3" t="s">
        <v>866</v>
      </c>
      <c r="E3" t="s">
        <v>604</v>
      </c>
      <c r="I3" t="s">
        <v>598</v>
      </c>
      <c r="J3" t="s">
        <v>1032</v>
      </c>
    </row>
    <row r="4" spans="1:10" x14ac:dyDescent="0.25">
      <c r="B4">
        <v>2</v>
      </c>
      <c r="C4" t="s">
        <v>874</v>
      </c>
      <c r="D4" t="s">
        <v>869</v>
      </c>
      <c r="E4" t="s">
        <v>604</v>
      </c>
      <c r="I4" t="s">
        <v>604</v>
      </c>
      <c r="J4" t="s">
        <v>1033</v>
      </c>
    </row>
    <row r="5" spans="1:10" x14ac:dyDescent="0.25">
      <c r="B5">
        <v>3</v>
      </c>
      <c r="C5" t="s">
        <v>870</v>
      </c>
      <c r="D5" t="s">
        <v>865</v>
      </c>
      <c r="E5" t="s">
        <v>1029</v>
      </c>
      <c r="I5" t="s">
        <v>1029</v>
      </c>
      <c r="J5" t="s">
        <v>1034</v>
      </c>
    </row>
    <row r="6" spans="1:10" x14ac:dyDescent="0.25">
      <c r="B6">
        <v>4</v>
      </c>
      <c r="C6" t="s">
        <v>872</v>
      </c>
      <c r="D6" t="s">
        <v>867</v>
      </c>
      <c r="E6" t="s">
        <v>1029</v>
      </c>
    </row>
    <row r="7" spans="1:10" x14ac:dyDescent="0.25">
      <c r="B7">
        <v>5</v>
      </c>
      <c r="C7" t="s">
        <v>873</v>
      </c>
      <c r="D7" t="s">
        <v>868</v>
      </c>
      <c r="E7" t="s">
        <v>604</v>
      </c>
    </row>
    <row r="8" spans="1:10" x14ac:dyDescent="0.25">
      <c r="B8">
        <v>6</v>
      </c>
      <c r="C8" t="s">
        <v>895</v>
      </c>
      <c r="D8" t="s">
        <v>1035</v>
      </c>
      <c r="E8" t="s">
        <v>598</v>
      </c>
    </row>
    <row r="9" spans="1:10" x14ac:dyDescent="0.25">
      <c r="A9" s="319"/>
    </row>
  </sheetData>
  <sheetProtection password="CC0C" sheet="1" objects="1" scenarios="1"/>
  <phoneticPr fontId="2" type="noConversion"/>
  <pageMargins left="0.75" right="0.75" top="1" bottom="1" header="0.5" footer="0.5"/>
  <pageSetup paperSize="9" scale="20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17"/>
  <dimension ref="A1:J28"/>
  <sheetViews>
    <sheetView workbookViewId="0">
      <selection activeCell="E22" sqref="E22"/>
    </sheetView>
  </sheetViews>
  <sheetFormatPr defaultRowHeight="13.2" x14ac:dyDescent="0.25"/>
  <cols>
    <col min="1" max="1" width="8.33203125" customWidth="1"/>
    <col min="2" max="2" width="7.6640625" customWidth="1"/>
    <col min="3" max="3" width="23.33203125" bestFit="1" customWidth="1"/>
    <col min="4" max="4" width="10.44140625" bestFit="1" customWidth="1"/>
    <col min="5" max="5" width="7" bestFit="1" customWidth="1"/>
    <col min="6" max="6" width="15.33203125" bestFit="1" customWidth="1"/>
    <col min="7" max="7" width="26" customWidth="1"/>
    <col min="8" max="10" width="6.6640625" customWidth="1"/>
    <col min="12" max="12" width="8" customWidth="1"/>
    <col min="13" max="13" width="7.6640625" customWidth="1"/>
    <col min="15" max="22" width="6.6640625" customWidth="1"/>
  </cols>
  <sheetData>
    <row r="1" spans="1:7" x14ac:dyDescent="0.25">
      <c r="A1" t="s">
        <v>283</v>
      </c>
    </row>
    <row r="2" spans="1:7" x14ac:dyDescent="0.25">
      <c r="A2" t="s">
        <v>253</v>
      </c>
      <c r="B2" t="s">
        <v>256</v>
      </c>
      <c r="C2" t="s">
        <v>254</v>
      </c>
      <c r="D2" t="s">
        <v>259</v>
      </c>
      <c r="E2" s="3" t="s">
        <v>316</v>
      </c>
      <c r="F2" t="s">
        <v>255</v>
      </c>
      <c r="G2" t="s">
        <v>19</v>
      </c>
    </row>
    <row r="3" spans="1:7" x14ac:dyDescent="0.25">
      <c r="A3">
        <v>1</v>
      </c>
      <c r="B3" t="s">
        <v>20</v>
      </c>
      <c r="C3" t="s">
        <v>257</v>
      </c>
      <c r="D3" t="s">
        <v>258</v>
      </c>
      <c r="E3" s="3">
        <v>1</v>
      </c>
      <c r="F3" s="10" t="s">
        <v>359</v>
      </c>
      <c r="G3" t="s">
        <v>875</v>
      </c>
    </row>
    <row r="4" spans="1:7" x14ac:dyDescent="0.25">
      <c r="A4">
        <v>2</v>
      </c>
      <c r="B4" t="s">
        <v>260</v>
      </c>
      <c r="C4" t="s">
        <v>261</v>
      </c>
      <c r="D4" t="s">
        <v>258</v>
      </c>
      <c r="E4" s="3">
        <v>1</v>
      </c>
      <c r="F4" s="10" t="s">
        <v>359</v>
      </c>
      <c r="G4" t="s">
        <v>875</v>
      </c>
    </row>
    <row r="5" spans="1:7" x14ac:dyDescent="0.25">
      <c r="A5">
        <v>3</v>
      </c>
      <c r="B5" t="s">
        <v>262</v>
      </c>
      <c r="C5" t="s">
        <v>263</v>
      </c>
      <c r="D5" t="s">
        <v>264</v>
      </c>
      <c r="E5" s="3">
        <v>2</v>
      </c>
      <c r="F5" s="10" t="s">
        <v>360</v>
      </c>
      <c r="G5" t="s">
        <v>876</v>
      </c>
    </row>
    <row r="6" spans="1:7" x14ac:dyDescent="0.25">
      <c r="A6">
        <v>4</v>
      </c>
      <c r="B6" t="s">
        <v>265</v>
      </c>
      <c r="C6" t="s">
        <v>266</v>
      </c>
      <c r="D6" t="s">
        <v>264</v>
      </c>
      <c r="E6" s="3">
        <v>1</v>
      </c>
      <c r="F6" s="15" t="s">
        <v>359</v>
      </c>
      <c r="G6" t="s">
        <v>875</v>
      </c>
    </row>
    <row r="7" spans="1:7" x14ac:dyDescent="0.25">
      <c r="A7">
        <v>5</v>
      </c>
      <c r="B7" t="s">
        <v>17</v>
      </c>
      <c r="C7" t="s">
        <v>267</v>
      </c>
      <c r="D7" t="s">
        <v>264</v>
      </c>
      <c r="E7" s="3">
        <v>2</v>
      </c>
      <c r="F7" s="10" t="s">
        <v>360</v>
      </c>
      <c r="G7" t="s">
        <v>876</v>
      </c>
    </row>
    <row r="8" spans="1:7" x14ac:dyDescent="0.25">
      <c r="A8">
        <v>6</v>
      </c>
      <c r="B8" t="s">
        <v>268</v>
      </c>
      <c r="C8" t="s">
        <v>269</v>
      </c>
      <c r="D8" t="s">
        <v>264</v>
      </c>
      <c r="E8" s="3">
        <v>2</v>
      </c>
      <c r="F8" s="10" t="s">
        <v>360</v>
      </c>
      <c r="G8" t="s">
        <v>876</v>
      </c>
    </row>
    <row r="9" spans="1:7" x14ac:dyDescent="0.25">
      <c r="A9">
        <v>7</v>
      </c>
      <c r="B9" t="s">
        <v>270</v>
      </c>
      <c r="C9" t="s">
        <v>271</v>
      </c>
      <c r="D9" t="s">
        <v>264</v>
      </c>
      <c r="E9" s="3">
        <v>2</v>
      </c>
      <c r="F9" s="10" t="s">
        <v>360</v>
      </c>
      <c r="G9" t="s">
        <v>876</v>
      </c>
    </row>
    <row r="10" spans="1:7" x14ac:dyDescent="0.25">
      <c r="A10">
        <v>8</v>
      </c>
      <c r="B10" t="s">
        <v>272</v>
      </c>
      <c r="C10" t="s">
        <v>273</v>
      </c>
      <c r="D10" t="s">
        <v>264</v>
      </c>
      <c r="E10" s="3">
        <v>2</v>
      </c>
      <c r="F10" s="10" t="s">
        <v>360</v>
      </c>
      <c r="G10" t="s">
        <v>876</v>
      </c>
    </row>
    <row r="11" spans="1:7" x14ac:dyDescent="0.25">
      <c r="A11">
        <v>9</v>
      </c>
      <c r="B11" t="s">
        <v>274</v>
      </c>
      <c r="C11" t="s">
        <v>275</v>
      </c>
      <c r="D11" t="s">
        <v>264</v>
      </c>
      <c r="E11" s="3">
        <v>3</v>
      </c>
      <c r="F11" s="15" t="s">
        <v>361</v>
      </c>
      <c r="G11" t="s">
        <v>877</v>
      </c>
    </row>
    <row r="12" spans="1:7" x14ac:dyDescent="0.25">
      <c r="A12">
        <v>10</v>
      </c>
      <c r="B12" t="s">
        <v>279</v>
      </c>
      <c r="C12" t="s">
        <v>280</v>
      </c>
      <c r="D12" t="s">
        <v>278</v>
      </c>
      <c r="E12" s="3">
        <v>3</v>
      </c>
      <c r="F12" s="28" t="s">
        <v>361</v>
      </c>
      <c r="G12" t="s">
        <v>877</v>
      </c>
    </row>
    <row r="13" spans="1:7" x14ac:dyDescent="0.25">
      <c r="A13">
        <v>11</v>
      </c>
      <c r="B13" t="s">
        <v>276</v>
      </c>
      <c r="C13" t="s">
        <v>277</v>
      </c>
      <c r="D13" t="s">
        <v>278</v>
      </c>
      <c r="E13" s="3">
        <v>3</v>
      </c>
      <c r="F13" s="10" t="s">
        <v>361</v>
      </c>
      <c r="G13" t="s">
        <v>877</v>
      </c>
    </row>
    <row r="14" spans="1:7" x14ac:dyDescent="0.25">
      <c r="A14" s="16">
        <v>12</v>
      </c>
      <c r="B14" s="16" t="s">
        <v>15</v>
      </c>
      <c r="C14" s="16" t="s">
        <v>281</v>
      </c>
      <c r="D14" s="17" t="s">
        <v>278</v>
      </c>
      <c r="E14" s="53">
        <v>3</v>
      </c>
      <c r="F14" s="28" t="s">
        <v>361</v>
      </c>
      <c r="G14" t="s">
        <v>877</v>
      </c>
    </row>
    <row r="16" spans="1:7" ht="13.8" thickBot="1" x14ac:dyDescent="0.3">
      <c r="A16">
        <v>1</v>
      </c>
      <c r="B16" s="5">
        <f t="shared" ref="B16:G16" si="0">(A16+1)</f>
        <v>2</v>
      </c>
      <c r="C16" s="5">
        <f t="shared" si="0"/>
        <v>3</v>
      </c>
      <c r="D16" s="5">
        <f t="shared" si="0"/>
        <v>4</v>
      </c>
      <c r="E16" s="5">
        <f t="shared" si="0"/>
        <v>5</v>
      </c>
      <c r="F16" s="5">
        <f t="shared" si="0"/>
        <v>6</v>
      </c>
      <c r="G16" s="5">
        <f t="shared" si="0"/>
        <v>7</v>
      </c>
    </row>
    <row r="17" spans="1:10" x14ac:dyDescent="0.25">
      <c r="A17" s="116" t="s">
        <v>241</v>
      </c>
      <c r="B17" s="158"/>
      <c r="C17" s="3"/>
      <c r="D17" s="3"/>
      <c r="E17" s="3"/>
      <c r="F17" s="3"/>
    </row>
    <row r="18" spans="1:10" x14ac:dyDescent="0.25">
      <c r="A18" s="159" t="s">
        <v>253</v>
      </c>
      <c r="B18" s="330" t="s">
        <v>256</v>
      </c>
      <c r="C18" t="s">
        <v>254</v>
      </c>
      <c r="D18" t="s">
        <v>259</v>
      </c>
      <c r="E18" s="3" t="s">
        <v>316</v>
      </c>
      <c r="F18" t="s">
        <v>255</v>
      </c>
      <c r="G18" t="s">
        <v>19</v>
      </c>
    </row>
    <row r="19" spans="1:10" ht="13.8" thickBot="1" x14ac:dyDescent="0.3">
      <c r="A19" s="187">
        <f>E26</f>
        <v>6</v>
      </c>
      <c r="B19" s="188" t="str">
        <f>E27</f>
        <v>FL</v>
      </c>
      <c r="C19" s="5" t="str">
        <f>DGET($A$2:$G$14,C16,$A$18:$B$19)</f>
        <v>Franco Limoso</v>
      </c>
      <c r="D19" s="5" t="str">
        <f>DGET($A$2:$G$14,D16,$A$18:$B$19)</f>
        <v>Media</v>
      </c>
      <c r="E19" s="5">
        <f>DGET($A$2:$G$14,E16,$A$18:$B$19)</f>
        <v>2</v>
      </c>
      <c r="F19" s="5" t="str">
        <f>DGET($A$2:$G$14,F16,$A$18:$B$19)</f>
        <v>Medio impasto</v>
      </c>
      <c r="G19" s="5" t="str">
        <f>DGET($A$2:$G$14,G16,$A$18:$B$19)</f>
        <v>franco</v>
      </c>
      <c r="H19" s="3"/>
      <c r="I19" s="3"/>
      <c r="J19" s="3"/>
    </row>
    <row r="20" spans="1:1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0" x14ac:dyDescent="0.25">
      <c r="A21" s="143" t="s">
        <v>1058</v>
      </c>
      <c r="B21" s="111" t="s">
        <v>856</v>
      </c>
      <c r="C21" s="111" t="s">
        <v>1059</v>
      </c>
      <c r="D21" s="111" t="s">
        <v>1052</v>
      </c>
      <c r="E21" s="111" t="s">
        <v>1061</v>
      </c>
      <c r="F21" s="38" t="s">
        <v>1060</v>
      </c>
      <c r="G21" s="3"/>
      <c r="H21" s="3"/>
      <c r="I21" s="3"/>
      <c r="J21" s="3"/>
    </row>
    <row r="22" spans="1:10" x14ac:dyDescent="0.25">
      <c r="A22" s="332" t="s">
        <v>1050</v>
      </c>
      <c r="B22" s="3" t="s">
        <v>1043</v>
      </c>
      <c r="C22" s="3"/>
      <c r="D22" s="3"/>
      <c r="E22" s="3" t="s">
        <v>972</v>
      </c>
      <c r="F22" s="114" t="s">
        <v>972</v>
      </c>
      <c r="G22" s="3"/>
      <c r="H22" s="3"/>
      <c r="I22" s="3"/>
      <c r="J22" s="3"/>
    </row>
    <row r="23" spans="1:10" x14ac:dyDescent="0.25">
      <c r="A23" s="79" t="s">
        <v>1042</v>
      </c>
      <c r="B23" s="5">
        <f>INT(Inserimento!C21)</f>
        <v>18</v>
      </c>
      <c r="C23" s="331" t="s">
        <v>1044</v>
      </c>
      <c r="D23" s="3" t="s">
        <v>1047</v>
      </c>
      <c r="E23" s="5">
        <f>(103-(B23))</f>
        <v>85</v>
      </c>
      <c r="F23" s="202">
        <f>(101-B23)</f>
        <v>83</v>
      </c>
      <c r="G23" s="3"/>
      <c r="H23" s="3"/>
      <c r="I23" s="3"/>
      <c r="J23" s="3"/>
    </row>
    <row r="24" spans="1:10" x14ac:dyDescent="0.25">
      <c r="A24" s="79" t="s">
        <v>1049</v>
      </c>
      <c r="B24" s="5">
        <f>INT(Inserimento!C19)</f>
        <v>15</v>
      </c>
      <c r="C24" s="331" t="s">
        <v>1045</v>
      </c>
      <c r="D24" t="s">
        <v>1048</v>
      </c>
      <c r="E24" s="5">
        <f>(B24+4)</f>
        <v>19</v>
      </c>
      <c r="F24" s="202">
        <f>(B24+1)</f>
        <v>16</v>
      </c>
    </row>
    <row r="25" spans="1:10" x14ac:dyDescent="0.25">
      <c r="A25" s="77"/>
      <c r="F25" s="196"/>
    </row>
    <row r="26" spans="1:10" x14ac:dyDescent="0.25">
      <c r="A26" s="77"/>
      <c r="D26" s="179" t="s">
        <v>1053</v>
      </c>
      <c r="E26" s="180">
        <f>INDEX('TRI2'!D3:CZ103,Suolo!F23,Suolo!F24)</f>
        <v>6</v>
      </c>
      <c r="F26" s="114"/>
      <c r="G26" s="3"/>
      <c r="H26" s="3"/>
      <c r="I26" s="3"/>
      <c r="J26" s="3"/>
    </row>
    <row r="27" spans="1:10" x14ac:dyDescent="0.25">
      <c r="A27" s="78"/>
      <c r="B27" s="16"/>
      <c r="C27" s="16"/>
      <c r="D27" s="179" t="s">
        <v>1051</v>
      </c>
      <c r="E27" s="180" t="str">
        <f>INDEX('TRI3'!D3:CZ103,Suolo!F23,Suolo!F24)</f>
        <v>FL</v>
      </c>
      <c r="F27" s="238"/>
      <c r="I27" s="3"/>
      <c r="J27" s="3"/>
    </row>
    <row r="28" spans="1:10" x14ac:dyDescent="0.25">
      <c r="F28" s="3"/>
      <c r="H28" s="3"/>
      <c r="I28" s="3"/>
    </row>
  </sheetData>
  <sheetProtection password="CC0C" sheet="1" objects="1" scenarios="1"/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18"/>
  <dimension ref="A1:H16"/>
  <sheetViews>
    <sheetView workbookViewId="0">
      <selection activeCell="E9" sqref="E9"/>
    </sheetView>
  </sheetViews>
  <sheetFormatPr defaultRowHeight="13.2" x14ac:dyDescent="0.25"/>
  <cols>
    <col min="1" max="1" width="17.6640625" customWidth="1"/>
    <col min="4" max="4" width="18.6640625" customWidth="1"/>
  </cols>
  <sheetData>
    <row r="1" spans="1:8" ht="39.6" x14ac:dyDescent="0.25">
      <c r="A1" s="64" t="s">
        <v>323</v>
      </c>
      <c r="B1" s="3" t="s">
        <v>316</v>
      </c>
      <c r="C1" s="54" t="s">
        <v>319</v>
      </c>
      <c r="D1" s="54" t="s">
        <v>628</v>
      </c>
      <c r="E1" s="54" t="s">
        <v>320</v>
      </c>
      <c r="F1" s="54" t="s">
        <v>321</v>
      </c>
      <c r="G1" s="54" t="s">
        <v>547</v>
      </c>
      <c r="H1" s="55" t="s">
        <v>322</v>
      </c>
    </row>
    <row r="2" spans="1:8" x14ac:dyDescent="0.25">
      <c r="A2" s="56" t="s">
        <v>281</v>
      </c>
      <c r="B2" s="33">
        <v>3</v>
      </c>
      <c r="C2" s="33">
        <v>1.2</v>
      </c>
      <c r="D2" s="33">
        <v>1.4</v>
      </c>
      <c r="E2" s="49">
        <f>(2000*C2)</f>
        <v>2400</v>
      </c>
      <c r="F2" s="49">
        <f>(C2*3000)</f>
        <v>3600</v>
      </c>
      <c r="G2" s="49">
        <f>(C2*4000)</f>
        <v>4800</v>
      </c>
      <c r="H2" s="57">
        <f>(C2*5000)</f>
        <v>6000</v>
      </c>
    </row>
    <row r="3" spans="1:8" x14ac:dyDescent="0.25">
      <c r="A3" s="56" t="s">
        <v>257</v>
      </c>
      <c r="B3" s="33">
        <v>1</v>
      </c>
      <c r="C3" s="33">
        <v>1.4</v>
      </c>
      <c r="D3" s="33">
        <v>1.2</v>
      </c>
      <c r="E3" s="49">
        <f>(2000*C3)</f>
        <v>2800</v>
      </c>
      <c r="F3" s="49">
        <f>(C3*3000)</f>
        <v>4200</v>
      </c>
      <c r="G3" s="49">
        <f>(C3*4000)</f>
        <v>5600</v>
      </c>
      <c r="H3" s="57">
        <f>(C3*5000)</f>
        <v>7000</v>
      </c>
    </row>
    <row r="4" spans="1:8" x14ac:dyDescent="0.25">
      <c r="A4" s="56" t="s">
        <v>267</v>
      </c>
      <c r="B4" s="33">
        <v>2</v>
      </c>
      <c r="C4" s="33">
        <v>1.3</v>
      </c>
      <c r="D4" s="33">
        <v>1.3</v>
      </c>
      <c r="E4" s="49">
        <f>(2000*C4)</f>
        <v>2600</v>
      </c>
      <c r="F4" s="49">
        <f>(C4*3000)</f>
        <v>3900</v>
      </c>
      <c r="G4" s="49">
        <f>(C4*4000)</f>
        <v>5200</v>
      </c>
      <c r="H4" s="57">
        <f>(C4*5000)</f>
        <v>6500</v>
      </c>
    </row>
    <row r="5" spans="1:8" x14ac:dyDescent="0.25">
      <c r="A5" s="44"/>
      <c r="B5" s="41"/>
      <c r="C5" s="41"/>
      <c r="D5" s="41"/>
      <c r="E5" s="41"/>
      <c r="F5" s="41"/>
      <c r="G5" s="41"/>
      <c r="H5" s="58"/>
    </row>
    <row r="6" spans="1:8" x14ac:dyDescent="0.25">
      <c r="A6" s="41">
        <v>1</v>
      </c>
      <c r="B6" s="41">
        <f t="shared" ref="B6:H6" si="0">(A6+1)</f>
        <v>2</v>
      </c>
      <c r="C6" s="41">
        <f t="shared" si="0"/>
        <v>3</v>
      </c>
      <c r="D6" s="41">
        <f t="shared" si="0"/>
        <v>4</v>
      </c>
      <c r="E6" s="41">
        <f t="shared" si="0"/>
        <v>5</v>
      </c>
      <c r="F6" s="41">
        <f t="shared" si="0"/>
        <v>6</v>
      </c>
      <c r="G6" s="41">
        <f t="shared" si="0"/>
        <v>7</v>
      </c>
      <c r="H6" s="41">
        <f t="shared" si="0"/>
        <v>8</v>
      </c>
    </row>
    <row r="7" spans="1:8" ht="13.8" thickBot="1" x14ac:dyDescent="0.3">
      <c r="A7" s="32"/>
      <c r="B7" s="32" t="s">
        <v>241</v>
      </c>
      <c r="C7" s="32"/>
      <c r="D7" s="32"/>
      <c r="E7" s="32"/>
      <c r="F7" s="32"/>
      <c r="G7" s="32"/>
      <c r="H7" s="32"/>
    </row>
    <row r="8" spans="1:8" ht="39.6" x14ac:dyDescent="0.25">
      <c r="A8" s="83" t="s">
        <v>282</v>
      </c>
      <c r="B8" s="189" t="s">
        <v>316</v>
      </c>
      <c r="C8" s="54" t="s">
        <v>319</v>
      </c>
      <c r="D8" s="54" t="s">
        <v>628</v>
      </c>
      <c r="E8" s="54" t="s">
        <v>320</v>
      </c>
      <c r="F8" s="54" t="s">
        <v>321</v>
      </c>
      <c r="G8" s="54" t="s">
        <v>547</v>
      </c>
      <c r="H8" s="55" t="s">
        <v>322</v>
      </c>
    </row>
    <row r="9" spans="1:8" ht="13.8" thickBot="1" x14ac:dyDescent="0.3">
      <c r="A9" s="204" t="str">
        <f>DGET($A$1:$H$4,A6,$B$8:$B$9)</f>
        <v>Franco</v>
      </c>
      <c r="B9" s="100">
        <f>Codici!S2</f>
        <v>2</v>
      </c>
      <c r="C9" s="57">
        <f t="shared" ref="C9:H9" si="1">DGET($A$1:$H$4,C6,$B$8:$B$9)</f>
        <v>1.3</v>
      </c>
      <c r="D9" s="57">
        <f t="shared" si="1"/>
        <v>1.3</v>
      </c>
      <c r="E9" s="59">
        <f t="shared" si="1"/>
        <v>2600</v>
      </c>
      <c r="F9" s="59">
        <f t="shared" si="1"/>
        <v>3900</v>
      </c>
      <c r="G9" s="59">
        <f t="shared" si="1"/>
        <v>5200</v>
      </c>
      <c r="H9" s="59">
        <f t="shared" si="1"/>
        <v>6500</v>
      </c>
    </row>
    <row r="10" spans="1:8" x14ac:dyDescent="0.25">
      <c r="A10" s="60"/>
      <c r="B10" s="61"/>
      <c r="C10" s="61"/>
      <c r="D10" s="61"/>
      <c r="E10" s="61"/>
      <c r="F10" s="61"/>
      <c r="G10" s="61"/>
      <c r="H10" s="61"/>
    </row>
    <row r="11" spans="1:8" x14ac:dyDescent="0.25">
      <c r="A11" s="60"/>
      <c r="B11" s="61"/>
      <c r="C11" s="61"/>
      <c r="D11" s="61"/>
      <c r="E11" s="61"/>
      <c r="F11" s="61"/>
      <c r="G11" s="61"/>
      <c r="H11" s="61"/>
    </row>
    <row r="12" spans="1:8" x14ac:dyDescent="0.25">
      <c r="A12" s="62"/>
      <c r="B12" s="63"/>
      <c r="C12" s="63"/>
      <c r="D12" s="63"/>
      <c r="E12" s="63"/>
      <c r="F12" s="63"/>
      <c r="G12" s="63"/>
      <c r="H12" s="63"/>
    </row>
    <row r="13" spans="1:8" x14ac:dyDescent="0.25">
      <c r="A13" s="32"/>
      <c r="B13" s="32"/>
      <c r="C13" s="32"/>
      <c r="D13" s="32"/>
      <c r="E13" s="32"/>
      <c r="F13" s="32"/>
      <c r="G13" s="32"/>
      <c r="H13" s="32"/>
    </row>
    <row r="14" spans="1:8" x14ac:dyDescent="0.25">
      <c r="F14" s="32"/>
      <c r="G14" s="32"/>
      <c r="H14" s="32"/>
    </row>
    <row r="15" spans="1:8" x14ac:dyDescent="0.25">
      <c r="F15" s="32"/>
      <c r="G15" s="32"/>
      <c r="H15" s="32"/>
    </row>
    <row r="16" spans="1:8" x14ac:dyDescent="0.25">
      <c r="F16" s="32"/>
      <c r="G16" s="32"/>
      <c r="H16" s="32"/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9"/>
  <dimension ref="A1:E10"/>
  <sheetViews>
    <sheetView workbookViewId="0">
      <selection activeCell="B5" sqref="B5"/>
    </sheetView>
  </sheetViews>
  <sheetFormatPr defaultRowHeight="13.2" x14ac:dyDescent="0.25"/>
  <cols>
    <col min="4" max="4" width="10.6640625" bestFit="1" customWidth="1"/>
  </cols>
  <sheetData>
    <row r="1" spans="1:5" x14ac:dyDescent="0.25">
      <c r="A1" s="34" t="s">
        <v>301</v>
      </c>
      <c r="B1" s="35" t="s">
        <v>302</v>
      </c>
      <c r="C1" s="35" t="s">
        <v>303</v>
      </c>
      <c r="D1" s="36" t="s">
        <v>296</v>
      </c>
    </row>
    <row r="2" spans="1:5" x14ac:dyDescent="0.25">
      <c r="A2">
        <v>1</v>
      </c>
      <c r="B2" s="37">
        <v>0</v>
      </c>
      <c r="C2" s="37">
        <v>9</v>
      </c>
      <c r="D2" s="8" t="s">
        <v>298</v>
      </c>
    </row>
    <row r="3" spans="1:5" x14ac:dyDescent="0.25">
      <c r="A3">
        <v>2</v>
      </c>
      <c r="B3" s="37">
        <v>9</v>
      </c>
      <c r="C3" s="37">
        <v>12</v>
      </c>
      <c r="D3" s="8" t="s">
        <v>299</v>
      </c>
    </row>
    <row r="4" spans="1:5" x14ac:dyDescent="0.25">
      <c r="A4">
        <v>3</v>
      </c>
      <c r="B4" s="8">
        <v>12</v>
      </c>
      <c r="C4" s="8">
        <v>100</v>
      </c>
      <c r="D4" s="8" t="s">
        <v>300</v>
      </c>
    </row>
    <row r="5" spans="1:5" ht="13.8" thickBot="1" x14ac:dyDescent="0.3">
      <c r="B5" s="131" t="s">
        <v>241</v>
      </c>
    </row>
    <row r="6" spans="1:5" x14ac:dyDescent="0.25">
      <c r="A6" s="34" t="s">
        <v>301</v>
      </c>
      <c r="B6" s="125" t="s">
        <v>302</v>
      </c>
      <c r="C6" s="126" t="s">
        <v>303</v>
      </c>
      <c r="D6" s="123" t="s">
        <v>296</v>
      </c>
      <c r="E6" s="38" t="s">
        <v>304</v>
      </c>
    </row>
    <row r="7" spans="1:5" x14ac:dyDescent="0.25">
      <c r="A7" s="2">
        <f>DGET(A1:D4,A1,D6:D7)</f>
        <v>1</v>
      </c>
      <c r="B7" s="127" t="str">
        <f>CONCATENATE(B9,LEFT($E$7,4))</f>
        <v>&lt;7,73</v>
      </c>
      <c r="C7" s="128" t="str">
        <f>CONCATENATE(C9,LEFT($E$7,4))</f>
        <v>&gt;7,73</v>
      </c>
      <c r="D7" s="124" t="str">
        <f>DGET($A$1:$D$4,D1,B6:C8)</f>
        <v>basso</v>
      </c>
      <c r="E7" s="39">
        <f>Inserimento!L23</f>
        <v>7.7339520494972938</v>
      </c>
    </row>
    <row r="8" spans="1:5" ht="13.8" thickBot="1" x14ac:dyDescent="0.3">
      <c r="B8" s="129" t="str">
        <f>CONCATENATE(B10,LEFT($E$7,4))</f>
        <v>=7,73</v>
      </c>
      <c r="C8" s="130"/>
    </row>
    <row r="9" spans="1:5" x14ac:dyDescent="0.25">
      <c r="B9" s="8" t="s">
        <v>305</v>
      </c>
      <c r="C9" s="8" t="s">
        <v>306</v>
      </c>
    </row>
    <row r="10" spans="1:5" x14ac:dyDescent="0.25">
      <c r="B10" s="40" t="s">
        <v>307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20">
    <pageSetUpPr fitToPage="1"/>
  </sheetPr>
  <dimension ref="A1:P29"/>
  <sheetViews>
    <sheetView workbookViewId="0">
      <selection activeCell="P19" sqref="P19"/>
    </sheetView>
  </sheetViews>
  <sheetFormatPr defaultRowHeight="13.2" x14ac:dyDescent="0.25"/>
  <cols>
    <col min="1" max="1" width="7.33203125" customWidth="1"/>
    <col min="2" max="2" width="15.44140625" customWidth="1"/>
    <col min="3" max="3" width="9.33203125" customWidth="1"/>
    <col min="4" max="4" width="7" customWidth="1"/>
    <col min="5" max="5" width="10.33203125" customWidth="1"/>
    <col min="6" max="6" width="15.33203125" customWidth="1"/>
    <col min="7" max="7" width="8.6640625" customWidth="1"/>
    <col min="8" max="8" width="9.6640625" customWidth="1"/>
    <col min="9" max="9" width="5" customWidth="1"/>
    <col min="10" max="10" width="7.6640625" customWidth="1"/>
    <col min="11" max="11" width="6.33203125" customWidth="1"/>
    <col min="12" max="12" width="8.33203125" customWidth="1"/>
    <col min="14" max="14" width="7.5546875" customWidth="1"/>
    <col min="15" max="15" width="9.33203125" customWidth="1"/>
    <col min="16" max="16" width="7" customWidth="1"/>
  </cols>
  <sheetData>
    <row r="1" spans="1:16" x14ac:dyDescent="0.25">
      <c r="A1" s="34" t="s">
        <v>652</v>
      </c>
    </row>
    <row r="2" spans="1:16" ht="26.4" x14ac:dyDescent="0.25">
      <c r="A2" t="s">
        <v>414</v>
      </c>
      <c r="F2" s="84" t="s">
        <v>255</v>
      </c>
      <c r="G2" s="85" t="s">
        <v>345</v>
      </c>
      <c r="J2" s="30" t="s">
        <v>418</v>
      </c>
      <c r="K2" s="3" t="s">
        <v>316</v>
      </c>
      <c r="L2" s="36" t="s">
        <v>318</v>
      </c>
      <c r="M2" s="31" t="s">
        <v>297</v>
      </c>
      <c r="O2" s="1105" t="s">
        <v>1310</v>
      </c>
      <c r="P2" s="1105"/>
    </row>
    <row r="3" spans="1:16" x14ac:dyDescent="0.25">
      <c r="A3" s="82" t="s">
        <v>295</v>
      </c>
      <c r="B3" s="83" t="s">
        <v>255</v>
      </c>
      <c r="C3" s="83" t="s">
        <v>415</v>
      </c>
      <c r="D3" s="83" t="s">
        <v>303</v>
      </c>
      <c r="E3" s="32" t="s">
        <v>344</v>
      </c>
      <c r="F3" s="56" t="s">
        <v>359</v>
      </c>
      <c r="G3" s="60" t="s">
        <v>1021</v>
      </c>
      <c r="J3" s="32">
        <v>1</v>
      </c>
      <c r="K3" s="33">
        <v>1</v>
      </c>
      <c r="L3" s="41">
        <v>1</v>
      </c>
      <c r="M3" s="33">
        <v>3</v>
      </c>
    </row>
    <row r="4" spans="1:16" x14ac:dyDescent="0.25">
      <c r="A4" s="86">
        <v>1</v>
      </c>
      <c r="B4" s="33" t="s">
        <v>359</v>
      </c>
      <c r="C4" s="169">
        <v>0</v>
      </c>
      <c r="D4" s="169">
        <v>0.8</v>
      </c>
      <c r="E4" s="88" t="s">
        <v>357</v>
      </c>
      <c r="F4" s="56" t="s">
        <v>360</v>
      </c>
      <c r="G4" s="60" t="s">
        <v>1022</v>
      </c>
      <c r="J4" s="32">
        <v>2</v>
      </c>
      <c r="K4" s="33">
        <v>2</v>
      </c>
      <c r="L4" s="41">
        <v>1</v>
      </c>
      <c r="M4" s="33">
        <v>2</v>
      </c>
      <c r="O4" t="s">
        <v>1311</v>
      </c>
      <c r="P4" s="482" t="b">
        <f>Codici!AZ2</f>
        <v>0</v>
      </c>
    </row>
    <row r="5" spans="1:16" x14ac:dyDescent="0.25">
      <c r="A5" s="56">
        <v>2</v>
      </c>
      <c r="B5" s="33" t="s">
        <v>359</v>
      </c>
      <c r="C5" s="169">
        <v>0.8</v>
      </c>
      <c r="D5" s="169">
        <v>1.4</v>
      </c>
      <c r="E5" s="88" t="s">
        <v>346</v>
      </c>
      <c r="F5" s="56" t="s">
        <v>361</v>
      </c>
      <c r="G5" s="60" t="s">
        <v>1023</v>
      </c>
      <c r="J5" s="32">
        <v>3</v>
      </c>
      <c r="K5" s="33">
        <v>3</v>
      </c>
      <c r="L5" s="41">
        <v>1</v>
      </c>
      <c r="M5" s="33">
        <v>1.5</v>
      </c>
      <c r="O5" s="167" t="s">
        <v>13</v>
      </c>
      <c r="P5" s="482" t="b">
        <f>Coltura!I238</f>
        <v>1</v>
      </c>
    </row>
    <row r="6" spans="1:16" ht="13.8" thickBot="1" x14ac:dyDescent="0.3">
      <c r="A6" s="56">
        <v>3</v>
      </c>
      <c r="B6" s="33" t="s">
        <v>359</v>
      </c>
      <c r="C6" s="169">
        <v>1.4</v>
      </c>
      <c r="D6" s="169">
        <v>2</v>
      </c>
      <c r="E6" s="88" t="s">
        <v>347</v>
      </c>
      <c r="F6" s="105" t="s">
        <v>241</v>
      </c>
      <c r="G6" s="60"/>
      <c r="J6" s="32">
        <v>4</v>
      </c>
      <c r="K6" s="33">
        <v>1</v>
      </c>
      <c r="L6" s="41">
        <v>2</v>
      </c>
      <c r="M6" s="33">
        <v>2.5</v>
      </c>
    </row>
    <row r="7" spans="1:16" x14ac:dyDescent="0.25">
      <c r="A7" s="56">
        <v>4</v>
      </c>
      <c r="B7" s="33" t="s">
        <v>359</v>
      </c>
      <c r="C7" s="169">
        <v>2</v>
      </c>
      <c r="D7" s="169">
        <v>99</v>
      </c>
      <c r="E7" s="88" t="s">
        <v>348</v>
      </c>
      <c r="F7" s="99" t="s">
        <v>255</v>
      </c>
      <c r="G7" s="89" t="s">
        <v>345</v>
      </c>
      <c r="J7" s="32">
        <v>5</v>
      </c>
      <c r="K7" s="33">
        <v>2</v>
      </c>
      <c r="L7" s="41">
        <v>2</v>
      </c>
      <c r="M7" s="33">
        <v>1.85</v>
      </c>
      <c r="O7" s="167" t="s">
        <v>1313</v>
      </c>
      <c r="P7" s="479">
        <f>IF(AND(P4=TRUE,P5=TRUE),10,0)</f>
        <v>0</v>
      </c>
    </row>
    <row r="8" spans="1:16" ht="13.8" thickBot="1" x14ac:dyDescent="0.3">
      <c r="A8" s="56">
        <v>5</v>
      </c>
      <c r="B8" s="33" t="s">
        <v>360</v>
      </c>
      <c r="C8" s="169">
        <v>0</v>
      </c>
      <c r="D8" s="169">
        <v>1</v>
      </c>
      <c r="E8" s="88" t="s">
        <v>357</v>
      </c>
      <c r="F8" s="100" t="str">
        <f>Suolo!F19</f>
        <v>Medio impasto</v>
      </c>
      <c r="G8" s="90" t="str">
        <f>DGET(F2:G5,G2,F7:F8)</f>
        <v>C8:E11</v>
      </c>
      <c r="J8" s="32">
        <v>6</v>
      </c>
      <c r="K8" s="33">
        <v>3</v>
      </c>
      <c r="L8" s="41">
        <v>2</v>
      </c>
      <c r="M8" s="33">
        <v>1</v>
      </c>
    </row>
    <row r="9" spans="1:16" x14ac:dyDescent="0.25">
      <c r="A9" s="56">
        <v>6</v>
      </c>
      <c r="B9" s="33" t="s">
        <v>360</v>
      </c>
      <c r="C9" s="169">
        <v>1</v>
      </c>
      <c r="D9" s="169">
        <v>1.8</v>
      </c>
      <c r="E9" s="88" t="s">
        <v>346</v>
      </c>
      <c r="J9" s="32">
        <v>7</v>
      </c>
      <c r="K9" s="33">
        <v>1</v>
      </c>
      <c r="L9" s="41">
        <v>3</v>
      </c>
      <c r="M9" s="33">
        <v>2</v>
      </c>
    </row>
    <row r="10" spans="1:16" x14ac:dyDescent="0.25">
      <c r="A10" s="56">
        <v>7</v>
      </c>
      <c r="B10" s="33" t="s">
        <v>360</v>
      </c>
      <c r="C10" s="169">
        <v>1.8</v>
      </c>
      <c r="D10" s="169">
        <v>2.5</v>
      </c>
      <c r="E10" s="88" t="s">
        <v>347</v>
      </c>
      <c r="F10" s="91" t="s">
        <v>349</v>
      </c>
      <c r="G10" s="85"/>
      <c r="J10" s="32">
        <v>8</v>
      </c>
      <c r="K10" s="33">
        <v>2</v>
      </c>
      <c r="L10" s="41">
        <v>3</v>
      </c>
      <c r="M10" s="33">
        <v>1.7</v>
      </c>
    </row>
    <row r="11" spans="1:16" x14ac:dyDescent="0.25">
      <c r="A11" s="56">
        <v>8</v>
      </c>
      <c r="B11" s="33" t="s">
        <v>360</v>
      </c>
      <c r="C11" s="169">
        <v>2.5</v>
      </c>
      <c r="D11" s="169">
        <v>99</v>
      </c>
      <c r="E11" s="88" t="s">
        <v>348</v>
      </c>
      <c r="F11" s="44" t="s">
        <v>342</v>
      </c>
      <c r="G11" s="58" t="s">
        <v>343</v>
      </c>
      <c r="J11" s="32">
        <v>9</v>
      </c>
      <c r="K11" s="33">
        <v>3</v>
      </c>
      <c r="L11" s="41">
        <v>3</v>
      </c>
      <c r="M11" s="33">
        <v>0.5</v>
      </c>
    </row>
    <row r="12" spans="1:16" ht="13.8" thickBot="1" x14ac:dyDescent="0.3">
      <c r="A12" s="56">
        <v>9</v>
      </c>
      <c r="B12" s="33" t="s">
        <v>361</v>
      </c>
      <c r="C12" s="169">
        <v>0</v>
      </c>
      <c r="D12" s="169">
        <v>1.2</v>
      </c>
      <c r="E12" s="88" t="s">
        <v>357</v>
      </c>
      <c r="F12" s="173">
        <f>DGET($A$3:$E$15,C$3,$F$14:$G$15)</f>
        <v>1.8</v>
      </c>
      <c r="G12" s="174">
        <f>DGET($A$3:$E$15,D$3,$F$14:$G$15)</f>
        <v>2.5</v>
      </c>
      <c r="J12" s="32"/>
      <c r="K12" s="41"/>
      <c r="L12" s="32"/>
    </row>
    <row r="13" spans="1:16" ht="13.8" thickBot="1" x14ac:dyDescent="0.3">
      <c r="A13" s="56">
        <v>10</v>
      </c>
      <c r="B13" s="33" t="s">
        <v>361</v>
      </c>
      <c r="C13" s="169">
        <v>1.2</v>
      </c>
      <c r="D13" s="169">
        <v>2.2000000000000002</v>
      </c>
      <c r="E13" s="88" t="s">
        <v>346</v>
      </c>
      <c r="F13" s="171" t="s">
        <v>350</v>
      </c>
      <c r="G13" s="172"/>
      <c r="J13" s="32"/>
      <c r="K13" s="65" t="s">
        <v>241</v>
      </c>
      <c r="L13" s="66"/>
    </row>
    <row r="14" spans="1:16" ht="26.4" x14ac:dyDescent="0.25">
      <c r="A14" s="33">
        <v>11</v>
      </c>
      <c r="B14" s="33" t="s">
        <v>361</v>
      </c>
      <c r="C14" s="169">
        <v>2.2000000000000002</v>
      </c>
      <c r="D14" s="169">
        <v>3</v>
      </c>
      <c r="E14" s="88" t="s">
        <v>347</v>
      </c>
      <c r="F14" s="97" t="s">
        <v>255</v>
      </c>
      <c r="G14" s="66" t="s">
        <v>344</v>
      </c>
      <c r="J14" s="30" t="s">
        <v>418</v>
      </c>
      <c r="K14" s="67" t="s">
        <v>316</v>
      </c>
      <c r="L14" s="68" t="s">
        <v>318</v>
      </c>
      <c r="M14" s="31" t="s">
        <v>297</v>
      </c>
    </row>
    <row r="15" spans="1:16" ht="13.8" thickBot="1" x14ac:dyDescent="0.3">
      <c r="A15" s="33">
        <v>12</v>
      </c>
      <c r="B15" s="33" t="s">
        <v>361</v>
      </c>
      <c r="C15" s="169">
        <v>3</v>
      </c>
      <c r="D15" s="169">
        <v>99</v>
      </c>
      <c r="E15" s="88" t="s">
        <v>348</v>
      </c>
      <c r="F15" s="69" t="str">
        <f>Suolo!F19</f>
        <v>Medio impasto</v>
      </c>
      <c r="G15" s="98" t="s">
        <v>347</v>
      </c>
      <c r="J15" s="49">
        <f>DGET($J$2:$M$11,J2,$K$14:$L$15)</f>
        <v>2</v>
      </c>
      <c r="K15" s="69">
        <f>Codici!S2</f>
        <v>2</v>
      </c>
      <c r="L15" s="70">
        <f>Codici!AC2</f>
        <v>1</v>
      </c>
      <c r="M15" s="50">
        <f>DGET($J$2:$M$11,M2,$K$14:$L$15)</f>
        <v>2</v>
      </c>
    </row>
    <row r="16" spans="1:16" ht="13.8" thickBot="1" x14ac:dyDescent="0.3">
      <c r="A16" s="32"/>
      <c r="B16" s="122" t="s">
        <v>417</v>
      </c>
      <c r="C16" s="32"/>
      <c r="D16" s="32"/>
      <c r="E16" s="32"/>
      <c r="N16" s="3" t="s">
        <v>975</v>
      </c>
      <c r="O16" s="3" t="s">
        <v>974</v>
      </c>
    </row>
    <row r="17" spans="1:16" ht="13.8" thickBot="1" x14ac:dyDescent="0.3">
      <c r="B17" s="116"/>
      <c r="C17" s="117" t="s">
        <v>416</v>
      </c>
      <c r="D17" s="118"/>
      <c r="E17" s="119"/>
      <c r="F17" s="42"/>
      <c r="G17" s="43" t="s">
        <v>292</v>
      </c>
      <c r="H17" s="43" t="s">
        <v>309</v>
      </c>
      <c r="J17" t="s">
        <v>432</v>
      </c>
      <c r="N17" s="193" t="s">
        <v>444</v>
      </c>
      <c r="O17" s="193" t="s">
        <v>439</v>
      </c>
      <c r="P17" s="193" t="s">
        <v>288</v>
      </c>
    </row>
    <row r="18" spans="1:16" ht="26.4" x14ac:dyDescent="0.25">
      <c r="A18" s="82" t="s">
        <v>295</v>
      </c>
      <c r="B18" s="120" t="s">
        <v>255</v>
      </c>
      <c r="C18" s="83" t="s">
        <v>415</v>
      </c>
      <c r="D18" s="83" t="s">
        <v>303</v>
      </c>
      <c r="E18" s="121" t="s">
        <v>344</v>
      </c>
      <c r="F18" s="44" t="s">
        <v>310</v>
      </c>
      <c r="G18" s="45">
        <f>Codici!Z2</f>
        <v>2</v>
      </c>
      <c r="H18" s="46">
        <f>Codici!Y2</f>
        <v>1.5</v>
      </c>
      <c r="J18" s="31" t="s">
        <v>383</v>
      </c>
      <c r="K18" s="41" t="s">
        <v>312</v>
      </c>
      <c r="L18" s="41" t="s">
        <v>313</v>
      </c>
      <c r="M18" s="41" t="s">
        <v>314</v>
      </c>
      <c r="N18" s="191" t="s">
        <v>445</v>
      </c>
      <c r="O18" s="41" t="s">
        <v>315</v>
      </c>
      <c r="P18" s="41" t="s">
        <v>330</v>
      </c>
    </row>
    <row r="19" spans="1:16" ht="13.8" thickBot="1" x14ac:dyDescent="0.3">
      <c r="A19" s="49">
        <f ca="1">DGET(A3:E15,1,B18:E19)</f>
        <v>7</v>
      </c>
      <c r="B19" s="69" t="str">
        <f>Suolo!F19</f>
        <v>Medio impasto</v>
      </c>
      <c r="C19" s="170">
        <f ca="1">VLOOKUP($G$18,INDIRECT($G$8),1)</f>
        <v>1.8</v>
      </c>
      <c r="D19" s="170">
        <f ca="1">VLOOKUP($G$18,INDIRECT($G$8),2)</f>
        <v>2.5</v>
      </c>
      <c r="E19" s="104" t="str">
        <f ca="1">VLOOKUP($G18,INDIRECT(G8),3)</f>
        <v>media</v>
      </c>
      <c r="F19" s="168" t="s">
        <v>311</v>
      </c>
      <c r="G19" s="47">
        <f>IF(G18&gt;3,3,G18)</f>
        <v>2</v>
      </c>
      <c r="H19" s="48">
        <f>IF(H18&gt;2.1,2.1,H18)</f>
        <v>1.5</v>
      </c>
      <c r="J19" s="45">
        <f>Ragg_Tes!E9</f>
        <v>2600</v>
      </c>
      <c r="K19" s="51">
        <f>(J19*G18/100)</f>
        <v>52</v>
      </c>
      <c r="L19" s="52">
        <f>((J19*H18/1000))</f>
        <v>3.9</v>
      </c>
      <c r="M19" s="52">
        <f>((((J19*G19/100)*1000)*M15/100)*0.05)</f>
        <v>52</v>
      </c>
      <c r="N19" s="29">
        <f>M19*Codici!O2</f>
        <v>34.840000000000003</v>
      </c>
      <c r="O19" s="52">
        <f>((J19*H19/1000)*1000)*0.01</f>
        <v>39</v>
      </c>
      <c r="P19" s="29">
        <f>IF(Codici!O2&lt;1,N19+O19-P7,N19)</f>
        <v>73.84</v>
      </c>
    </row>
    <row r="20" spans="1:16" ht="7.5" customHeight="1" thickBot="1" x14ac:dyDescent="0.3">
      <c r="A20" s="181"/>
      <c r="B20" s="181"/>
      <c r="C20" s="181"/>
      <c r="D20" s="181"/>
      <c r="E20" s="181"/>
      <c r="F20" s="182"/>
      <c r="G20" s="182"/>
      <c r="H20" s="182"/>
      <c r="I20" s="182"/>
      <c r="J20" s="182"/>
      <c r="K20" s="182"/>
      <c r="L20" s="182"/>
      <c r="M20" s="182"/>
      <c r="N20" s="181"/>
      <c r="O20" s="181"/>
    </row>
    <row r="21" spans="1:16" x14ac:dyDescent="0.25">
      <c r="C21" t="s">
        <v>419</v>
      </c>
    </row>
    <row r="22" spans="1:16" x14ac:dyDescent="0.25">
      <c r="B22" t="s">
        <v>430</v>
      </c>
      <c r="C22" s="177" t="s">
        <v>420</v>
      </c>
      <c r="D22" s="3" t="s">
        <v>302</v>
      </c>
      <c r="E22" s="3" t="s">
        <v>303</v>
      </c>
      <c r="F22" s="3" t="s">
        <v>344</v>
      </c>
    </row>
    <row r="23" spans="1:16" ht="13.8" thickBot="1" x14ac:dyDescent="0.3">
      <c r="B23" t="s">
        <v>425</v>
      </c>
      <c r="C23" s="5">
        <v>1</v>
      </c>
      <c r="D23" s="5">
        <v>0</v>
      </c>
      <c r="E23" s="5">
        <v>0.5</v>
      </c>
      <c r="F23" s="5" t="s">
        <v>421</v>
      </c>
      <c r="H23" s="175" t="s">
        <v>241</v>
      </c>
      <c r="I23" s="176"/>
      <c r="J23" s="38" t="s">
        <v>304</v>
      </c>
    </row>
    <row r="24" spans="1:16" x14ac:dyDescent="0.25">
      <c r="B24" t="s">
        <v>426</v>
      </c>
      <c r="C24" s="5">
        <v>2</v>
      </c>
      <c r="D24" s="5">
        <v>0.5</v>
      </c>
      <c r="E24" s="5">
        <v>1</v>
      </c>
      <c r="F24" s="5" t="s">
        <v>422</v>
      </c>
      <c r="H24" s="125" t="s">
        <v>302</v>
      </c>
      <c r="I24" s="126" t="s">
        <v>303</v>
      </c>
      <c r="J24" s="114" t="s">
        <v>431</v>
      </c>
    </row>
    <row r="25" spans="1:16" x14ac:dyDescent="0.25">
      <c r="B25" t="s">
        <v>427</v>
      </c>
      <c r="C25" s="5">
        <v>3</v>
      </c>
      <c r="D25" s="5">
        <v>1</v>
      </c>
      <c r="E25" s="5">
        <v>2</v>
      </c>
      <c r="F25" s="5" t="s">
        <v>264</v>
      </c>
      <c r="H25" s="127" t="str">
        <f>CONCATENATE(H27,LEFT($J$25,4))</f>
        <v>&lt;1,5</v>
      </c>
      <c r="I25" s="128" t="str">
        <f>CONCATENATE(I27,LEFT($J$25,4))</f>
        <v>&gt;1,5</v>
      </c>
      <c r="J25" s="178">
        <f>Codici!Y2</f>
        <v>1.5</v>
      </c>
    </row>
    <row r="26" spans="1:16" ht="13.8" thickBot="1" x14ac:dyDescent="0.3">
      <c r="B26" t="s">
        <v>428</v>
      </c>
      <c r="C26" s="5">
        <v>4</v>
      </c>
      <c r="D26" s="5">
        <v>2</v>
      </c>
      <c r="E26" s="5">
        <v>2.5</v>
      </c>
      <c r="F26" s="5" t="s">
        <v>423</v>
      </c>
      <c r="H26" s="129" t="str">
        <f>CONCATENATE(H28,LEFT($J$25,4))</f>
        <v>=1,5</v>
      </c>
      <c r="I26" s="130"/>
    </row>
    <row r="27" spans="1:16" x14ac:dyDescent="0.25">
      <c r="B27" t="s">
        <v>429</v>
      </c>
      <c r="C27" s="5">
        <v>5</v>
      </c>
      <c r="D27" s="5">
        <v>2.5</v>
      </c>
      <c r="E27" s="5">
        <v>99</v>
      </c>
      <c r="F27" s="5" t="s">
        <v>424</v>
      </c>
      <c r="H27" s="8" t="s">
        <v>305</v>
      </c>
      <c r="I27" s="8" t="s">
        <v>306</v>
      </c>
    </row>
    <row r="28" spans="1:16" x14ac:dyDescent="0.25">
      <c r="H28" s="40" t="s">
        <v>307</v>
      </c>
    </row>
    <row r="29" spans="1:16" x14ac:dyDescent="0.25">
      <c r="C29" s="5">
        <f>DGET($C$22:$F$27,1,$H$24:$I$26)</f>
        <v>3</v>
      </c>
      <c r="D29" s="5">
        <f>DGET($C$22:$F$27,2,$H$24:$I$26)</f>
        <v>1</v>
      </c>
      <c r="E29" s="5">
        <f>DGET($C$22:$F$27,3,$H$24:$I$26)</f>
        <v>2</v>
      </c>
      <c r="F29" s="5" t="str">
        <f>DGET($C$22:$F$27,4,$H$24:$I$26)</f>
        <v>Media</v>
      </c>
    </row>
  </sheetData>
  <sheetProtection password="CFCC" sheet="1"/>
  <mergeCells count="1">
    <mergeCell ref="O2:P2"/>
  </mergeCells>
  <phoneticPr fontId="2" type="noConversion"/>
  <pageMargins left="0.75" right="0.75" top="1" bottom="1" header="0.5" footer="0.5"/>
  <pageSetup paperSize="9" scale="92" orientation="landscape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21"/>
  <dimension ref="A1:K35"/>
  <sheetViews>
    <sheetView topLeftCell="A5" workbookViewId="0">
      <selection activeCell="G29" sqref="G29"/>
    </sheetView>
  </sheetViews>
  <sheetFormatPr defaultRowHeight="13.2" x14ac:dyDescent="0.25"/>
  <cols>
    <col min="1" max="1" width="11" customWidth="1"/>
    <col min="2" max="2" width="31.33203125" customWidth="1"/>
    <col min="3" max="3" width="8.44140625" customWidth="1"/>
    <col min="13" max="13" width="53.33203125" customWidth="1"/>
    <col min="15" max="15" width="14.33203125" customWidth="1"/>
    <col min="16" max="16" width="16.6640625" customWidth="1"/>
  </cols>
  <sheetData>
    <row r="1" spans="1:10" x14ac:dyDescent="0.25">
      <c r="A1" s="34" t="s">
        <v>1040</v>
      </c>
    </row>
    <row r="2" spans="1:10" x14ac:dyDescent="0.25">
      <c r="F2" s="75" t="s">
        <v>979</v>
      </c>
      <c r="G2" s="155"/>
      <c r="H2" s="155"/>
      <c r="I2" s="155"/>
      <c r="J2" s="76"/>
    </row>
    <row r="3" spans="1:10" x14ac:dyDescent="0.25">
      <c r="A3" s="75" t="s">
        <v>1083</v>
      </c>
      <c r="B3" s="76"/>
      <c r="D3" s="3"/>
      <c r="F3" s="79" t="s">
        <v>436</v>
      </c>
      <c r="G3" s="3" t="s">
        <v>316</v>
      </c>
      <c r="H3" s="36" t="s">
        <v>433</v>
      </c>
      <c r="I3" s="3" t="s">
        <v>434</v>
      </c>
      <c r="J3" s="114" t="s">
        <v>435</v>
      </c>
    </row>
    <row r="4" spans="1:10" x14ac:dyDescent="0.25">
      <c r="A4" s="247" t="s">
        <v>433</v>
      </c>
      <c r="B4" s="196" t="s">
        <v>512</v>
      </c>
      <c r="F4" s="79">
        <v>1</v>
      </c>
      <c r="G4" s="3">
        <v>1</v>
      </c>
      <c r="H4" s="3">
        <v>1</v>
      </c>
      <c r="I4" s="463">
        <v>30</v>
      </c>
      <c r="J4" s="464">
        <v>0.35</v>
      </c>
    </row>
    <row r="5" spans="1:10" x14ac:dyDescent="0.25">
      <c r="A5" s="284">
        <v>1</v>
      </c>
      <c r="B5" s="285" t="s">
        <v>1081</v>
      </c>
      <c r="F5" s="79">
        <v>2</v>
      </c>
      <c r="G5" s="3">
        <v>1</v>
      </c>
      <c r="H5" s="3">
        <v>2</v>
      </c>
      <c r="I5" s="3">
        <v>40</v>
      </c>
      <c r="J5" s="114">
        <v>0.2</v>
      </c>
    </row>
    <row r="6" spans="1:10" x14ac:dyDescent="0.25">
      <c r="A6" s="284">
        <v>2</v>
      </c>
      <c r="B6" s="285" t="s">
        <v>1222</v>
      </c>
      <c r="F6" s="79">
        <v>3</v>
      </c>
      <c r="G6" s="3">
        <v>1</v>
      </c>
      <c r="H6" s="3">
        <v>3</v>
      </c>
      <c r="I6" s="3">
        <v>50</v>
      </c>
      <c r="J6" s="114">
        <v>0.15</v>
      </c>
    </row>
    <row r="7" spans="1:10" x14ac:dyDescent="0.25">
      <c r="A7" s="284">
        <v>3</v>
      </c>
      <c r="B7" s="285" t="s">
        <v>1082</v>
      </c>
      <c r="F7" s="79">
        <v>4</v>
      </c>
      <c r="G7" s="3">
        <v>2</v>
      </c>
      <c r="H7" s="3">
        <v>1</v>
      </c>
      <c r="I7" s="463">
        <v>20</v>
      </c>
      <c r="J7" s="464">
        <v>0.4</v>
      </c>
    </row>
    <row r="8" spans="1:10" x14ac:dyDescent="0.25">
      <c r="A8" s="77"/>
      <c r="B8" s="196"/>
      <c r="F8" s="79">
        <v>5</v>
      </c>
      <c r="G8" s="3">
        <v>2</v>
      </c>
      <c r="H8" s="3">
        <v>2</v>
      </c>
      <c r="I8" s="3">
        <v>30</v>
      </c>
      <c r="J8" s="114">
        <v>0.25</v>
      </c>
    </row>
    <row r="9" spans="1:10" ht="13.8" thickBot="1" x14ac:dyDescent="0.3">
      <c r="A9" s="77" t="s">
        <v>241</v>
      </c>
      <c r="B9" s="196"/>
      <c r="F9" s="79">
        <v>6</v>
      </c>
      <c r="G9" s="3">
        <v>2</v>
      </c>
      <c r="H9" s="3">
        <v>3</v>
      </c>
      <c r="I9" s="3">
        <v>40</v>
      </c>
      <c r="J9" s="114">
        <v>0.2</v>
      </c>
    </row>
    <row r="10" spans="1:10" x14ac:dyDescent="0.25">
      <c r="A10" s="286" t="s">
        <v>433</v>
      </c>
      <c r="B10" s="287" t="s">
        <v>512</v>
      </c>
      <c r="F10" s="79">
        <v>7</v>
      </c>
      <c r="G10" s="3">
        <v>3</v>
      </c>
      <c r="H10" s="3">
        <v>1</v>
      </c>
      <c r="I10" s="463">
        <v>10</v>
      </c>
      <c r="J10" s="464">
        <v>0.45</v>
      </c>
    </row>
    <row r="11" spans="1:10" x14ac:dyDescent="0.25">
      <c r="A11" s="288">
        <f>Codici!AM2</f>
        <v>1</v>
      </c>
      <c r="B11" s="289" t="str">
        <f>DGET(A4:B7,2,A10:A11)</f>
        <v>Imperfetta</v>
      </c>
      <c r="F11" s="79">
        <v>8</v>
      </c>
      <c r="G11" s="3">
        <v>3</v>
      </c>
      <c r="H11" s="3">
        <v>2</v>
      </c>
      <c r="I11" s="3">
        <v>20</v>
      </c>
      <c r="J11" s="114">
        <v>0.3</v>
      </c>
    </row>
    <row r="12" spans="1:10" x14ac:dyDescent="0.25">
      <c r="F12" s="79">
        <v>9</v>
      </c>
      <c r="G12" s="3">
        <v>3</v>
      </c>
      <c r="H12" s="3">
        <v>3</v>
      </c>
      <c r="I12" s="3">
        <v>30</v>
      </c>
      <c r="J12" s="114">
        <v>0.25</v>
      </c>
    </row>
    <row r="13" spans="1:10" ht="13.8" thickBot="1" x14ac:dyDescent="0.3">
      <c r="A13" s="237" t="s">
        <v>655</v>
      </c>
      <c r="B13" s="155"/>
      <c r="C13" s="155"/>
      <c r="D13" s="76"/>
      <c r="F13" s="77"/>
      <c r="G13" t="s">
        <v>350</v>
      </c>
      <c r="J13" s="196"/>
    </row>
    <row r="14" spans="1:10" x14ac:dyDescent="0.25">
      <c r="A14" s="590" t="s">
        <v>1308</v>
      </c>
      <c r="D14" s="196"/>
      <c r="F14" s="77"/>
      <c r="G14" s="185" t="s">
        <v>316</v>
      </c>
      <c r="H14" s="186" t="s">
        <v>433</v>
      </c>
      <c r="J14" s="196"/>
    </row>
    <row r="15" spans="1:10" ht="13.8" thickBot="1" x14ac:dyDescent="0.3">
      <c r="A15" s="205"/>
      <c r="B15" s="588" t="s">
        <v>976</v>
      </c>
      <c r="C15" s="230"/>
      <c r="D15" s="180">
        <f>DGET($F$3:$J$12,4,$G$14:$H$15)</f>
        <v>20</v>
      </c>
      <c r="F15" s="77"/>
      <c r="G15" s="187">
        <f>Codici!S2</f>
        <v>2</v>
      </c>
      <c r="H15" s="188">
        <f>Codici!AM2</f>
        <v>1</v>
      </c>
      <c r="J15" s="196"/>
    </row>
    <row r="16" spans="1:10" x14ac:dyDescent="0.25">
      <c r="A16" s="77"/>
      <c r="C16" s="200"/>
      <c r="D16" s="196"/>
      <c r="F16" s="77"/>
      <c r="J16" s="196"/>
    </row>
    <row r="17" spans="1:11" x14ac:dyDescent="0.25">
      <c r="A17" s="77"/>
      <c r="B17" s="589" t="s">
        <v>977</v>
      </c>
      <c r="D17" s="196"/>
      <c r="F17" s="290">
        <f>DGET($F$3:$J$12,1,$G$14:$H$15)</f>
        <v>4</v>
      </c>
      <c r="G17" s="242"/>
      <c r="H17" s="242"/>
      <c r="I17" s="16"/>
      <c r="J17" s="291">
        <f>DGET($F$3:$J$12,5,$G$14:$H$15)</f>
        <v>0.4</v>
      </c>
    </row>
    <row r="18" spans="1:11" x14ac:dyDescent="0.25">
      <c r="A18" s="591" t="s">
        <v>1364</v>
      </c>
      <c r="D18" s="592">
        <f>Inserimento!B37</f>
        <v>150</v>
      </c>
    </row>
    <row r="19" spans="1:11" x14ac:dyDescent="0.25">
      <c r="A19" s="1110" t="s">
        <v>1365</v>
      </c>
      <c r="B19" s="1107"/>
      <c r="D19" s="478">
        <f>(250-D18)</f>
        <v>100</v>
      </c>
      <c r="F19" s="292" t="s">
        <v>980</v>
      </c>
      <c r="G19" s="230"/>
      <c r="H19" s="230"/>
      <c r="I19" s="230"/>
      <c r="J19" s="230"/>
      <c r="K19" s="283">
        <f>(B!P19)*J17</f>
        <v>29.536000000000001</v>
      </c>
    </row>
    <row r="20" spans="1:11" ht="13.2" customHeight="1" x14ac:dyDescent="0.25">
      <c r="A20" s="1110" t="s">
        <v>1366</v>
      </c>
      <c r="B20" s="1107"/>
      <c r="C20" s="5">
        <f>IF(Codici!O2&lt;1,B!O19,30)</f>
        <v>39</v>
      </c>
      <c r="D20" s="196"/>
    </row>
    <row r="21" spans="1:11" ht="13.2" customHeight="1" x14ac:dyDescent="0.25">
      <c r="A21" s="1110" t="s">
        <v>978</v>
      </c>
      <c r="B21" s="1107"/>
      <c r="C21" s="5">
        <f>IF((-150+Inserimento!B37)&lt;0,0,IF((-150+Inserimento!B37)&gt;100,100,(-150+Inserimento!B37)))</f>
        <v>0</v>
      </c>
      <c r="D21" s="196"/>
      <c r="F21" s="292" t="s">
        <v>981</v>
      </c>
      <c r="G21" s="295">
        <f>E!C28</f>
        <v>-10</v>
      </c>
      <c r="H21" s="230"/>
      <c r="I21" s="230" t="s">
        <v>986</v>
      </c>
      <c r="J21" s="230"/>
      <c r="K21" s="180">
        <f>IF(AND(G21&lt;0,C_tempo!D22="sì"),G21,0)</f>
        <v>-10</v>
      </c>
    </row>
    <row r="22" spans="1:11" ht="13.2" customHeight="1" x14ac:dyDescent="0.25">
      <c r="A22" s="1111" t="s">
        <v>1367</v>
      </c>
      <c r="B22" s="1107"/>
      <c r="C22" s="679">
        <f>IF(OR($C$23=TRUE,Codici!$H$2=1),0,(C20*C21/100))</f>
        <v>0</v>
      </c>
      <c r="D22" s="196"/>
    </row>
    <row r="23" spans="1:11" x14ac:dyDescent="0.25">
      <c r="A23" s="77" t="s">
        <v>1205</v>
      </c>
      <c r="C23" s="4">
        <f>Codici!I2</f>
        <v>2</v>
      </c>
      <c r="D23" s="196"/>
      <c r="F23" s="293" t="s">
        <v>982</v>
      </c>
      <c r="G23" s="283">
        <f>IF(K21&lt;0,(K21*-1)+'C&amp;D'!K19,'C&amp;D'!K19)</f>
        <v>39.536000000000001</v>
      </c>
    </row>
    <row r="24" spans="1:11" ht="13.2" customHeight="1" x14ac:dyDescent="0.25">
      <c r="A24" s="1111" t="s">
        <v>1368</v>
      </c>
      <c r="B24" s="1107"/>
      <c r="C24" s="680">
        <f>IF(D30&gt;0,(C20-C22),0)</f>
        <v>0</v>
      </c>
      <c r="D24" s="196"/>
      <c r="F24" s="177"/>
      <c r="G24" s="199"/>
    </row>
    <row r="25" spans="1:11" ht="13.95" customHeight="1" thickBot="1" x14ac:dyDescent="0.3">
      <c r="A25" s="1112" t="s">
        <v>1374</v>
      </c>
      <c r="B25" s="1113"/>
      <c r="C25" s="684">
        <f>(C22+C24)</f>
        <v>0</v>
      </c>
      <c r="D25" s="196"/>
    </row>
    <row r="26" spans="1:11" x14ac:dyDescent="0.25">
      <c r="A26" s="77"/>
      <c r="D26" s="196"/>
    </row>
    <row r="27" spans="1:11" x14ac:dyDescent="0.25">
      <c r="A27" s="477" t="s">
        <v>1307</v>
      </c>
      <c r="B27" s="155"/>
      <c r="C27" s="155"/>
      <c r="D27" s="76"/>
    </row>
    <row r="28" spans="1:11" x14ac:dyDescent="0.25">
      <c r="A28" s="481" t="s">
        <v>1309</v>
      </c>
      <c r="B28" s="17" t="s">
        <v>1370</v>
      </c>
      <c r="D28" s="478" t="b">
        <f>IF(Inserimento!B37&gt;150,TRUE,FALSE)</f>
        <v>0</v>
      </c>
    </row>
    <row r="29" spans="1:11" x14ac:dyDescent="0.25">
      <c r="A29" s="481"/>
      <c r="B29" s="676" t="s">
        <v>1472</v>
      </c>
      <c r="C29" s="678">
        <f>Inserimento!E37</f>
        <v>0</v>
      </c>
      <c r="D29" s="478"/>
    </row>
    <row r="30" spans="1:11" x14ac:dyDescent="0.25">
      <c r="A30" s="1111" t="s">
        <v>1371</v>
      </c>
      <c r="B30" s="1107"/>
      <c r="C30" s="16"/>
      <c r="D30" s="480">
        <f>(Inserimento!E37-'C&amp;D'!D19)</f>
        <v>-100</v>
      </c>
    </row>
    <row r="31" spans="1:11" ht="13.2" customHeight="1" x14ac:dyDescent="0.25">
      <c r="A31" s="1111" t="s">
        <v>1369</v>
      </c>
      <c r="B31" s="1107"/>
      <c r="C31" s="680">
        <f>(D30/10)</f>
        <v>-10</v>
      </c>
      <c r="D31" s="196"/>
    </row>
    <row r="32" spans="1:11" x14ac:dyDescent="0.25">
      <c r="A32" s="1108" t="s">
        <v>1372</v>
      </c>
      <c r="B32" s="1109"/>
      <c r="C32" s="685">
        <f>IF(AND(D28=TRUE,C31&gt;0),C31,0)</f>
        <v>0</v>
      </c>
      <c r="D32" s="480"/>
    </row>
    <row r="34" spans="1:5" x14ac:dyDescent="0.25">
      <c r="A34" s="1106" t="s">
        <v>1474</v>
      </c>
      <c r="B34" s="1106"/>
      <c r="C34" s="1107" t="s">
        <v>611</v>
      </c>
      <c r="D34" s="1107"/>
      <c r="E34" s="1107"/>
    </row>
    <row r="35" spans="1:5" ht="26.4" x14ac:dyDescent="0.25">
      <c r="A35" s="675"/>
      <c r="B35" s="675" t="s">
        <v>1473</v>
      </c>
      <c r="C35" s="675"/>
      <c r="D35" s="677" t="b">
        <f>IF((D18+C29)&gt;299,TRUE,FALSE)</f>
        <v>0</v>
      </c>
    </row>
  </sheetData>
  <sheetProtection password="CC0C" sheet="1" objects="1" scenarios="1"/>
  <mergeCells count="11">
    <mergeCell ref="A19:B19"/>
    <mergeCell ref="A24:B24"/>
    <mergeCell ref="A22:B22"/>
    <mergeCell ref="A30:B30"/>
    <mergeCell ref="A31:B31"/>
    <mergeCell ref="A25:B25"/>
    <mergeCell ref="A34:B34"/>
    <mergeCell ref="C34:E34"/>
    <mergeCell ref="A32:B32"/>
    <mergeCell ref="A21:B21"/>
    <mergeCell ref="A20:B20"/>
  </mergeCells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22"/>
  <dimension ref="A1:G30"/>
  <sheetViews>
    <sheetView workbookViewId="0">
      <selection activeCell="D27" sqref="D27"/>
    </sheetView>
  </sheetViews>
  <sheetFormatPr defaultRowHeight="13.2" x14ac:dyDescent="0.25"/>
  <cols>
    <col min="2" max="2" width="54.6640625" bestFit="1" customWidth="1"/>
    <col min="4" max="4" width="11" bestFit="1" customWidth="1"/>
    <col min="5" max="5" width="12.44140625" bestFit="1" customWidth="1"/>
  </cols>
  <sheetData>
    <row r="1" spans="1:7" x14ac:dyDescent="0.25">
      <c r="A1" s="34" t="s">
        <v>656</v>
      </c>
    </row>
    <row r="2" spans="1:7" x14ac:dyDescent="0.25">
      <c r="A2" t="s">
        <v>438</v>
      </c>
      <c r="B2" t="s">
        <v>437</v>
      </c>
      <c r="C2" s="3" t="s">
        <v>243</v>
      </c>
      <c r="D2" t="s">
        <v>623</v>
      </c>
    </row>
    <row r="3" spans="1:7" x14ac:dyDescent="0.25">
      <c r="A3">
        <v>1</v>
      </c>
      <c r="B3" t="s">
        <v>446</v>
      </c>
      <c r="C3" s="3">
        <v>30</v>
      </c>
      <c r="D3" s="3" t="b">
        <v>0</v>
      </c>
      <c r="E3" s="3"/>
    </row>
    <row r="4" spans="1:7" x14ac:dyDescent="0.25">
      <c r="A4">
        <v>2</v>
      </c>
      <c r="B4" t="s">
        <v>447</v>
      </c>
      <c r="C4" s="3">
        <v>-10</v>
      </c>
      <c r="D4" s="3" t="b">
        <v>0</v>
      </c>
      <c r="E4" s="3"/>
    </row>
    <row r="5" spans="1:7" x14ac:dyDescent="0.25">
      <c r="A5">
        <v>3</v>
      </c>
      <c r="B5" t="s">
        <v>448</v>
      </c>
      <c r="C5" s="3">
        <v>-30</v>
      </c>
      <c r="D5" s="3" t="b">
        <v>0</v>
      </c>
      <c r="E5" s="3"/>
    </row>
    <row r="6" spans="1:7" x14ac:dyDescent="0.25">
      <c r="A6">
        <v>4</v>
      </c>
      <c r="B6" t="s">
        <v>83</v>
      </c>
      <c r="C6" s="3">
        <v>20</v>
      </c>
      <c r="D6" s="3" t="b">
        <v>0</v>
      </c>
      <c r="E6" s="3"/>
    </row>
    <row r="7" spans="1:7" x14ac:dyDescent="0.25">
      <c r="A7">
        <v>5</v>
      </c>
      <c r="B7" t="s">
        <v>440</v>
      </c>
      <c r="C7" s="3">
        <v>0</v>
      </c>
      <c r="D7" s="3" t="b">
        <v>0</v>
      </c>
      <c r="E7" s="3"/>
    </row>
    <row r="8" spans="1:7" x14ac:dyDescent="0.25">
      <c r="A8">
        <v>6</v>
      </c>
      <c r="B8" t="s">
        <v>449</v>
      </c>
      <c r="C8" s="3">
        <v>-10</v>
      </c>
      <c r="D8" s="3" t="b">
        <v>0</v>
      </c>
      <c r="E8" s="3"/>
    </row>
    <row r="9" spans="1:7" x14ac:dyDescent="0.25">
      <c r="A9">
        <v>7</v>
      </c>
      <c r="B9" t="s">
        <v>450</v>
      </c>
      <c r="C9" s="3">
        <v>-40</v>
      </c>
      <c r="D9" s="3" t="b">
        <v>0</v>
      </c>
      <c r="E9" s="3"/>
    </row>
    <row r="10" spans="1:7" x14ac:dyDescent="0.25">
      <c r="A10">
        <v>8</v>
      </c>
      <c r="B10" t="s">
        <v>452</v>
      </c>
      <c r="C10" s="3">
        <v>60</v>
      </c>
      <c r="D10" s="3" t="b">
        <v>1</v>
      </c>
      <c r="E10" s="3"/>
    </row>
    <row r="11" spans="1:7" x14ac:dyDescent="0.25">
      <c r="A11">
        <v>9</v>
      </c>
      <c r="B11" t="s">
        <v>451</v>
      </c>
      <c r="C11" s="3">
        <v>80</v>
      </c>
      <c r="D11" s="3" t="b">
        <v>1</v>
      </c>
      <c r="E11" s="3"/>
    </row>
    <row r="12" spans="1:7" x14ac:dyDescent="0.25">
      <c r="A12">
        <v>10</v>
      </c>
      <c r="B12" t="s">
        <v>457</v>
      </c>
      <c r="C12" s="3">
        <v>25</v>
      </c>
      <c r="D12" s="3" t="b">
        <v>0</v>
      </c>
      <c r="E12" s="3"/>
    </row>
    <row r="13" spans="1:7" x14ac:dyDescent="0.25">
      <c r="A13">
        <v>11</v>
      </c>
      <c r="B13" t="s">
        <v>224</v>
      </c>
      <c r="C13" s="3">
        <v>35</v>
      </c>
      <c r="D13" s="3" t="b">
        <v>0</v>
      </c>
      <c r="E13" s="3"/>
    </row>
    <row r="14" spans="1:7" x14ac:dyDescent="0.25">
      <c r="A14">
        <v>12</v>
      </c>
      <c r="B14" t="s">
        <v>521</v>
      </c>
      <c r="C14" s="3">
        <v>30</v>
      </c>
      <c r="D14" s="3" t="b">
        <v>0</v>
      </c>
      <c r="E14" s="3"/>
      <c r="G14" t="s">
        <v>520</v>
      </c>
    </row>
    <row r="15" spans="1:7" x14ac:dyDescent="0.25">
      <c r="A15">
        <v>13</v>
      </c>
      <c r="B15" t="s">
        <v>456</v>
      </c>
      <c r="C15" s="3">
        <v>30</v>
      </c>
      <c r="D15" s="3" t="b">
        <v>1</v>
      </c>
      <c r="E15" s="3"/>
    </row>
    <row r="16" spans="1:7" x14ac:dyDescent="0.25">
      <c r="A16">
        <v>14</v>
      </c>
      <c r="B16" t="s">
        <v>455</v>
      </c>
      <c r="C16" s="3">
        <v>15</v>
      </c>
      <c r="D16" s="3" t="b">
        <v>0</v>
      </c>
      <c r="E16" s="3"/>
    </row>
    <row r="17" spans="1:6" x14ac:dyDescent="0.25">
      <c r="A17">
        <v>15</v>
      </c>
      <c r="B17" t="s">
        <v>453</v>
      </c>
      <c r="C17" s="3">
        <v>60</v>
      </c>
      <c r="D17" s="3" t="b">
        <v>1</v>
      </c>
      <c r="E17" s="3"/>
    </row>
    <row r="18" spans="1:6" x14ac:dyDescent="0.25">
      <c r="A18">
        <v>16</v>
      </c>
      <c r="B18" t="s">
        <v>454</v>
      </c>
      <c r="C18" s="3">
        <v>40</v>
      </c>
      <c r="D18" s="3" t="b">
        <v>1</v>
      </c>
      <c r="E18" s="3"/>
    </row>
    <row r="19" spans="1:6" x14ac:dyDescent="0.25">
      <c r="A19">
        <v>17</v>
      </c>
      <c r="B19" t="s">
        <v>441</v>
      </c>
      <c r="C19" s="3">
        <v>10</v>
      </c>
      <c r="D19" s="3" t="b">
        <v>1</v>
      </c>
      <c r="E19" s="3"/>
    </row>
    <row r="20" spans="1:6" x14ac:dyDescent="0.25">
      <c r="A20">
        <v>18</v>
      </c>
      <c r="B20" t="s">
        <v>442</v>
      </c>
      <c r="C20" s="3">
        <v>-40</v>
      </c>
      <c r="D20" s="3" t="b">
        <v>0</v>
      </c>
      <c r="E20" s="3"/>
    </row>
    <row r="21" spans="1:6" x14ac:dyDescent="0.25">
      <c r="A21">
        <v>19</v>
      </c>
      <c r="B21" t="s">
        <v>458</v>
      </c>
      <c r="C21" s="3">
        <v>50</v>
      </c>
      <c r="D21" s="3" t="b">
        <v>1</v>
      </c>
      <c r="E21" s="3"/>
    </row>
    <row r="22" spans="1:6" x14ac:dyDescent="0.25">
      <c r="A22">
        <v>20</v>
      </c>
      <c r="B22" t="s">
        <v>627</v>
      </c>
      <c r="C22" s="3">
        <v>40</v>
      </c>
      <c r="D22" s="3" t="b">
        <v>1</v>
      </c>
      <c r="E22" s="3"/>
    </row>
    <row r="23" spans="1:6" x14ac:dyDescent="0.25">
      <c r="A23">
        <v>21</v>
      </c>
      <c r="B23" t="s">
        <v>459</v>
      </c>
      <c r="C23" s="3">
        <v>0</v>
      </c>
      <c r="D23" s="3" t="b">
        <v>0</v>
      </c>
      <c r="E23" s="3"/>
    </row>
    <row r="25" spans="1:6" ht="13.8" thickBot="1" x14ac:dyDescent="0.3">
      <c r="A25" t="s">
        <v>241</v>
      </c>
    </row>
    <row r="26" spans="1:6" x14ac:dyDescent="0.25">
      <c r="A26" s="26" t="s">
        <v>438</v>
      </c>
      <c r="E26" t="s">
        <v>984</v>
      </c>
    </row>
    <row r="27" spans="1:6" ht="13.8" thickBot="1" x14ac:dyDescent="0.3">
      <c r="A27" s="184">
        <f>Codici!AO2</f>
        <v>6</v>
      </c>
      <c r="C27" s="200"/>
      <c r="D27" s="200"/>
      <c r="E27" s="200"/>
      <c r="F27" s="294" t="s">
        <v>983</v>
      </c>
    </row>
    <row r="28" spans="1:6" x14ac:dyDescent="0.25">
      <c r="B28" s="2" t="str">
        <f>DGET($A$2:$C$23,2,$A$26:$A$27)</f>
        <v>Mais stocchi asportati</v>
      </c>
      <c r="C28" s="5">
        <f>DGET($A$2:$C$23,3,$A$26:$A$27)</f>
        <v>-10</v>
      </c>
      <c r="D28" s="5" t="b">
        <f>DGET($A$2:$D$23,4,$A$26:$A$27)</f>
        <v>0</v>
      </c>
      <c r="E28" s="5"/>
      <c r="F28" s="5">
        <f>IF(AND(C_tempo!D22="sì",C28&gt;0),C28,0)</f>
        <v>0</v>
      </c>
    </row>
    <row r="30" spans="1:6" x14ac:dyDescent="0.25">
      <c r="A30" t="s">
        <v>985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23"/>
  <dimension ref="A1:M14"/>
  <sheetViews>
    <sheetView workbookViewId="0">
      <selection activeCell="G15" sqref="G15"/>
    </sheetView>
  </sheetViews>
  <sheetFormatPr defaultRowHeight="13.2" x14ac:dyDescent="0.25"/>
  <cols>
    <col min="2" max="2" width="22.44140625" bestFit="1" customWidth="1"/>
    <col min="3" max="3" width="10.5546875" bestFit="1" customWidth="1"/>
    <col min="10" max="10" width="10.5546875" bestFit="1" customWidth="1"/>
    <col min="12" max="12" width="11" bestFit="1" customWidth="1"/>
    <col min="16" max="16" width="7.6640625" customWidth="1"/>
  </cols>
  <sheetData>
    <row r="1" spans="1:13" x14ac:dyDescent="0.25">
      <c r="A1" s="34" t="s">
        <v>657</v>
      </c>
    </row>
    <row r="2" spans="1:13" x14ac:dyDescent="0.25">
      <c r="A2" t="s">
        <v>496</v>
      </c>
      <c r="H2" s="34" t="s">
        <v>500</v>
      </c>
      <c r="I2" s="167" t="s">
        <v>504</v>
      </c>
      <c r="J2" t="s">
        <v>499</v>
      </c>
    </row>
    <row r="3" spans="1:13" x14ac:dyDescent="0.25">
      <c r="A3" s="177" t="s">
        <v>488</v>
      </c>
      <c r="B3" t="s">
        <v>489</v>
      </c>
      <c r="C3" s="3" t="s">
        <v>497</v>
      </c>
      <c r="D3" s="3" t="s">
        <v>490</v>
      </c>
      <c r="E3" s="3" t="s">
        <v>491</v>
      </c>
      <c r="F3" s="3" t="s">
        <v>492</v>
      </c>
      <c r="H3" s="3">
        <v>1</v>
      </c>
      <c r="I3" s="3">
        <v>3</v>
      </c>
      <c r="J3" s="3" t="s">
        <v>497</v>
      </c>
    </row>
    <row r="4" spans="1:13" x14ac:dyDescent="0.25">
      <c r="A4" s="3">
        <v>1</v>
      </c>
      <c r="B4" t="s">
        <v>493</v>
      </c>
      <c r="C4" s="3">
        <v>0.5</v>
      </c>
      <c r="D4" s="3">
        <v>0.3</v>
      </c>
      <c r="E4" s="3">
        <v>0.2</v>
      </c>
      <c r="F4" s="3">
        <v>0.2</v>
      </c>
      <c r="H4" s="3">
        <v>2</v>
      </c>
      <c r="I4" s="3">
        <v>4</v>
      </c>
      <c r="J4" t="s">
        <v>501</v>
      </c>
    </row>
    <row r="5" spans="1:13" x14ac:dyDescent="0.25">
      <c r="A5" s="3">
        <v>2</v>
      </c>
      <c r="B5" t="s">
        <v>0</v>
      </c>
      <c r="C5" s="3">
        <v>0.3</v>
      </c>
      <c r="D5" s="3">
        <v>0.15</v>
      </c>
      <c r="E5" s="3">
        <v>0.1</v>
      </c>
      <c r="F5" s="3">
        <v>0</v>
      </c>
      <c r="H5" s="3">
        <v>3</v>
      </c>
      <c r="I5" s="3">
        <v>5</v>
      </c>
      <c r="J5" t="s">
        <v>502</v>
      </c>
    </row>
    <row r="6" spans="1:13" x14ac:dyDescent="0.25">
      <c r="A6" s="3">
        <v>3</v>
      </c>
      <c r="B6" t="s">
        <v>494</v>
      </c>
      <c r="C6" s="3">
        <v>0.15</v>
      </c>
      <c r="D6" s="3">
        <v>0.1</v>
      </c>
      <c r="E6" s="3">
        <v>0.05</v>
      </c>
      <c r="F6" s="3">
        <v>0</v>
      </c>
      <c r="H6" s="3">
        <v>4</v>
      </c>
      <c r="I6" s="3">
        <v>6</v>
      </c>
      <c r="J6" t="s">
        <v>503</v>
      </c>
    </row>
    <row r="7" spans="1:13" x14ac:dyDescent="0.25">
      <c r="A7" s="3">
        <v>4</v>
      </c>
      <c r="B7" t="s">
        <v>495</v>
      </c>
      <c r="C7" s="3">
        <v>0</v>
      </c>
      <c r="D7" s="3">
        <v>0</v>
      </c>
      <c r="E7" s="3">
        <v>0</v>
      </c>
      <c r="F7" s="3">
        <v>0</v>
      </c>
    </row>
    <row r="8" spans="1:13" ht="13.8" thickBot="1" x14ac:dyDescent="0.3">
      <c r="H8" t="s">
        <v>241</v>
      </c>
    </row>
    <row r="9" spans="1:13" ht="13.8" thickBot="1" x14ac:dyDescent="0.3">
      <c r="A9" s="190" t="s">
        <v>241</v>
      </c>
      <c r="H9" s="183" t="s">
        <v>500</v>
      </c>
      <c r="I9" s="167"/>
    </row>
    <row r="10" spans="1:13" ht="13.8" thickBot="1" x14ac:dyDescent="0.3">
      <c r="A10" s="197" t="s">
        <v>488</v>
      </c>
      <c r="H10" s="184">
        <f>Codici!AR2</f>
        <v>4</v>
      </c>
      <c r="I10" s="5">
        <f>DGET($H$2:$J$6,2,$H$9:$H$10)</f>
        <v>6</v>
      </c>
      <c r="J10" s="5" t="str">
        <f>DGET($H$2:$J$6,3,$H$9:$H$10)</f>
        <v>saltuario</v>
      </c>
    </row>
    <row r="11" spans="1:13" ht="13.8" thickBot="1" x14ac:dyDescent="0.3">
      <c r="A11" s="184">
        <f>Codici!AP2</f>
        <v>4</v>
      </c>
      <c r="M11" s="200" t="s">
        <v>17</v>
      </c>
    </row>
    <row r="12" spans="1:13" ht="13.8" thickBot="1" x14ac:dyDescent="0.3">
      <c r="A12" s="3"/>
      <c r="C12" s="16"/>
      <c r="D12" s="16" t="s">
        <v>509</v>
      </c>
      <c r="E12" s="16"/>
      <c r="F12" s="16"/>
      <c r="J12" t="s">
        <v>505</v>
      </c>
      <c r="K12" t="s">
        <v>510</v>
      </c>
      <c r="L12" s="181" t="s">
        <v>512</v>
      </c>
      <c r="M12" s="181"/>
    </row>
    <row r="13" spans="1:13" x14ac:dyDescent="0.25">
      <c r="A13">
        <v>1</v>
      </c>
      <c r="B13">
        <f>(A13+1)</f>
        <v>2</v>
      </c>
      <c r="C13">
        <f>(B13+1)</f>
        <v>3</v>
      </c>
      <c r="D13">
        <f>(C13+1)</f>
        <v>4</v>
      </c>
      <c r="E13">
        <f>(D13+1)</f>
        <v>5</v>
      </c>
      <c r="F13">
        <f>(E13+1)</f>
        <v>6</v>
      </c>
      <c r="H13" t="s">
        <v>507</v>
      </c>
      <c r="J13" t="s">
        <v>506</v>
      </c>
      <c r="K13" t="s">
        <v>330</v>
      </c>
      <c r="L13" s="3" t="s">
        <v>513</v>
      </c>
      <c r="M13" t="s">
        <v>514</v>
      </c>
    </row>
    <row r="14" spans="1:13" x14ac:dyDescent="0.25">
      <c r="B14" s="2" t="str">
        <f>DGET($A$3:$F$7,B13,$A$10:$A$11)</f>
        <v>Nessuno</v>
      </c>
      <c r="C14" s="2">
        <f>DGET($A$3:$F$7,C13,$A$10:$A$11)</f>
        <v>0</v>
      </c>
      <c r="D14" s="2">
        <f>DGET($A$3:$F$7,D13,$A$10:$A$11)</f>
        <v>0</v>
      </c>
      <c r="E14" s="2">
        <f>DGET($A$3:$F$7,E13,$A$10:$A$11)</f>
        <v>0</v>
      </c>
      <c r="F14" s="2">
        <f>DGET($A$3:$F$7,F13,$A$10:$A$11)</f>
        <v>0</v>
      </c>
      <c r="H14" t="s">
        <v>508</v>
      </c>
      <c r="J14" s="5">
        <f>HLOOKUP(I10,C13:F14,2)</f>
        <v>0</v>
      </c>
      <c r="K14" s="4">
        <f>Codici!AS2</f>
        <v>0</v>
      </c>
      <c r="L14" s="192">
        <f>(J14*K14)</f>
        <v>0</v>
      </c>
      <c r="M14" s="192">
        <f>(L14*C_tempo!C22)</f>
        <v>0</v>
      </c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26">
    <pageSetUpPr fitToPage="1"/>
  </sheetPr>
  <dimension ref="A1:U31"/>
  <sheetViews>
    <sheetView workbookViewId="0">
      <selection activeCell="K4" activeCellId="1" sqref="K21 K4"/>
    </sheetView>
  </sheetViews>
  <sheetFormatPr defaultRowHeight="13.2" x14ac:dyDescent="0.25"/>
  <cols>
    <col min="3" max="3" width="36.5546875" customWidth="1"/>
    <col min="4" max="4" width="6.6640625" bestFit="1" customWidth="1"/>
    <col min="5" max="5" width="8.6640625" customWidth="1"/>
    <col min="6" max="6" width="7" bestFit="1" customWidth="1"/>
    <col min="7" max="7" width="7.5546875" bestFit="1" customWidth="1"/>
    <col min="8" max="8" width="6.5546875" customWidth="1"/>
    <col min="9" max="9" width="6.33203125" bestFit="1" customWidth="1"/>
    <col min="10" max="10" width="6.6640625" bestFit="1" customWidth="1"/>
    <col min="11" max="11" width="6.33203125" customWidth="1"/>
    <col min="12" max="12" width="5.6640625" customWidth="1"/>
    <col min="13" max="13" width="5.44140625" customWidth="1"/>
    <col min="14" max="14" width="7.33203125" customWidth="1"/>
    <col min="15" max="15" width="6.5546875" customWidth="1"/>
    <col min="16" max="16" width="6" customWidth="1"/>
    <col min="17" max="17" width="6.6640625" customWidth="1"/>
    <col min="18" max="18" width="6.5546875" bestFit="1" customWidth="1"/>
    <col min="19" max="19" width="6.5546875" customWidth="1"/>
    <col min="21" max="21" width="59.33203125" customWidth="1"/>
  </cols>
  <sheetData>
    <row r="1" spans="1:21" x14ac:dyDescent="0.25">
      <c r="A1" s="34" t="s">
        <v>660</v>
      </c>
    </row>
    <row r="3" spans="1:21" ht="39.6" x14ac:dyDescent="0.25">
      <c r="B3" s="195" t="s">
        <v>659</v>
      </c>
      <c r="C3" s="575" t="s">
        <v>460</v>
      </c>
      <c r="D3" s="575" t="s">
        <v>891</v>
      </c>
      <c r="E3" s="576" t="s">
        <v>461</v>
      </c>
      <c r="F3" s="577" t="s">
        <v>462</v>
      </c>
      <c r="G3" s="578" t="s">
        <v>463</v>
      </c>
      <c r="H3" s="579" t="s">
        <v>464</v>
      </c>
      <c r="I3" s="577" t="s">
        <v>465</v>
      </c>
      <c r="J3" s="578" t="s">
        <v>466</v>
      </c>
      <c r="K3" s="579" t="s">
        <v>467</v>
      </c>
      <c r="L3" s="577" t="s">
        <v>468</v>
      </c>
      <c r="M3" s="578" t="s">
        <v>469</v>
      </c>
      <c r="N3" s="579" t="s">
        <v>470</v>
      </c>
      <c r="O3" s="578" t="s">
        <v>471</v>
      </c>
      <c r="P3" s="578" t="s">
        <v>472</v>
      </c>
      <c r="Q3" s="579" t="s">
        <v>473</v>
      </c>
      <c r="R3" s="580" t="s">
        <v>903</v>
      </c>
      <c r="S3" s="577" t="s">
        <v>1293</v>
      </c>
      <c r="T3" s="270" t="s">
        <v>891</v>
      </c>
      <c r="U3" s="271" t="s">
        <v>885</v>
      </c>
    </row>
    <row r="4" spans="1:21" x14ac:dyDescent="0.25">
      <c r="B4" s="581">
        <v>1</v>
      </c>
      <c r="C4" s="564" t="s">
        <v>478</v>
      </c>
      <c r="D4" s="564" t="s">
        <v>890</v>
      </c>
      <c r="E4" s="565">
        <v>3</v>
      </c>
      <c r="F4" s="557">
        <v>65</v>
      </c>
      <c r="G4" s="559">
        <v>65</v>
      </c>
      <c r="H4" s="553">
        <v>65</v>
      </c>
      <c r="I4" s="558">
        <v>12</v>
      </c>
      <c r="J4" s="559">
        <v>12</v>
      </c>
      <c r="K4" s="553">
        <v>12</v>
      </c>
      <c r="L4" s="558">
        <v>9</v>
      </c>
      <c r="M4" s="559">
        <v>9</v>
      </c>
      <c r="N4" s="553">
        <v>9</v>
      </c>
      <c r="O4" s="559">
        <v>10</v>
      </c>
      <c r="P4" s="559">
        <v>10</v>
      </c>
      <c r="Q4" s="553">
        <v>10</v>
      </c>
      <c r="R4" s="552" t="s">
        <v>570</v>
      </c>
      <c r="S4" s="582">
        <v>1</v>
      </c>
      <c r="T4" s="528" t="s">
        <v>889</v>
      </c>
      <c r="U4" s="529" t="s">
        <v>892</v>
      </c>
    </row>
    <row r="5" spans="1:21" x14ac:dyDescent="0.25">
      <c r="B5" s="583">
        <f>(B4+1)</f>
        <v>2</v>
      </c>
      <c r="C5" s="566" t="s">
        <v>1355</v>
      </c>
      <c r="D5" s="566" t="s">
        <v>1239</v>
      </c>
      <c r="E5" s="567">
        <v>7</v>
      </c>
      <c r="F5" s="554">
        <v>20</v>
      </c>
      <c r="G5" s="555">
        <v>24</v>
      </c>
      <c r="H5" s="556">
        <f>AVERAGE(F5:G5)</f>
        <v>22</v>
      </c>
      <c r="I5" s="554">
        <v>3</v>
      </c>
      <c r="J5" s="555">
        <v>9</v>
      </c>
      <c r="K5" s="556">
        <f>AVERAGE(I5:J5)</f>
        <v>6</v>
      </c>
      <c r="L5" s="554">
        <v>4</v>
      </c>
      <c r="M5" s="555">
        <v>4</v>
      </c>
      <c r="N5" s="556">
        <f>AVERAGE(L5:M5)</f>
        <v>4</v>
      </c>
      <c r="O5" s="555">
        <v>4</v>
      </c>
      <c r="P5" s="555">
        <v>10</v>
      </c>
      <c r="Q5" s="556">
        <f>AVERAGE(O5:P5)</f>
        <v>7</v>
      </c>
      <c r="R5" s="552" t="s">
        <v>570</v>
      </c>
      <c r="S5" s="582">
        <v>0</v>
      </c>
      <c r="T5" s="528" t="s">
        <v>887</v>
      </c>
      <c r="U5" s="529" t="s">
        <v>893</v>
      </c>
    </row>
    <row r="6" spans="1:21" ht="26.4" x14ac:dyDescent="0.25">
      <c r="B6" s="583">
        <f t="shared" ref="B6:B24" si="0">(B5+1)</f>
        <v>3</v>
      </c>
      <c r="C6" s="566" t="s">
        <v>1356</v>
      </c>
      <c r="D6" s="566" t="s">
        <v>1343</v>
      </c>
      <c r="E6" s="567">
        <v>7</v>
      </c>
      <c r="F6" s="554">
        <v>20</v>
      </c>
      <c r="G6" s="555">
        <v>24</v>
      </c>
      <c r="H6" s="556">
        <f>AVERAGE(F6:G6)</f>
        <v>22</v>
      </c>
      <c r="I6" s="554">
        <v>3</v>
      </c>
      <c r="J6" s="555">
        <v>9</v>
      </c>
      <c r="K6" s="556">
        <f>AVERAGE(I6:J6)</f>
        <v>6</v>
      </c>
      <c r="L6" s="554">
        <v>4</v>
      </c>
      <c r="M6" s="555">
        <v>4</v>
      </c>
      <c r="N6" s="556">
        <f>AVERAGE(L6:M6)</f>
        <v>4</v>
      </c>
      <c r="O6" s="555">
        <v>4</v>
      </c>
      <c r="P6" s="555">
        <v>10</v>
      </c>
      <c r="Q6" s="556">
        <f>AVERAGE(O6:P6)</f>
        <v>7</v>
      </c>
      <c r="R6" s="552" t="s">
        <v>570</v>
      </c>
      <c r="S6" s="582">
        <v>0</v>
      </c>
      <c r="T6" s="528" t="s">
        <v>888</v>
      </c>
      <c r="U6" s="529" t="s">
        <v>894</v>
      </c>
    </row>
    <row r="7" spans="1:21" x14ac:dyDescent="0.25">
      <c r="B7" s="583">
        <f t="shared" si="0"/>
        <v>4</v>
      </c>
      <c r="C7" s="566" t="s">
        <v>1357</v>
      </c>
      <c r="D7" s="566" t="s">
        <v>1344</v>
      </c>
      <c r="E7" s="567">
        <v>7</v>
      </c>
      <c r="F7" s="554">
        <v>20</v>
      </c>
      <c r="G7" s="555">
        <v>24</v>
      </c>
      <c r="H7" s="556">
        <f>AVERAGE(F7:G7)</f>
        <v>22</v>
      </c>
      <c r="I7" s="554">
        <v>3</v>
      </c>
      <c r="J7" s="555">
        <v>9</v>
      </c>
      <c r="K7" s="556">
        <f>AVERAGE(I7:J7)</f>
        <v>6</v>
      </c>
      <c r="L7" s="554">
        <v>4</v>
      </c>
      <c r="M7" s="555">
        <v>4</v>
      </c>
      <c r="N7" s="556">
        <f>AVERAGE(L7:M7)</f>
        <v>4</v>
      </c>
      <c r="O7" s="555">
        <v>4</v>
      </c>
      <c r="P7" s="555">
        <v>10</v>
      </c>
      <c r="Q7" s="556">
        <f>AVERAGE(O7:P7)</f>
        <v>7</v>
      </c>
      <c r="R7" s="552" t="s">
        <v>570</v>
      </c>
      <c r="S7" s="582">
        <v>0</v>
      </c>
      <c r="T7" s="528" t="s">
        <v>1341</v>
      </c>
      <c r="U7" s="529" t="s">
        <v>1342</v>
      </c>
    </row>
    <row r="8" spans="1:21" ht="26.4" x14ac:dyDescent="0.25">
      <c r="B8" s="583">
        <f t="shared" si="0"/>
        <v>5</v>
      </c>
      <c r="C8" s="566" t="s">
        <v>1358</v>
      </c>
      <c r="D8" s="566" t="s">
        <v>1240</v>
      </c>
      <c r="E8" s="567">
        <v>7</v>
      </c>
      <c r="F8" s="554">
        <v>2</v>
      </c>
      <c r="G8" s="555">
        <v>6</v>
      </c>
      <c r="H8" s="556">
        <f>AVERAGE(F8:G8)</f>
        <v>4</v>
      </c>
      <c r="I8" s="554">
        <v>6</v>
      </c>
      <c r="J8" s="555">
        <v>10</v>
      </c>
      <c r="K8" s="556">
        <f>AVERAGE(I8:J8)</f>
        <v>8</v>
      </c>
      <c r="L8" s="554">
        <v>3</v>
      </c>
      <c r="M8" s="555">
        <v>3</v>
      </c>
      <c r="N8" s="556">
        <f>AVERAGE(L8:M8)</f>
        <v>3</v>
      </c>
      <c r="O8" s="555">
        <v>4</v>
      </c>
      <c r="P8" s="555">
        <v>10</v>
      </c>
      <c r="Q8" s="556">
        <f>AVERAGE(O8:P8)</f>
        <v>7</v>
      </c>
      <c r="R8" s="552" t="s">
        <v>570</v>
      </c>
      <c r="S8" s="582">
        <v>0</v>
      </c>
      <c r="T8" s="528" t="s">
        <v>1345</v>
      </c>
      <c r="U8" s="529" t="s">
        <v>1352</v>
      </c>
    </row>
    <row r="9" spans="1:21" ht="26.4" x14ac:dyDescent="0.25">
      <c r="B9" s="583">
        <f t="shared" si="0"/>
        <v>6</v>
      </c>
      <c r="C9" s="566" t="s">
        <v>1359</v>
      </c>
      <c r="D9" s="566" t="s">
        <v>1347</v>
      </c>
      <c r="E9" s="568">
        <v>2</v>
      </c>
      <c r="F9" s="554">
        <v>30</v>
      </c>
      <c r="G9" s="555">
        <v>40</v>
      </c>
      <c r="H9" s="556">
        <f>AVERAGE(F9:G9)</f>
        <v>35</v>
      </c>
      <c r="I9" s="554">
        <v>2</v>
      </c>
      <c r="J9" s="555">
        <v>8</v>
      </c>
      <c r="K9" s="556">
        <f>AVERAGE(I9:J9)</f>
        <v>5</v>
      </c>
      <c r="L9" s="554">
        <v>5</v>
      </c>
      <c r="M9" s="555">
        <v>5</v>
      </c>
      <c r="N9" s="556">
        <f>AVERAGE(L9:M9)</f>
        <v>5</v>
      </c>
      <c r="O9" s="555">
        <v>4</v>
      </c>
      <c r="P9" s="555">
        <v>10</v>
      </c>
      <c r="Q9" s="556">
        <f>AVERAGE(O9:P9)</f>
        <v>7</v>
      </c>
      <c r="R9" s="552" t="s">
        <v>570</v>
      </c>
      <c r="S9" s="582">
        <v>1</v>
      </c>
      <c r="T9" s="528" t="s">
        <v>1343</v>
      </c>
      <c r="U9" s="529" t="s">
        <v>1353</v>
      </c>
    </row>
    <row r="10" spans="1:21" x14ac:dyDescent="0.25">
      <c r="B10" s="583">
        <f t="shared" si="0"/>
        <v>7</v>
      </c>
      <c r="C10" s="569" t="s">
        <v>479</v>
      </c>
      <c r="D10" s="569" t="s">
        <v>1341</v>
      </c>
      <c r="E10" s="565">
        <v>3</v>
      </c>
      <c r="F10" s="557">
        <v>65</v>
      </c>
      <c r="G10" s="584">
        <v>65</v>
      </c>
      <c r="H10" s="553">
        <v>65</v>
      </c>
      <c r="I10" s="558">
        <v>18</v>
      </c>
      <c r="J10" s="559">
        <v>18</v>
      </c>
      <c r="K10" s="553">
        <v>18</v>
      </c>
      <c r="L10" s="558">
        <v>10</v>
      </c>
      <c r="M10" s="559">
        <v>10</v>
      </c>
      <c r="N10" s="553">
        <v>10</v>
      </c>
      <c r="O10" s="559">
        <v>10</v>
      </c>
      <c r="P10" s="559">
        <v>10</v>
      </c>
      <c r="Q10" s="553">
        <v>10</v>
      </c>
      <c r="R10" s="552" t="s">
        <v>570</v>
      </c>
      <c r="S10" s="582">
        <v>1</v>
      </c>
      <c r="T10" s="528" t="s">
        <v>1344</v>
      </c>
      <c r="U10" s="529" t="s">
        <v>1354</v>
      </c>
    </row>
    <row r="11" spans="1:21" x14ac:dyDescent="0.25">
      <c r="B11" s="583">
        <f t="shared" si="0"/>
        <v>8</v>
      </c>
      <c r="C11" s="569" t="s">
        <v>1774</v>
      </c>
      <c r="D11" s="569" t="s">
        <v>1341</v>
      </c>
      <c r="E11" s="565">
        <v>3</v>
      </c>
      <c r="F11" s="557">
        <v>60</v>
      </c>
      <c r="G11" s="584">
        <v>70</v>
      </c>
      <c r="H11" s="556">
        <f>AVERAGE(F11:G11)</f>
        <v>65</v>
      </c>
      <c r="I11" s="558">
        <v>16</v>
      </c>
      <c r="J11" s="559">
        <v>20</v>
      </c>
      <c r="K11" s="556">
        <f>AVERAGE(I11:J11)</f>
        <v>18</v>
      </c>
      <c r="L11" s="558">
        <v>10</v>
      </c>
      <c r="M11" s="559">
        <v>14</v>
      </c>
      <c r="N11" s="556">
        <f>AVERAGE(L11:M11)</f>
        <v>12</v>
      </c>
      <c r="O11" s="559">
        <v>12</v>
      </c>
      <c r="P11" s="559">
        <v>14</v>
      </c>
      <c r="Q11" s="556">
        <f>AVERAGE(O11:P11)</f>
        <v>13</v>
      </c>
      <c r="R11" s="552" t="s">
        <v>570</v>
      </c>
      <c r="S11" s="582">
        <v>1</v>
      </c>
      <c r="T11" s="528" t="s">
        <v>1240</v>
      </c>
      <c r="U11" s="529" t="s">
        <v>1348</v>
      </c>
    </row>
    <row r="12" spans="1:21" x14ac:dyDescent="0.25">
      <c r="B12" s="583">
        <f t="shared" si="0"/>
        <v>9</v>
      </c>
      <c r="C12" s="569" t="s">
        <v>480</v>
      </c>
      <c r="D12" s="569" t="s">
        <v>1341</v>
      </c>
      <c r="E12" s="565">
        <v>3</v>
      </c>
      <c r="F12" s="557">
        <v>65</v>
      </c>
      <c r="G12" s="584">
        <v>65</v>
      </c>
      <c r="H12" s="553">
        <v>65</v>
      </c>
      <c r="I12" s="558">
        <v>20</v>
      </c>
      <c r="J12" s="559">
        <v>20</v>
      </c>
      <c r="K12" s="553">
        <v>20</v>
      </c>
      <c r="L12" s="558">
        <v>30</v>
      </c>
      <c r="M12" s="559">
        <v>30</v>
      </c>
      <c r="N12" s="553">
        <v>30</v>
      </c>
      <c r="O12" s="559">
        <v>16</v>
      </c>
      <c r="P12" s="559">
        <v>16</v>
      </c>
      <c r="Q12" s="553">
        <v>16</v>
      </c>
      <c r="R12" s="552" t="s">
        <v>570</v>
      </c>
      <c r="S12" s="53">
        <v>1</v>
      </c>
      <c r="T12" s="528" t="s">
        <v>1347</v>
      </c>
      <c r="U12" s="529" t="s">
        <v>1346</v>
      </c>
    </row>
    <row r="13" spans="1:21" x14ac:dyDescent="0.25">
      <c r="B13" s="583">
        <f t="shared" si="0"/>
        <v>10</v>
      </c>
      <c r="C13" s="570" t="s">
        <v>475</v>
      </c>
      <c r="D13" s="564" t="s">
        <v>887</v>
      </c>
      <c r="E13" s="565">
        <v>2</v>
      </c>
      <c r="F13" s="557">
        <v>20</v>
      </c>
      <c r="G13" s="558">
        <v>30</v>
      </c>
      <c r="H13" s="553">
        <v>25</v>
      </c>
      <c r="I13" s="558">
        <v>3</v>
      </c>
      <c r="J13" s="559">
        <v>7</v>
      </c>
      <c r="K13" s="553">
        <v>5</v>
      </c>
      <c r="L13" s="558">
        <v>0.9</v>
      </c>
      <c r="M13" s="559">
        <v>3.9</v>
      </c>
      <c r="N13" s="556">
        <f>AVERAGE(L13:M13)</f>
        <v>2.4</v>
      </c>
      <c r="O13" s="559">
        <v>4</v>
      </c>
      <c r="P13" s="559">
        <v>10</v>
      </c>
      <c r="Q13" s="556">
        <f>AVERAGE(O13:P13)</f>
        <v>7</v>
      </c>
      <c r="R13" s="552" t="s">
        <v>571</v>
      </c>
      <c r="S13" s="53">
        <v>1</v>
      </c>
      <c r="T13" s="528" t="s">
        <v>1337</v>
      </c>
      <c r="U13" s="529" t="s">
        <v>1335</v>
      </c>
    </row>
    <row r="14" spans="1:21" x14ac:dyDescent="0.25">
      <c r="B14" s="583">
        <f t="shared" si="0"/>
        <v>11</v>
      </c>
      <c r="C14" s="570" t="s">
        <v>477</v>
      </c>
      <c r="D14" s="564" t="s">
        <v>889</v>
      </c>
      <c r="E14" s="565">
        <v>2</v>
      </c>
      <c r="F14" s="557">
        <v>22</v>
      </c>
      <c r="G14" s="558">
        <v>40</v>
      </c>
      <c r="H14" s="553">
        <v>31</v>
      </c>
      <c r="I14" s="558">
        <v>6</v>
      </c>
      <c r="J14" s="559">
        <v>11</v>
      </c>
      <c r="K14" s="553">
        <v>8.5</v>
      </c>
      <c r="L14" s="558">
        <v>1.6</v>
      </c>
      <c r="M14" s="559">
        <v>3</v>
      </c>
      <c r="N14" s="556">
        <f>AVERAGE(L14:M14)</f>
        <v>2.2999999999999998</v>
      </c>
      <c r="O14" s="559">
        <v>14</v>
      </c>
      <c r="P14" s="559">
        <v>21.6</v>
      </c>
      <c r="Q14" s="556">
        <f>AVERAGE(O14:P14)</f>
        <v>17.8</v>
      </c>
      <c r="R14" s="552" t="s">
        <v>571</v>
      </c>
      <c r="S14" s="53">
        <v>1</v>
      </c>
      <c r="T14" s="528" t="s">
        <v>890</v>
      </c>
      <c r="U14" s="529" t="s">
        <v>895</v>
      </c>
    </row>
    <row r="15" spans="1:21" x14ac:dyDescent="0.25">
      <c r="B15" s="583">
        <f t="shared" si="0"/>
        <v>12</v>
      </c>
      <c r="C15" s="570" t="s">
        <v>476</v>
      </c>
      <c r="D15" s="564" t="s">
        <v>888</v>
      </c>
      <c r="E15" s="565">
        <v>2</v>
      </c>
      <c r="F15" s="557">
        <v>25</v>
      </c>
      <c r="G15" s="558">
        <v>25</v>
      </c>
      <c r="H15" s="553">
        <v>25</v>
      </c>
      <c r="I15" s="558">
        <v>4.7</v>
      </c>
      <c r="J15" s="559">
        <v>4.7</v>
      </c>
      <c r="K15" s="553">
        <v>4.7</v>
      </c>
      <c r="L15" s="558">
        <v>4.0999999999999996</v>
      </c>
      <c r="M15" s="559">
        <v>4.0999999999999996</v>
      </c>
      <c r="N15" s="553">
        <v>4.0999999999999996</v>
      </c>
      <c r="O15" s="559">
        <v>5.4</v>
      </c>
      <c r="P15" s="559">
        <v>5.4</v>
      </c>
      <c r="Q15" s="553">
        <v>5.4</v>
      </c>
      <c r="R15" s="552" t="s">
        <v>571</v>
      </c>
      <c r="S15" s="53">
        <v>1</v>
      </c>
      <c r="T15" s="530" t="s">
        <v>886</v>
      </c>
      <c r="U15" s="531" t="s">
        <v>474</v>
      </c>
    </row>
    <row r="16" spans="1:21" x14ac:dyDescent="0.25">
      <c r="B16" s="583">
        <f t="shared" si="0"/>
        <v>13</v>
      </c>
      <c r="C16" s="570" t="s">
        <v>482</v>
      </c>
      <c r="D16" s="564" t="s">
        <v>889</v>
      </c>
      <c r="E16" s="565">
        <v>4</v>
      </c>
      <c r="F16" s="557">
        <v>60</v>
      </c>
      <c r="G16" s="558">
        <v>80</v>
      </c>
      <c r="H16" s="553">
        <v>70</v>
      </c>
      <c r="I16" s="558">
        <v>30</v>
      </c>
      <c r="J16" s="559">
        <v>47</v>
      </c>
      <c r="K16" s="553">
        <v>38.5</v>
      </c>
      <c r="L16" s="558">
        <v>29.77</v>
      </c>
      <c r="M16" s="559">
        <v>57.25</v>
      </c>
      <c r="N16" s="556">
        <f>AVERAGE(L16:M16)</f>
        <v>43.51</v>
      </c>
      <c r="O16" s="559">
        <v>16.8</v>
      </c>
      <c r="P16" s="559">
        <v>20.399999999999999</v>
      </c>
      <c r="Q16" s="556">
        <f>AVERAGE(O16:P16)</f>
        <v>18.600000000000001</v>
      </c>
      <c r="R16" s="552" t="s">
        <v>571</v>
      </c>
      <c r="S16" s="53">
        <v>1</v>
      </c>
    </row>
    <row r="17" spans="1:19" x14ac:dyDescent="0.25">
      <c r="B17" s="583">
        <f t="shared" si="0"/>
        <v>14</v>
      </c>
      <c r="C17" s="564" t="s">
        <v>484</v>
      </c>
      <c r="D17" s="564" t="s">
        <v>887</v>
      </c>
      <c r="E17" s="565">
        <v>6</v>
      </c>
      <c r="F17" s="557">
        <v>7</v>
      </c>
      <c r="G17" s="559">
        <v>10</v>
      </c>
      <c r="H17" s="553">
        <v>8.5</v>
      </c>
      <c r="I17" s="558">
        <v>3.2</v>
      </c>
      <c r="J17" s="559">
        <v>4.5</v>
      </c>
      <c r="K17" s="560">
        <f>AVERAGE(I17:J17)</f>
        <v>3.85</v>
      </c>
      <c r="L17" s="558">
        <v>2.2999999999999998</v>
      </c>
      <c r="M17" s="559">
        <v>3.4</v>
      </c>
      <c r="N17" s="560">
        <f>AVERAGE(L17:M17)</f>
        <v>2.8499999999999996</v>
      </c>
      <c r="O17" s="559">
        <v>2.9</v>
      </c>
      <c r="P17" s="559">
        <v>4.7</v>
      </c>
      <c r="Q17" s="556">
        <f>AVERAGE(O17:P17)</f>
        <v>3.8</v>
      </c>
      <c r="R17" s="552" t="s">
        <v>571</v>
      </c>
      <c r="S17" s="53">
        <v>0</v>
      </c>
    </row>
    <row r="18" spans="1:19" x14ac:dyDescent="0.25">
      <c r="B18" s="583">
        <f t="shared" si="0"/>
        <v>15</v>
      </c>
      <c r="C18" s="564" t="s">
        <v>485</v>
      </c>
      <c r="D18" s="564" t="s">
        <v>887</v>
      </c>
      <c r="E18" s="565">
        <v>6</v>
      </c>
      <c r="F18" s="557">
        <v>10</v>
      </c>
      <c r="G18" s="559">
        <v>16</v>
      </c>
      <c r="H18" s="553">
        <v>13</v>
      </c>
      <c r="I18" s="558">
        <v>3.9</v>
      </c>
      <c r="J18" s="559">
        <v>6.3</v>
      </c>
      <c r="K18" s="560">
        <f>AVERAGE(I18:J18)</f>
        <v>5.0999999999999996</v>
      </c>
      <c r="L18" s="558">
        <v>2.2999999999999998</v>
      </c>
      <c r="M18" s="559">
        <v>3.7</v>
      </c>
      <c r="N18" s="560">
        <f>AVERAGE(L18:M18)</f>
        <v>3</v>
      </c>
      <c r="O18" s="559">
        <v>3.8</v>
      </c>
      <c r="P18" s="559">
        <v>6.2</v>
      </c>
      <c r="Q18" s="556">
        <f>AVERAGE(O18:P18)</f>
        <v>5</v>
      </c>
      <c r="R18" s="552" t="s">
        <v>571</v>
      </c>
      <c r="S18" s="53">
        <v>0</v>
      </c>
    </row>
    <row r="19" spans="1:19" x14ac:dyDescent="0.25">
      <c r="B19" s="583">
        <f t="shared" si="0"/>
        <v>16</v>
      </c>
      <c r="C19" s="564" t="s">
        <v>487</v>
      </c>
      <c r="D19" s="564" t="s">
        <v>889</v>
      </c>
      <c r="E19" s="565">
        <v>6</v>
      </c>
      <c r="F19" s="558">
        <v>19</v>
      </c>
      <c r="G19" s="559">
        <v>25</v>
      </c>
      <c r="H19" s="553">
        <v>22</v>
      </c>
      <c r="I19" s="558">
        <v>10</v>
      </c>
      <c r="J19" s="559">
        <v>15</v>
      </c>
      <c r="K19" s="553">
        <v>12.5</v>
      </c>
      <c r="L19" s="558">
        <v>9.1999999999999993</v>
      </c>
      <c r="M19" s="559">
        <v>11.5</v>
      </c>
      <c r="N19" s="560">
        <f>AVERAGE(L19:M19)</f>
        <v>10.35</v>
      </c>
      <c r="O19" s="559">
        <v>3.6</v>
      </c>
      <c r="P19" s="559">
        <v>9</v>
      </c>
      <c r="Q19" s="556">
        <f>AVERAGE(O19:P19)</f>
        <v>6.3</v>
      </c>
      <c r="R19" s="552" t="s">
        <v>571</v>
      </c>
      <c r="S19" s="53">
        <v>0</v>
      </c>
    </row>
    <row r="20" spans="1:19" x14ac:dyDescent="0.25">
      <c r="B20" s="583">
        <f t="shared" si="0"/>
        <v>17</v>
      </c>
      <c r="C20" s="564" t="s">
        <v>486</v>
      </c>
      <c r="D20" s="564" t="s">
        <v>888</v>
      </c>
      <c r="E20" s="565">
        <v>6</v>
      </c>
      <c r="F20" s="557">
        <v>1.5</v>
      </c>
      <c r="G20" s="559">
        <v>6</v>
      </c>
      <c r="H20" s="556">
        <f>AVERAGE(F20:G20)</f>
        <v>3.75</v>
      </c>
      <c r="I20" s="558">
        <v>1.5</v>
      </c>
      <c r="J20" s="559">
        <v>5</v>
      </c>
      <c r="K20" s="560">
        <f>AVERAGE(I20:J20)</f>
        <v>3.25</v>
      </c>
      <c r="L20" s="558">
        <v>1.1000000000000001</v>
      </c>
      <c r="M20" s="559">
        <v>4.5999999999999996</v>
      </c>
      <c r="N20" s="560">
        <f>AVERAGE(L20:M20)</f>
        <v>2.8499999999999996</v>
      </c>
      <c r="O20" s="559">
        <v>1.2</v>
      </c>
      <c r="P20" s="559">
        <v>3.7</v>
      </c>
      <c r="Q20" s="556">
        <f>AVERAGE(O20:P20)</f>
        <v>2.4500000000000002</v>
      </c>
      <c r="R20" s="552" t="s">
        <v>571</v>
      </c>
      <c r="S20" s="53">
        <v>0</v>
      </c>
    </row>
    <row r="21" spans="1:19" x14ac:dyDescent="0.25">
      <c r="B21" s="583">
        <f t="shared" si="0"/>
        <v>18</v>
      </c>
      <c r="C21" s="564" t="s">
        <v>483</v>
      </c>
      <c r="D21" s="564" t="s">
        <v>889</v>
      </c>
      <c r="E21" s="565">
        <v>8</v>
      </c>
      <c r="F21" s="557">
        <v>50</v>
      </c>
      <c r="G21" s="559">
        <v>85</v>
      </c>
      <c r="H21" s="553">
        <v>67.5</v>
      </c>
      <c r="I21" s="558">
        <v>23</v>
      </c>
      <c r="J21" s="559">
        <v>43</v>
      </c>
      <c r="K21" s="553">
        <v>33</v>
      </c>
      <c r="L21" s="558">
        <v>21</v>
      </c>
      <c r="M21" s="559">
        <v>34</v>
      </c>
      <c r="N21" s="553">
        <v>27.5</v>
      </c>
      <c r="O21" s="559">
        <v>17</v>
      </c>
      <c r="P21" s="559">
        <v>30</v>
      </c>
      <c r="Q21" s="553">
        <v>23.5</v>
      </c>
      <c r="R21" s="552" t="s">
        <v>571</v>
      </c>
      <c r="S21" s="53">
        <v>0</v>
      </c>
    </row>
    <row r="22" spans="1:19" x14ac:dyDescent="0.25">
      <c r="B22" s="583">
        <f t="shared" si="0"/>
        <v>19</v>
      </c>
      <c r="C22" s="564" t="s">
        <v>1336</v>
      </c>
      <c r="D22" s="564" t="s">
        <v>1337</v>
      </c>
      <c r="E22" s="571">
        <v>5</v>
      </c>
      <c r="F22" s="557">
        <v>20</v>
      </c>
      <c r="G22" s="559">
        <v>30</v>
      </c>
      <c r="H22" s="553">
        <v>25</v>
      </c>
      <c r="I22" s="558">
        <v>1.4</v>
      </c>
      <c r="J22" s="559">
        <v>4.2</v>
      </c>
      <c r="K22" s="561">
        <f>AVERAGE(I22:J22)</f>
        <v>2.8</v>
      </c>
      <c r="L22" s="558">
        <v>1.25</v>
      </c>
      <c r="M22" s="559">
        <v>3.75</v>
      </c>
      <c r="N22" s="561">
        <f>AVERAGE(L22:M22)</f>
        <v>2.5</v>
      </c>
      <c r="O22" s="559">
        <v>2</v>
      </c>
      <c r="P22" s="559">
        <v>5</v>
      </c>
      <c r="Q22" s="561">
        <f>AVERAGE(O22:P22)</f>
        <v>3.5</v>
      </c>
      <c r="R22" s="552" t="s">
        <v>570</v>
      </c>
      <c r="S22" s="53">
        <v>0</v>
      </c>
    </row>
    <row r="23" spans="1:19" x14ac:dyDescent="0.25">
      <c r="B23" s="583">
        <f t="shared" si="0"/>
        <v>20</v>
      </c>
      <c r="C23" s="569" t="s">
        <v>481</v>
      </c>
      <c r="D23" s="569" t="s">
        <v>1341</v>
      </c>
      <c r="E23" s="565">
        <v>3</v>
      </c>
      <c r="F23" s="557">
        <v>65</v>
      </c>
      <c r="G23" s="584">
        <v>65</v>
      </c>
      <c r="H23" s="553">
        <v>65</v>
      </c>
      <c r="I23" s="558">
        <v>10</v>
      </c>
      <c r="J23" s="559">
        <v>10</v>
      </c>
      <c r="K23" s="553">
        <v>10</v>
      </c>
      <c r="L23" s="558">
        <v>0</v>
      </c>
      <c r="M23" s="559">
        <v>0.9</v>
      </c>
      <c r="N23" s="553">
        <v>0.45</v>
      </c>
      <c r="O23" s="559">
        <v>0</v>
      </c>
      <c r="P23" s="559">
        <v>0.9</v>
      </c>
      <c r="Q23" s="553">
        <v>0.45</v>
      </c>
      <c r="R23" s="552" t="s">
        <v>570</v>
      </c>
      <c r="S23" s="53">
        <v>1</v>
      </c>
    </row>
    <row r="24" spans="1:19" ht="13.8" thickBot="1" x14ac:dyDescent="0.3">
      <c r="B24" s="583">
        <f t="shared" si="0"/>
        <v>21</v>
      </c>
      <c r="C24" s="572" t="s">
        <v>1362</v>
      </c>
      <c r="D24" s="573" t="s">
        <v>886</v>
      </c>
      <c r="E24" s="574">
        <v>1</v>
      </c>
      <c r="F24" s="562">
        <v>0</v>
      </c>
      <c r="G24" s="562">
        <v>0</v>
      </c>
      <c r="H24" s="563">
        <v>0</v>
      </c>
      <c r="I24" s="562">
        <v>0</v>
      </c>
      <c r="J24" s="562">
        <v>0</v>
      </c>
      <c r="K24" s="563">
        <v>0</v>
      </c>
      <c r="L24" s="562">
        <v>0</v>
      </c>
      <c r="M24" s="562">
        <v>0</v>
      </c>
      <c r="N24" s="563">
        <v>0</v>
      </c>
      <c r="O24" s="562">
        <v>0</v>
      </c>
      <c r="P24" s="562">
        <v>0</v>
      </c>
      <c r="Q24" s="563">
        <v>0</v>
      </c>
      <c r="R24" s="585" t="s">
        <v>571</v>
      </c>
      <c r="S24" s="53">
        <v>0</v>
      </c>
    </row>
    <row r="25" spans="1:19" x14ac:dyDescent="0.25">
      <c r="B25" s="586" t="s">
        <v>241</v>
      </c>
      <c r="C25" s="53">
        <v>2</v>
      </c>
      <c r="D25" s="53">
        <v>3</v>
      </c>
      <c r="E25" s="53">
        <v>4</v>
      </c>
      <c r="F25" s="53">
        <v>5</v>
      </c>
      <c r="G25" s="53">
        <v>6</v>
      </c>
      <c r="H25" s="587">
        <v>7</v>
      </c>
      <c r="I25" s="582">
        <v>8</v>
      </c>
      <c r="J25" s="53">
        <v>9</v>
      </c>
      <c r="K25" s="587">
        <v>10</v>
      </c>
      <c r="L25" s="582">
        <v>11</v>
      </c>
      <c r="M25" s="53">
        <v>12</v>
      </c>
      <c r="N25" s="587">
        <v>13</v>
      </c>
      <c r="O25" s="53">
        <v>14</v>
      </c>
      <c r="P25" s="53">
        <v>15</v>
      </c>
      <c r="Q25" s="587">
        <v>16</v>
      </c>
      <c r="R25" s="53">
        <v>17</v>
      </c>
      <c r="S25" s="53">
        <v>18</v>
      </c>
    </row>
    <row r="26" spans="1:19" x14ac:dyDescent="0.25">
      <c r="B26" s="264" t="s">
        <v>659</v>
      </c>
      <c r="R26" s="3"/>
      <c r="S26" s="3"/>
    </row>
    <row r="27" spans="1:19" x14ac:dyDescent="0.25">
      <c r="A27" t="s">
        <v>912</v>
      </c>
      <c r="B27" s="325">
        <v>8</v>
      </c>
      <c r="C27" s="2" t="str">
        <f>DGET($B$3:$Q$24,C25,$B$26:$B$27)</f>
        <v>ammendante compostato misto</v>
      </c>
      <c r="D27" s="5" t="str">
        <f t="shared" ref="D27:Q27" si="1">DGET($B$3:$Q$24,D25,$B$26:$B$27)</f>
        <v>com</v>
      </c>
      <c r="E27" s="5">
        <f t="shared" si="1"/>
        <v>3</v>
      </c>
      <c r="F27" s="5">
        <f t="shared" si="1"/>
        <v>60</v>
      </c>
      <c r="G27" s="5">
        <f t="shared" si="1"/>
        <v>70</v>
      </c>
      <c r="H27" s="5">
        <f t="shared" si="1"/>
        <v>65</v>
      </c>
      <c r="I27" s="5">
        <f t="shared" si="1"/>
        <v>16</v>
      </c>
      <c r="J27" s="5">
        <f t="shared" si="1"/>
        <v>20</v>
      </c>
      <c r="K27" s="5">
        <f t="shared" si="1"/>
        <v>18</v>
      </c>
      <c r="L27" s="5">
        <f t="shared" si="1"/>
        <v>10</v>
      </c>
      <c r="M27" s="5">
        <f t="shared" si="1"/>
        <v>14</v>
      </c>
      <c r="N27" s="5">
        <f t="shared" si="1"/>
        <v>12</v>
      </c>
      <c r="O27" s="5">
        <f t="shared" si="1"/>
        <v>12</v>
      </c>
      <c r="P27" s="5">
        <f t="shared" si="1"/>
        <v>14</v>
      </c>
      <c r="Q27" s="5">
        <f t="shared" si="1"/>
        <v>13</v>
      </c>
      <c r="R27" s="5" t="str">
        <f>DGET($B$3:$R$24,R25,$B$26:$B$27)</f>
        <v>no</v>
      </c>
      <c r="S27" s="5">
        <f>DGET($B$3:$S$24,S25,$B$26:$B$27)</f>
        <v>1</v>
      </c>
    </row>
    <row r="28" spans="1:19" x14ac:dyDescent="0.25">
      <c r="B28" s="264" t="s">
        <v>659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x14ac:dyDescent="0.25">
      <c r="A29" t="s">
        <v>924</v>
      </c>
      <c r="B29" s="325">
        <v>14</v>
      </c>
      <c r="C29" s="2" t="str">
        <f>DGET($B$3:$Q$24,C25,$B28:$B29)</f>
        <v>liquame bovini da carne</v>
      </c>
      <c r="D29" s="5" t="str">
        <f t="shared" ref="D29:Q29" si="2">DGET($B$3:$Q$24,D25,$B28:$B29)</f>
        <v>bov</v>
      </c>
      <c r="E29" s="5">
        <f t="shared" si="2"/>
        <v>6</v>
      </c>
      <c r="F29" s="5">
        <f t="shared" si="2"/>
        <v>7</v>
      </c>
      <c r="G29" s="5">
        <f t="shared" si="2"/>
        <v>10</v>
      </c>
      <c r="H29" s="5">
        <f t="shared" si="2"/>
        <v>8.5</v>
      </c>
      <c r="I29" s="5">
        <f t="shared" si="2"/>
        <v>3.2</v>
      </c>
      <c r="J29" s="5">
        <f t="shared" si="2"/>
        <v>4.5</v>
      </c>
      <c r="K29" s="5">
        <f t="shared" si="2"/>
        <v>3.85</v>
      </c>
      <c r="L29" s="5">
        <f t="shared" si="2"/>
        <v>2.2999999999999998</v>
      </c>
      <c r="M29" s="5">
        <f t="shared" si="2"/>
        <v>3.4</v>
      </c>
      <c r="N29" s="5">
        <f t="shared" si="2"/>
        <v>2.8499999999999996</v>
      </c>
      <c r="O29" s="5">
        <f t="shared" si="2"/>
        <v>2.9</v>
      </c>
      <c r="P29" s="5">
        <f t="shared" si="2"/>
        <v>4.7</v>
      </c>
      <c r="Q29" s="5">
        <f t="shared" si="2"/>
        <v>3.8</v>
      </c>
      <c r="R29" s="5" t="str">
        <f>DGET($B$3:$R$24,R25,$B28:$B29)</f>
        <v>sì</v>
      </c>
      <c r="S29" s="5">
        <f>DGET($B$3:$S$24,S25,$B$28:$B$29)</f>
        <v>0</v>
      </c>
    </row>
    <row r="30" spans="1:19" x14ac:dyDescent="0.25">
      <c r="B30" s="264" t="s">
        <v>659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x14ac:dyDescent="0.25">
      <c r="A31" t="s">
        <v>926</v>
      </c>
      <c r="B31" s="325">
        <v>21</v>
      </c>
      <c r="C31" s="2" t="str">
        <f>DGET($B$3:$R$24,C25,$B30:$B31)</f>
        <v>z nessuno</v>
      </c>
      <c r="D31" s="5" t="str">
        <f t="shared" ref="D31:R31" si="3">DGET($B$3:$R$24,D25,$B30:$B31)</f>
        <v>nn</v>
      </c>
      <c r="E31" s="5">
        <f t="shared" si="3"/>
        <v>1</v>
      </c>
      <c r="F31" s="5">
        <f t="shared" si="3"/>
        <v>0</v>
      </c>
      <c r="G31" s="5">
        <f t="shared" si="3"/>
        <v>0</v>
      </c>
      <c r="H31" s="5">
        <f t="shared" si="3"/>
        <v>0</v>
      </c>
      <c r="I31" s="5">
        <f t="shared" si="3"/>
        <v>0</v>
      </c>
      <c r="J31" s="5">
        <f t="shared" si="3"/>
        <v>0</v>
      </c>
      <c r="K31" s="5">
        <f t="shared" si="3"/>
        <v>0</v>
      </c>
      <c r="L31" s="5">
        <f t="shared" si="3"/>
        <v>0</v>
      </c>
      <c r="M31" s="5">
        <f t="shared" si="3"/>
        <v>0</v>
      </c>
      <c r="N31" s="5">
        <f t="shared" si="3"/>
        <v>0</v>
      </c>
      <c r="O31" s="5">
        <f t="shared" si="3"/>
        <v>0</v>
      </c>
      <c r="P31" s="5">
        <f t="shared" si="3"/>
        <v>0</v>
      </c>
      <c r="Q31" s="5">
        <f t="shared" si="3"/>
        <v>0</v>
      </c>
      <c r="R31" s="5" t="str">
        <f t="shared" si="3"/>
        <v>sì</v>
      </c>
      <c r="S31" s="5">
        <f>DGET($B$3:$S$24,S25,$B$30:$B$31)</f>
        <v>0</v>
      </c>
    </row>
  </sheetData>
  <sheetProtection password="CC0C" sheet="1"/>
  <phoneticPr fontId="2" type="noConversion"/>
  <pageMargins left="0.75" right="0.75" top="1" bottom="1" header="0.5" footer="0.5"/>
  <pageSetup paperSize="8" scale="85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27"/>
  <dimension ref="A1:E20"/>
  <sheetViews>
    <sheetView workbookViewId="0">
      <selection activeCell="E15" sqref="E15"/>
    </sheetView>
  </sheetViews>
  <sheetFormatPr defaultRowHeight="13.2" x14ac:dyDescent="0.25"/>
  <cols>
    <col min="2" max="2" width="30.6640625" customWidth="1"/>
    <col min="3" max="3" width="10.5546875" bestFit="1" customWidth="1"/>
  </cols>
  <sheetData>
    <row r="1" spans="1:5" x14ac:dyDescent="0.25">
      <c r="A1" s="34" t="s">
        <v>658</v>
      </c>
    </row>
    <row r="2" spans="1:5" x14ac:dyDescent="0.25">
      <c r="C2" t="s">
        <v>544</v>
      </c>
    </row>
    <row r="3" spans="1:5" x14ac:dyDescent="0.25">
      <c r="A3" t="s">
        <v>540</v>
      </c>
      <c r="B3" t="s">
        <v>539</v>
      </c>
      <c r="C3" s="3" t="s">
        <v>513</v>
      </c>
    </row>
    <row r="4" spans="1:5" x14ac:dyDescent="0.25">
      <c r="A4">
        <v>1</v>
      </c>
      <c r="B4" t="s">
        <v>541</v>
      </c>
      <c r="C4" s="3">
        <v>20</v>
      </c>
    </row>
    <row r="5" spans="1:5" x14ac:dyDescent="0.25">
      <c r="A5">
        <v>2</v>
      </c>
      <c r="B5" t="s">
        <v>542</v>
      </c>
      <c r="C5" s="3">
        <v>15</v>
      </c>
    </row>
    <row r="6" spans="1:5" x14ac:dyDescent="0.25">
      <c r="A6">
        <v>3</v>
      </c>
      <c r="B6" t="s">
        <v>543</v>
      </c>
      <c r="C6" s="3">
        <v>10</v>
      </c>
    </row>
    <row r="8" spans="1:5" x14ac:dyDescent="0.25">
      <c r="A8" t="s">
        <v>241</v>
      </c>
    </row>
    <row r="9" spans="1:5" x14ac:dyDescent="0.25">
      <c r="A9" t="s">
        <v>540</v>
      </c>
    </row>
    <row r="10" spans="1:5" x14ac:dyDescent="0.25">
      <c r="A10" s="4">
        <f>Codici!AU2</f>
        <v>2</v>
      </c>
    </row>
    <row r="11" spans="1:5" x14ac:dyDescent="0.25">
      <c r="B11" s="2" t="str">
        <f>DGET($A$3:$C$6,2,$A$9:$A$10)</f>
        <v>Pianura isolata</v>
      </c>
      <c r="C11" s="2">
        <f>DGET($A$3:$C$6,3,$A$9:$A$10)</f>
        <v>15</v>
      </c>
    </row>
    <row r="13" spans="1:5" x14ac:dyDescent="0.25">
      <c r="A13" t="s">
        <v>545</v>
      </c>
      <c r="D13" s="5">
        <f>IF(Codici!I2=TRUE,0,(C11*Codici!O2))</f>
        <v>10.050000000000001</v>
      </c>
    </row>
    <row r="14" spans="1:5" x14ac:dyDescent="0.25">
      <c r="A14" s="17" t="s">
        <v>1481</v>
      </c>
      <c r="E14" s="683">
        <f>A!D244</f>
        <v>186.6</v>
      </c>
    </row>
    <row r="15" spans="1:5" x14ac:dyDescent="0.25">
      <c r="A15" t="s">
        <v>534</v>
      </c>
      <c r="B15" s="198"/>
      <c r="E15" s="192">
        <f>(Bilancio!H15+Bilancio!H16+Bilancio!H19-Bilancio!H25-Bilancio!H26-Bilancio!H27-D13)</f>
        <v>142.24599999999998</v>
      </c>
    </row>
    <row r="17" spans="1:4" x14ac:dyDescent="0.25">
      <c r="A17" t="s">
        <v>535</v>
      </c>
      <c r="D17" s="192">
        <f>IF(AND(E15&gt;0,Coltura!E238&gt;0),(E14*Codici!AT2)/100,0)</f>
        <v>0</v>
      </c>
    </row>
    <row r="19" spans="1:4" ht="13.8" thickBot="1" x14ac:dyDescent="0.3">
      <c r="D19" s="193" t="s">
        <v>286</v>
      </c>
    </row>
    <row r="20" spans="1:4" x14ac:dyDescent="0.25">
      <c r="A20" t="s">
        <v>537</v>
      </c>
      <c r="D20" s="192">
        <f>(D13+D17)</f>
        <v>10.050000000000001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28"/>
  <dimension ref="A1:V227"/>
  <sheetViews>
    <sheetView workbookViewId="0">
      <selection activeCell="T9" sqref="T9"/>
    </sheetView>
  </sheetViews>
  <sheetFormatPr defaultRowHeight="13.2" x14ac:dyDescent="0.25"/>
  <cols>
    <col min="2" max="2" width="8.33203125" customWidth="1"/>
    <col min="3" max="3" width="6.33203125" customWidth="1"/>
    <col min="4" max="4" width="8.6640625" customWidth="1"/>
    <col min="5" max="5" width="9" customWidth="1"/>
    <col min="6" max="6" width="10" bestFit="1" customWidth="1"/>
    <col min="7" max="8" width="9" customWidth="1"/>
    <col min="18" max="18" width="16.33203125" customWidth="1"/>
  </cols>
  <sheetData>
    <row r="1" spans="1:22" x14ac:dyDescent="0.25">
      <c r="A1" s="34" t="s">
        <v>883</v>
      </c>
      <c r="I1" t="s">
        <v>882</v>
      </c>
    </row>
    <row r="2" spans="1:22" ht="34.799999999999997" x14ac:dyDescent="0.25">
      <c r="B2" s="248" t="s">
        <v>881</v>
      </c>
      <c r="C2" s="248" t="s">
        <v>834</v>
      </c>
      <c r="D2" s="248" t="s">
        <v>885</v>
      </c>
      <c r="E2" s="249" t="s">
        <v>880</v>
      </c>
      <c r="F2" s="34"/>
      <c r="G2" s="34"/>
      <c r="H2" s="34"/>
      <c r="I2" s="205"/>
      <c r="J2" s="230" t="s">
        <v>257</v>
      </c>
      <c r="K2" s="231"/>
      <c r="L2" s="205"/>
      <c r="M2" s="230" t="s">
        <v>267</v>
      </c>
      <c r="N2" s="231"/>
      <c r="O2" s="205"/>
      <c r="P2" s="230" t="s">
        <v>281</v>
      </c>
      <c r="Q2" s="231"/>
    </row>
    <row r="3" spans="1:22" x14ac:dyDescent="0.25">
      <c r="B3" s="177" t="s">
        <v>316</v>
      </c>
      <c r="C3" s="247" t="s">
        <v>878</v>
      </c>
      <c r="D3" s="261" t="s">
        <v>891</v>
      </c>
      <c r="E3" s="243" t="s">
        <v>879</v>
      </c>
      <c r="F3" s="243" t="s">
        <v>681</v>
      </c>
      <c r="G3" s="241"/>
      <c r="H3" s="241" t="s">
        <v>880</v>
      </c>
      <c r="I3" s="3" t="s">
        <v>346</v>
      </c>
      <c r="J3" s="3" t="s">
        <v>347</v>
      </c>
      <c r="K3" s="3" t="s">
        <v>683</v>
      </c>
      <c r="L3" s="3" t="s">
        <v>346</v>
      </c>
      <c r="M3" s="3" t="s">
        <v>347</v>
      </c>
      <c r="N3" s="3" t="s">
        <v>683</v>
      </c>
      <c r="O3" s="3" t="s">
        <v>346</v>
      </c>
      <c r="P3" s="3" t="s">
        <v>347</v>
      </c>
      <c r="Q3" s="3" t="s">
        <v>683</v>
      </c>
    </row>
    <row r="4" spans="1:22" ht="13.2" customHeight="1" x14ac:dyDescent="0.25">
      <c r="B4" s="3">
        <v>1</v>
      </c>
      <c r="C4" s="79">
        <v>3</v>
      </c>
      <c r="D4" s="110" t="s">
        <v>889</v>
      </c>
      <c r="E4" s="3">
        <v>1</v>
      </c>
      <c r="F4" s="245">
        <f>I$4</f>
        <v>90.85</v>
      </c>
      <c r="G4" s="3"/>
      <c r="H4" s="3"/>
      <c r="I4" s="250">
        <f>(I10*1.15)</f>
        <v>90.85</v>
      </c>
      <c r="J4" s="251">
        <f t="shared" ref="J4:Q4" si="0">(J10*1.15)</f>
        <v>83.949999999999989</v>
      </c>
      <c r="K4" s="252">
        <f t="shared" si="0"/>
        <v>77.05</v>
      </c>
      <c r="L4" s="251">
        <f t="shared" si="0"/>
        <v>81.649999999999991</v>
      </c>
      <c r="M4" s="251">
        <f t="shared" si="0"/>
        <v>74.75</v>
      </c>
      <c r="N4" s="252">
        <f t="shared" si="0"/>
        <v>66.699999999999989</v>
      </c>
      <c r="O4" s="251">
        <f t="shared" si="0"/>
        <v>72.449999999999989</v>
      </c>
      <c r="P4" s="251">
        <f t="shared" si="0"/>
        <v>65.55</v>
      </c>
      <c r="Q4" s="251">
        <f t="shared" si="0"/>
        <v>57.499999999999993</v>
      </c>
      <c r="R4" s="1118" t="s">
        <v>889</v>
      </c>
    </row>
    <row r="5" spans="1:22" x14ac:dyDescent="0.25">
      <c r="B5" s="3">
        <v>1</v>
      </c>
      <c r="C5" s="79">
        <v>2</v>
      </c>
      <c r="D5" s="110" t="s">
        <v>889</v>
      </c>
      <c r="E5" s="3">
        <v>1</v>
      </c>
      <c r="F5" s="245">
        <f>I$5</f>
        <v>65.55</v>
      </c>
      <c r="G5" s="3"/>
      <c r="H5" s="3"/>
      <c r="I5" s="253">
        <f t="shared" ref="I5:Q6" si="1">(I11*1.15)</f>
        <v>65.55</v>
      </c>
      <c r="J5" s="232">
        <f t="shared" si="1"/>
        <v>60.949999999999996</v>
      </c>
      <c r="K5" s="233">
        <f t="shared" si="1"/>
        <v>55.199999999999996</v>
      </c>
      <c r="L5" s="232">
        <f t="shared" si="1"/>
        <v>59.8</v>
      </c>
      <c r="M5" s="232">
        <f t="shared" si="1"/>
        <v>55.199999999999996</v>
      </c>
      <c r="N5" s="233">
        <f t="shared" si="1"/>
        <v>49.449999999999996</v>
      </c>
      <c r="O5" s="232">
        <f t="shared" si="1"/>
        <v>52.9</v>
      </c>
      <c r="P5" s="232">
        <f t="shared" si="1"/>
        <v>48.3</v>
      </c>
      <c r="Q5" s="232">
        <f t="shared" si="1"/>
        <v>43.699999999999996</v>
      </c>
      <c r="R5" s="1119"/>
      <c r="S5" s="3"/>
      <c r="T5" s="3"/>
    </row>
    <row r="6" spans="1:22" x14ac:dyDescent="0.25">
      <c r="B6" s="3">
        <v>1</v>
      </c>
      <c r="C6" s="79">
        <v>1</v>
      </c>
      <c r="D6" s="110" t="s">
        <v>889</v>
      </c>
      <c r="E6" s="3">
        <v>1</v>
      </c>
      <c r="F6" s="245">
        <f>I$6</f>
        <v>40.25</v>
      </c>
      <c r="G6" s="3"/>
      <c r="H6" s="3"/>
      <c r="I6" s="253">
        <f t="shared" si="1"/>
        <v>40.25</v>
      </c>
      <c r="J6" s="232">
        <f t="shared" si="1"/>
        <v>37.949999999999996</v>
      </c>
      <c r="K6" s="233">
        <f t="shared" si="1"/>
        <v>33.349999999999994</v>
      </c>
      <c r="L6" s="232">
        <f t="shared" si="1"/>
        <v>37.949999999999996</v>
      </c>
      <c r="M6" s="232">
        <f t="shared" si="1"/>
        <v>35.65</v>
      </c>
      <c r="N6" s="233">
        <f t="shared" si="1"/>
        <v>32.199999999999996</v>
      </c>
      <c r="O6" s="232">
        <f t="shared" si="1"/>
        <v>33.349999999999994</v>
      </c>
      <c r="P6" s="232">
        <f t="shared" si="1"/>
        <v>32.199999999999996</v>
      </c>
      <c r="Q6" s="232">
        <f t="shared" si="1"/>
        <v>28.749999999999996</v>
      </c>
      <c r="R6" s="1120"/>
      <c r="S6" s="3"/>
      <c r="T6" s="3"/>
      <c r="U6" s="3"/>
      <c r="V6" s="3"/>
    </row>
    <row r="7" spans="1:22" ht="13.2" customHeight="1" x14ac:dyDescent="0.25">
      <c r="B7" s="3">
        <v>1</v>
      </c>
      <c r="C7" s="79">
        <v>3</v>
      </c>
      <c r="D7" s="110" t="s">
        <v>887</v>
      </c>
      <c r="E7" s="3">
        <v>1</v>
      </c>
      <c r="F7" s="245">
        <f>I$7</f>
        <v>67.149999999999991</v>
      </c>
      <c r="G7" s="3"/>
      <c r="H7" s="3"/>
      <c r="I7" s="250">
        <f>(I10*0.85)</f>
        <v>67.149999999999991</v>
      </c>
      <c r="J7" s="251">
        <f t="shared" ref="J7:Q7" si="2">(J10*0.85)</f>
        <v>62.05</v>
      </c>
      <c r="K7" s="252">
        <f t="shared" si="2"/>
        <v>56.949999999999996</v>
      </c>
      <c r="L7" s="251">
        <f t="shared" si="2"/>
        <v>60.35</v>
      </c>
      <c r="M7" s="251">
        <f t="shared" si="2"/>
        <v>55.25</v>
      </c>
      <c r="N7" s="252">
        <f t="shared" si="2"/>
        <v>49.3</v>
      </c>
      <c r="O7" s="251">
        <f t="shared" si="2"/>
        <v>53.55</v>
      </c>
      <c r="P7" s="251">
        <f t="shared" si="2"/>
        <v>48.449999999999996</v>
      </c>
      <c r="Q7" s="251">
        <f t="shared" si="2"/>
        <v>42.5</v>
      </c>
      <c r="R7" s="1118" t="s">
        <v>887</v>
      </c>
    </row>
    <row r="8" spans="1:22" x14ac:dyDescent="0.25">
      <c r="B8" s="3">
        <v>1</v>
      </c>
      <c r="C8" s="79">
        <v>2</v>
      </c>
      <c r="D8" s="110" t="s">
        <v>887</v>
      </c>
      <c r="E8" s="3">
        <v>1</v>
      </c>
      <c r="F8" s="245">
        <f>I$8</f>
        <v>48.449999999999996</v>
      </c>
      <c r="G8" s="3"/>
      <c r="H8" s="3"/>
      <c r="I8" s="253">
        <f t="shared" ref="I8:Q9" si="3">(I11*0.85)</f>
        <v>48.449999999999996</v>
      </c>
      <c r="J8" s="232">
        <f t="shared" si="3"/>
        <v>45.05</v>
      </c>
      <c r="K8" s="233">
        <f t="shared" si="3"/>
        <v>40.799999999999997</v>
      </c>
      <c r="L8" s="232">
        <f t="shared" si="3"/>
        <v>44.199999999999996</v>
      </c>
      <c r="M8" s="232">
        <f t="shared" si="3"/>
        <v>40.799999999999997</v>
      </c>
      <c r="N8" s="233">
        <f t="shared" si="3"/>
        <v>36.549999999999997</v>
      </c>
      <c r="O8" s="232">
        <f t="shared" si="3"/>
        <v>39.1</v>
      </c>
      <c r="P8" s="232">
        <f t="shared" si="3"/>
        <v>35.699999999999996</v>
      </c>
      <c r="Q8" s="232">
        <f t="shared" si="3"/>
        <v>32.299999999999997</v>
      </c>
      <c r="R8" s="1119" t="s">
        <v>601</v>
      </c>
    </row>
    <row r="9" spans="1:22" x14ac:dyDescent="0.25">
      <c r="B9" s="3">
        <v>1</v>
      </c>
      <c r="C9" s="79">
        <v>1</v>
      </c>
      <c r="D9" s="110" t="s">
        <v>887</v>
      </c>
      <c r="E9" s="3">
        <v>1</v>
      </c>
      <c r="F9" s="245">
        <f>I$9</f>
        <v>29.75</v>
      </c>
      <c r="G9" s="3"/>
      <c r="H9" s="3"/>
      <c r="I9" s="253">
        <f t="shared" si="3"/>
        <v>29.75</v>
      </c>
      <c r="J9" s="232">
        <f t="shared" si="3"/>
        <v>28.05</v>
      </c>
      <c r="K9" s="233">
        <f t="shared" si="3"/>
        <v>24.65</v>
      </c>
      <c r="L9" s="232">
        <f t="shared" si="3"/>
        <v>28.05</v>
      </c>
      <c r="M9" s="232">
        <f t="shared" si="3"/>
        <v>26.349999999999998</v>
      </c>
      <c r="N9" s="233">
        <f t="shared" si="3"/>
        <v>23.8</v>
      </c>
      <c r="O9" s="232">
        <f t="shared" si="3"/>
        <v>24.65</v>
      </c>
      <c r="P9" s="232">
        <f t="shared" si="3"/>
        <v>23.8</v>
      </c>
      <c r="Q9" s="232">
        <f t="shared" si="3"/>
        <v>21.25</v>
      </c>
      <c r="R9" s="1120" t="s">
        <v>884</v>
      </c>
    </row>
    <row r="10" spans="1:22" ht="13.2" customHeight="1" x14ac:dyDescent="0.25">
      <c r="B10" s="3">
        <v>1</v>
      </c>
      <c r="C10" s="79">
        <v>3</v>
      </c>
      <c r="D10" s="110" t="s">
        <v>888</v>
      </c>
      <c r="E10" s="3">
        <v>1</v>
      </c>
      <c r="F10" s="245">
        <f>I$10</f>
        <v>79</v>
      </c>
      <c r="G10" s="3"/>
      <c r="H10" s="3"/>
      <c r="I10" s="254">
        <v>79</v>
      </c>
      <c r="J10" s="255">
        <v>73</v>
      </c>
      <c r="K10" s="256">
        <v>67</v>
      </c>
      <c r="L10" s="255">
        <v>71</v>
      </c>
      <c r="M10" s="255">
        <v>65</v>
      </c>
      <c r="N10" s="256">
        <v>58</v>
      </c>
      <c r="O10" s="255">
        <v>63</v>
      </c>
      <c r="P10" s="255">
        <v>57</v>
      </c>
      <c r="Q10" s="255">
        <v>50</v>
      </c>
      <c r="R10" s="1117" t="s">
        <v>888</v>
      </c>
    </row>
    <row r="11" spans="1:22" x14ac:dyDescent="0.25">
      <c r="B11" s="3">
        <v>1</v>
      </c>
      <c r="C11" s="79">
        <v>2</v>
      </c>
      <c r="D11" s="110" t="s">
        <v>888</v>
      </c>
      <c r="E11" s="3">
        <v>1</v>
      </c>
      <c r="F11" s="245">
        <f>I$11</f>
        <v>57</v>
      </c>
      <c r="G11" s="3"/>
      <c r="H11" s="3"/>
      <c r="I11" s="257">
        <v>57</v>
      </c>
      <c r="J11" s="234">
        <v>53</v>
      </c>
      <c r="K11" s="235">
        <v>48</v>
      </c>
      <c r="L11" s="234">
        <v>52</v>
      </c>
      <c r="M11" s="234">
        <v>48</v>
      </c>
      <c r="N11" s="235">
        <v>43</v>
      </c>
      <c r="O11" s="234">
        <v>46</v>
      </c>
      <c r="P11" s="234">
        <v>42</v>
      </c>
      <c r="Q11" s="234">
        <v>38</v>
      </c>
      <c r="R11" s="1115" t="s">
        <v>599</v>
      </c>
    </row>
    <row r="12" spans="1:22" x14ac:dyDescent="0.25">
      <c r="B12" s="3">
        <v>1</v>
      </c>
      <c r="C12" s="79">
        <v>1</v>
      </c>
      <c r="D12" s="110" t="s">
        <v>888</v>
      </c>
      <c r="E12" s="3">
        <v>1</v>
      </c>
      <c r="F12" s="245">
        <f>I$12</f>
        <v>35</v>
      </c>
      <c r="G12" s="3"/>
      <c r="H12" s="3"/>
      <c r="I12" s="258">
        <v>35</v>
      </c>
      <c r="J12" s="259">
        <v>33</v>
      </c>
      <c r="K12" s="260">
        <v>29</v>
      </c>
      <c r="L12" s="259">
        <v>33</v>
      </c>
      <c r="M12" s="259">
        <v>31</v>
      </c>
      <c r="N12" s="260">
        <v>28</v>
      </c>
      <c r="O12" s="259">
        <v>29</v>
      </c>
      <c r="P12" s="259">
        <v>28</v>
      </c>
      <c r="Q12" s="259">
        <v>25</v>
      </c>
      <c r="R12" s="1116" t="s">
        <v>598</v>
      </c>
    </row>
    <row r="13" spans="1:22" ht="13.2" customHeight="1" x14ac:dyDescent="0.25">
      <c r="B13" s="3">
        <v>1</v>
      </c>
      <c r="C13" s="79">
        <v>3</v>
      </c>
      <c r="D13" s="277" t="s">
        <v>1239</v>
      </c>
      <c r="E13" s="3">
        <v>1</v>
      </c>
      <c r="F13" s="245">
        <f>I$13</f>
        <v>67.149999999999991</v>
      </c>
      <c r="H13" s="3"/>
      <c r="I13" s="254">
        <v>67.149999999999991</v>
      </c>
      <c r="J13" s="255">
        <v>62.05</v>
      </c>
      <c r="K13" s="256">
        <v>56.949999999999996</v>
      </c>
      <c r="L13" s="255">
        <v>60.35</v>
      </c>
      <c r="M13" s="255">
        <v>55.25</v>
      </c>
      <c r="N13" s="256">
        <v>49.3</v>
      </c>
      <c r="O13" s="255">
        <v>53.55</v>
      </c>
      <c r="P13" s="255">
        <v>48.449999999999996</v>
      </c>
      <c r="Q13" s="255">
        <v>42.5</v>
      </c>
      <c r="R13" s="1117" t="s">
        <v>1239</v>
      </c>
    </row>
    <row r="14" spans="1:22" x14ac:dyDescent="0.25">
      <c r="B14" s="3">
        <v>1</v>
      </c>
      <c r="C14" s="79">
        <v>2</v>
      </c>
      <c r="D14" s="277" t="s">
        <v>1239</v>
      </c>
      <c r="E14" s="3">
        <v>1</v>
      </c>
      <c r="F14" s="245">
        <f>I$14</f>
        <v>48.449999999999996</v>
      </c>
      <c r="H14" s="3"/>
      <c r="I14" s="257">
        <v>48.449999999999996</v>
      </c>
      <c r="J14" s="234">
        <v>45.05</v>
      </c>
      <c r="K14" s="235">
        <v>40.799999999999997</v>
      </c>
      <c r="L14" s="234">
        <v>44.199999999999996</v>
      </c>
      <c r="M14" s="234">
        <v>40.799999999999997</v>
      </c>
      <c r="N14" s="235">
        <v>36.549999999999997</v>
      </c>
      <c r="O14" s="234">
        <v>39.1</v>
      </c>
      <c r="P14" s="234">
        <v>35.699999999999996</v>
      </c>
      <c r="Q14" s="234">
        <v>32.299999999999997</v>
      </c>
      <c r="R14" s="1115" t="s">
        <v>598</v>
      </c>
    </row>
    <row r="15" spans="1:22" x14ac:dyDescent="0.25">
      <c r="B15" s="3">
        <v>1</v>
      </c>
      <c r="C15" s="79">
        <v>1</v>
      </c>
      <c r="D15" s="277" t="s">
        <v>1239</v>
      </c>
      <c r="E15" s="3">
        <v>1</v>
      </c>
      <c r="F15" s="245">
        <f>I$15</f>
        <v>29.75</v>
      </c>
      <c r="H15" s="3"/>
      <c r="I15" s="258">
        <v>29.75</v>
      </c>
      <c r="J15" s="259">
        <v>28.05</v>
      </c>
      <c r="K15" s="260">
        <v>24.65</v>
      </c>
      <c r="L15" s="259">
        <v>28.05</v>
      </c>
      <c r="M15" s="259">
        <v>26.349999999999998</v>
      </c>
      <c r="N15" s="260">
        <v>23.8</v>
      </c>
      <c r="O15" s="259">
        <v>24.65</v>
      </c>
      <c r="P15" s="259">
        <v>23.8</v>
      </c>
      <c r="Q15" s="259">
        <v>21.25</v>
      </c>
      <c r="R15" s="1116" t="s">
        <v>896</v>
      </c>
    </row>
    <row r="16" spans="1:22" ht="13.2" customHeight="1" x14ac:dyDescent="0.25">
      <c r="B16" s="3">
        <v>1</v>
      </c>
      <c r="C16" s="79">
        <v>3</v>
      </c>
      <c r="D16" s="262" t="s">
        <v>1343</v>
      </c>
      <c r="E16" s="3">
        <v>1</v>
      </c>
      <c r="F16" s="245">
        <f>I$16</f>
        <v>79</v>
      </c>
      <c r="H16" s="3"/>
      <c r="I16" s="254">
        <v>79</v>
      </c>
      <c r="J16" s="255">
        <v>73</v>
      </c>
      <c r="K16" s="256">
        <v>67</v>
      </c>
      <c r="L16" s="255">
        <v>71</v>
      </c>
      <c r="M16" s="255">
        <v>65</v>
      </c>
      <c r="N16" s="256">
        <v>58</v>
      </c>
      <c r="O16" s="255">
        <v>63</v>
      </c>
      <c r="P16" s="255">
        <v>57</v>
      </c>
      <c r="Q16" s="255">
        <v>50</v>
      </c>
      <c r="R16" s="1117" t="s">
        <v>1343</v>
      </c>
    </row>
    <row r="17" spans="2:18" x14ac:dyDescent="0.25">
      <c r="B17" s="3">
        <v>1</v>
      </c>
      <c r="C17" s="79">
        <v>2</v>
      </c>
      <c r="D17" s="262" t="s">
        <v>1343</v>
      </c>
      <c r="E17" s="3">
        <v>1</v>
      </c>
      <c r="F17" s="245">
        <f>I$17</f>
        <v>57</v>
      </c>
      <c r="H17" s="3"/>
      <c r="I17" s="257">
        <v>57</v>
      </c>
      <c r="J17" s="234">
        <v>53</v>
      </c>
      <c r="K17" s="235">
        <v>48</v>
      </c>
      <c r="L17" s="234">
        <v>52</v>
      </c>
      <c r="M17" s="234">
        <v>48</v>
      </c>
      <c r="N17" s="235">
        <v>43</v>
      </c>
      <c r="O17" s="234">
        <v>46</v>
      </c>
      <c r="P17" s="234">
        <v>42</v>
      </c>
      <c r="Q17" s="234">
        <v>38</v>
      </c>
      <c r="R17" s="1115" t="s">
        <v>599</v>
      </c>
    </row>
    <row r="18" spans="2:18" x14ac:dyDescent="0.25">
      <c r="B18" s="3">
        <v>1</v>
      </c>
      <c r="C18" s="79">
        <v>1</v>
      </c>
      <c r="D18" s="262" t="s">
        <v>1343</v>
      </c>
      <c r="E18" s="3">
        <v>1</v>
      </c>
      <c r="F18" s="245">
        <f>I$18</f>
        <v>35</v>
      </c>
      <c r="H18" s="3"/>
      <c r="I18" s="258">
        <v>35</v>
      </c>
      <c r="J18" s="259">
        <v>33</v>
      </c>
      <c r="K18" s="260">
        <v>29</v>
      </c>
      <c r="L18" s="259">
        <v>33</v>
      </c>
      <c r="M18" s="259">
        <v>31</v>
      </c>
      <c r="N18" s="260">
        <v>28</v>
      </c>
      <c r="O18" s="259">
        <v>29</v>
      </c>
      <c r="P18" s="259">
        <v>28</v>
      </c>
      <c r="Q18" s="259">
        <v>25</v>
      </c>
      <c r="R18" s="1116" t="s">
        <v>598</v>
      </c>
    </row>
    <row r="19" spans="2:18" ht="13.2" customHeight="1" x14ac:dyDescent="0.25">
      <c r="B19" s="3">
        <v>1</v>
      </c>
      <c r="C19" s="79">
        <v>3</v>
      </c>
      <c r="D19" s="262" t="s">
        <v>1344</v>
      </c>
      <c r="E19" s="3">
        <v>1</v>
      </c>
      <c r="F19" s="245">
        <f>I$19</f>
        <v>90.85</v>
      </c>
      <c r="H19" s="3"/>
      <c r="I19" s="254">
        <v>90.85</v>
      </c>
      <c r="J19" s="255">
        <v>83.949999999999989</v>
      </c>
      <c r="K19" s="256">
        <v>77.05</v>
      </c>
      <c r="L19" s="255">
        <v>81.649999999999991</v>
      </c>
      <c r="M19" s="255">
        <v>74.75</v>
      </c>
      <c r="N19" s="256">
        <v>66.699999999999989</v>
      </c>
      <c r="O19" s="255">
        <v>72.449999999999989</v>
      </c>
      <c r="P19" s="255">
        <v>65.55</v>
      </c>
      <c r="Q19" s="255">
        <v>57.499999999999993</v>
      </c>
      <c r="R19" s="1117" t="s">
        <v>1344</v>
      </c>
    </row>
    <row r="20" spans="2:18" x14ac:dyDescent="0.25">
      <c r="B20" s="3">
        <v>1</v>
      </c>
      <c r="C20" s="79">
        <v>2</v>
      </c>
      <c r="D20" s="262" t="s">
        <v>1344</v>
      </c>
      <c r="E20" s="3">
        <v>1</v>
      </c>
      <c r="F20" s="245">
        <f>I$20</f>
        <v>65.55</v>
      </c>
      <c r="H20" s="3"/>
      <c r="I20" s="257">
        <v>65.55</v>
      </c>
      <c r="J20" s="234">
        <v>60.949999999999996</v>
      </c>
      <c r="K20" s="235">
        <v>55.199999999999996</v>
      </c>
      <c r="L20" s="234">
        <v>59.8</v>
      </c>
      <c r="M20" s="234">
        <v>55.199999999999996</v>
      </c>
      <c r="N20" s="235">
        <v>49.449999999999996</v>
      </c>
      <c r="O20" s="234">
        <v>52.9</v>
      </c>
      <c r="P20" s="234">
        <v>48.3</v>
      </c>
      <c r="Q20" s="234">
        <v>43.699999999999996</v>
      </c>
      <c r="R20" s="1115" t="s">
        <v>598</v>
      </c>
    </row>
    <row r="21" spans="2:18" x14ac:dyDescent="0.25">
      <c r="B21" s="3">
        <v>1</v>
      </c>
      <c r="C21" s="79">
        <v>1</v>
      </c>
      <c r="D21" s="262" t="s">
        <v>1344</v>
      </c>
      <c r="E21" s="3">
        <v>1</v>
      </c>
      <c r="F21" s="245">
        <f>I$21</f>
        <v>40.25</v>
      </c>
      <c r="H21" s="3"/>
      <c r="I21" s="258">
        <v>40.25</v>
      </c>
      <c r="J21" s="259">
        <v>37.949999999999996</v>
      </c>
      <c r="K21" s="260">
        <v>33.349999999999994</v>
      </c>
      <c r="L21" s="259">
        <v>37.949999999999996</v>
      </c>
      <c r="M21" s="259">
        <v>35.65</v>
      </c>
      <c r="N21" s="260">
        <v>32.199999999999996</v>
      </c>
      <c r="O21" s="259">
        <v>33.349999999999994</v>
      </c>
      <c r="P21" s="259">
        <v>32.199999999999996</v>
      </c>
      <c r="Q21" s="259">
        <v>28.749999999999996</v>
      </c>
      <c r="R21" s="1116" t="s">
        <v>896</v>
      </c>
    </row>
    <row r="22" spans="2:18" ht="13.2" customHeight="1" x14ac:dyDescent="0.25">
      <c r="B22" s="3">
        <v>1</v>
      </c>
      <c r="C22" s="79">
        <v>3</v>
      </c>
      <c r="D22" s="277" t="s">
        <v>1240</v>
      </c>
      <c r="E22" s="3">
        <v>1</v>
      </c>
      <c r="F22" s="245">
        <f>I$22</f>
        <v>90.85</v>
      </c>
      <c r="I22" s="254">
        <v>90.85</v>
      </c>
      <c r="J22" s="255">
        <v>83.949999999999989</v>
      </c>
      <c r="K22" s="256">
        <v>77.05</v>
      </c>
      <c r="L22" s="255">
        <v>81.649999999999991</v>
      </c>
      <c r="M22" s="255">
        <v>74.75</v>
      </c>
      <c r="N22" s="256">
        <v>66.699999999999989</v>
      </c>
      <c r="O22" s="255">
        <v>72.449999999999989</v>
      </c>
      <c r="P22" s="255">
        <v>65.55</v>
      </c>
      <c r="Q22" s="255">
        <v>57.499999999999993</v>
      </c>
      <c r="R22" s="1114" t="s">
        <v>1361</v>
      </c>
    </row>
    <row r="23" spans="2:18" x14ac:dyDescent="0.25">
      <c r="B23" s="3">
        <v>1</v>
      </c>
      <c r="C23" s="79">
        <v>2</v>
      </c>
      <c r="D23" s="277" t="s">
        <v>1240</v>
      </c>
      <c r="E23" s="3">
        <v>1</v>
      </c>
      <c r="F23" s="245">
        <f>I$23</f>
        <v>65.55</v>
      </c>
      <c r="I23" s="257">
        <v>65.55</v>
      </c>
      <c r="J23" s="234">
        <v>60.949999999999996</v>
      </c>
      <c r="K23" s="235">
        <v>55.199999999999996</v>
      </c>
      <c r="L23" s="234">
        <v>59.8</v>
      </c>
      <c r="M23" s="234">
        <v>55.199999999999996</v>
      </c>
      <c r="N23" s="235">
        <v>49.449999999999996</v>
      </c>
      <c r="O23" s="234">
        <v>52.9</v>
      </c>
      <c r="P23" s="234">
        <v>48.3</v>
      </c>
      <c r="Q23" s="234">
        <v>43.699999999999996</v>
      </c>
      <c r="R23" s="1115" t="s">
        <v>598</v>
      </c>
    </row>
    <row r="24" spans="2:18" x14ac:dyDescent="0.25">
      <c r="B24" s="3">
        <v>1</v>
      </c>
      <c r="C24" s="79">
        <v>1</v>
      </c>
      <c r="D24" s="277" t="s">
        <v>1240</v>
      </c>
      <c r="E24" s="3">
        <v>1</v>
      </c>
      <c r="F24" s="245">
        <f>I$24</f>
        <v>40.25</v>
      </c>
      <c r="I24" s="258">
        <v>40.25</v>
      </c>
      <c r="J24" s="259">
        <v>37.949999999999996</v>
      </c>
      <c r="K24" s="260">
        <v>33.349999999999994</v>
      </c>
      <c r="L24" s="259">
        <v>37.949999999999996</v>
      </c>
      <c r="M24" s="259">
        <v>35.65</v>
      </c>
      <c r="N24" s="260">
        <v>32.199999999999996</v>
      </c>
      <c r="O24" s="259">
        <v>33.349999999999994</v>
      </c>
      <c r="P24" s="259">
        <v>32.199999999999996</v>
      </c>
      <c r="Q24" s="259">
        <v>28.749999999999996</v>
      </c>
      <c r="R24" s="1116" t="s">
        <v>896</v>
      </c>
    </row>
    <row r="25" spans="2:18" ht="13.2" customHeight="1" x14ac:dyDescent="0.25">
      <c r="B25" s="3">
        <v>1</v>
      </c>
      <c r="C25" s="79">
        <v>3</v>
      </c>
      <c r="D25" s="527" t="s">
        <v>1335</v>
      </c>
      <c r="E25" s="3">
        <v>1</v>
      </c>
      <c r="F25" s="245">
        <f>I$25</f>
        <v>67.149999999999991</v>
      </c>
      <c r="G25" s="3"/>
      <c r="I25" s="254">
        <v>67.149999999999991</v>
      </c>
      <c r="J25" s="255">
        <v>62.05</v>
      </c>
      <c r="K25" s="256">
        <v>56.949999999999996</v>
      </c>
      <c r="L25" s="255">
        <v>60.35</v>
      </c>
      <c r="M25" s="255">
        <v>55.25</v>
      </c>
      <c r="N25" s="256">
        <v>49.3</v>
      </c>
      <c r="O25" s="255">
        <v>53.55</v>
      </c>
      <c r="P25" s="255">
        <v>48.449999999999996</v>
      </c>
      <c r="Q25" s="255">
        <v>42.5</v>
      </c>
      <c r="R25" s="1117" t="s">
        <v>1335</v>
      </c>
    </row>
    <row r="26" spans="2:18" x14ac:dyDescent="0.25">
      <c r="B26" s="3">
        <v>1</v>
      </c>
      <c r="C26" s="79">
        <v>2</v>
      </c>
      <c r="D26" s="527" t="s">
        <v>1335</v>
      </c>
      <c r="E26" s="3">
        <v>1</v>
      </c>
      <c r="F26" s="245">
        <f>I$26</f>
        <v>48.449999999999996</v>
      </c>
      <c r="G26" s="3"/>
      <c r="I26" s="257">
        <v>48.449999999999996</v>
      </c>
      <c r="J26" s="234">
        <v>45.05</v>
      </c>
      <c r="K26" s="235">
        <v>40.799999999999997</v>
      </c>
      <c r="L26" s="234">
        <v>44.199999999999996</v>
      </c>
      <c r="M26" s="234">
        <v>40.799999999999997</v>
      </c>
      <c r="N26" s="235">
        <v>36.549999999999997</v>
      </c>
      <c r="O26" s="234">
        <v>39.1</v>
      </c>
      <c r="P26" s="234">
        <v>35.699999999999996</v>
      </c>
      <c r="Q26" s="234">
        <v>32.299999999999997</v>
      </c>
      <c r="R26" s="1115" t="s">
        <v>598</v>
      </c>
    </row>
    <row r="27" spans="2:18" x14ac:dyDescent="0.25">
      <c r="B27" s="3">
        <v>1</v>
      </c>
      <c r="C27" s="244">
        <v>1</v>
      </c>
      <c r="D27" s="543" t="s">
        <v>1335</v>
      </c>
      <c r="E27" s="244">
        <v>1</v>
      </c>
      <c r="F27" s="246">
        <f>I$27</f>
        <v>29.75</v>
      </c>
      <c r="G27" s="3"/>
      <c r="I27" s="258">
        <v>29.75</v>
      </c>
      <c r="J27" s="259">
        <v>28.05</v>
      </c>
      <c r="K27" s="260">
        <v>24.65</v>
      </c>
      <c r="L27" s="259">
        <v>28.05</v>
      </c>
      <c r="M27" s="259">
        <v>26.349999999999998</v>
      </c>
      <c r="N27" s="260">
        <v>23.8</v>
      </c>
      <c r="O27" s="259">
        <v>24.65</v>
      </c>
      <c r="P27" s="259">
        <v>23.8</v>
      </c>
      <c r="Q27" s="259">
        <v>21.25</v>
      </c>
      <c r="R27" s="1116" t="s">
        <v>896</v>
      </c>
    </row>
    <row r="28" spans="2:18" x14ac:dyDescent="0.25">
      <c r="B28" s="3">
        <v>1</v>
      </c>
      <c r="C28" s="79">
        <v>3</v>
      </c>
      <c r="D28" s="110" t="s">
        <v>889</v>
      </c>
      <c r="E28" s="3">
        <v>2</v>
      </c>
      <c r="F28" s="245">
        <f>J$4</f>
        <v>83.949999999999989</v>
      </c>
    </row>
    <row r="29" spans="2:18" x14ac:dyDescent="0.25">
      <c r="B29" s="3">
        <v>1</v>
      </c>
      <c r="C29" s="79">
        <v>2</v>
      </c>
      <c r="D29" s="110" t="s">
        <v>889</v>
      </c>
      <c r="E29" s="3">
        <v>2</v>
      </c>
      <c r="F29" s="245">
        <f>J$5</f>
        <v>60.949999999999996</v>
      </c>
    </row>
    <row r="30" spans="2:18" x14ac:dyDescent="0.25">
      <c r="B30" s="3">
        <v>1</v>
      </c>
      <c r="C30" s="79">
        <v>1</v>
      </c>
      <c r="D30" s="110" t="s">
        <v>889</v>
      </c>
      <c r="E30" s="3">
        <v>2</v>
      </c>
      <c r="F30" s="245">
        <f>J$6</f>
        <v>37.949999999999996</v>
      </c>
    </row>
    <row r="31" spans="2:18" x14ac:dyDescent="0.25">
      <c r="B31" s="3">
        <v>1</v>
      </c>
      <c r="C31" s="79">
        <v>3</v>
      </c>
      <c r="D31" s="110" t="s">
        <v>887</v>
      </c>
      <c r="E31" s="3">
        <v>2</v>
      </c>
      <c r="F31" s="245">
        <f>J$7</f>
        <v>62.05</v>
      </c>
    </row>
    <row r="32" spans="2:18" x14ac:dyDescent="0.25">
      <c r="B32" s="3">
        <v>1</v>
      </c>
      <c r="C32" s="79">
        <v>2</v>
      </c>
      <c r="D32" s="110" t="s">
        <v>887</v>
      </c>
      <c r="E32" s="3">
        <v>2</v>
      </c>
      <c r="F32" s="245">
        <f>J$8</f>
        <v>45.05</v>
      </c>
    </row>
    <row r="33" spans="2:6" x14ac:dyDescent="0.25">
      <c r="B33" s="3">
        <v>1</v>
      </c>
      <c r="C33" s="79">
        <v>1</v>
      </c>
      <c r="D33" s="110" t="s">
        <v>887</v>
      </c>
      <c r="E33" s="3">
        <v>2</v>
      </c>
      <c r="F33" s="245">
        <f>J$9</f>
        <v>28.05</v>
      </c>
    </row>
    <row r="34" spans="2:6" x14ac:dyDescent="0.25">
      <c r="B34" s="3">
        <v>1</v>
      </c>
      <c r="C34" s="79">
        <v>3</v>
      </c>
      <c r="D34" s="110" t="s">
        <v>888</v>
      </c>
      <c r="E34" s="3">
        <v>2</v>
      </c>
      <c r="F34" s="245">
        <f>J$10</f>
        <v>73</v>
      </c>
    </row>
    <row r="35" spans="2:6" x14ac:dyDescent="0.25">
      <c r="B35" s="3">
        <v>1</v>
      </c>
      <c r="C35" s="79">
        <v>2</v>
      </c>
      <c r="D35" s="110" t="s">
        <v>888</v>
      </c>
      <c r="E35" s="3">
        <v>2</v>
      </c>
      <c r="F35" s="245">
        <f>J$11</f>
        <v>53</v>
      </c>
    </row>
    <row r="36" spans="2:6" x14ac:dyDescent="0.25">
      <c r="B36" s="3">
        <v>1</v>
      </c>
      <c r="C36" s="79">
        <v>1</v>
      </c>
      <c r="D36" s="110" t="s">
        <v>888</v>
      </c>
      <c r="E36" s="3">
        <v>2</v>
      </c>
      <c r="F36" s="245">
        <f>J$12</f>
        <v>33</v>
      </c>
    </row>
    <row r="37" spans="2:6" x14ac:dyDescent="0.25">
      <c r="B37" s="3">
        <v>1</v>
      </c>
      <c r="C37" s="79">
        <v>3</v>
      </c>
      <c r="D37" s="277" t="s">
        <v>1239</v>
      </c>
      <c r="E37" s="3">
        <v>2</v>
      </c>
      <c r="F37" s="245">
        <f>J$13</f>
        <v>62.05</v>
      </c>
    </row>
    <row r="38" spans="2:6" x14ac:dyDescent="0.25">
      <c r="B38" s="3">
        <v>1</v>
      </c>
      <c r="C38" s="79">
        <v>2</v>
      </c>
      <c r="D38" s="277" t="s">
        <v>1239</v>
      </c>
      <c r="E38" s="3">
        <v>2</v>
      </c>
      <c r="F38" s="245">
        <f>J$14</f>
        <v>45.05</v>
      </c>
    </row>
    <row r="39" spans="2:6" x14ac:dyDescent="0.25">
      <c r="B39" s="3">
        <v>1</v>
      </c>
      <c r="C39" s="79">
        <v>1</v>
      </c>
      <c r="D39" s="277" t="s">
        <v>1239</v>
      </c>
      <c r="E39" s="3">
        <v>2</v>
      </c>
      <c r="F39" s="245">
        <f>J$15</f>
        <v>28.05</v>
      </c>
    </row>
    <row r="40" spans="2:6" x14ac:dyDescent="0.25">
      <c r="B40" s="3">
        <v>1</v>
      </c>
      <c r="C40" s="79">
        <v>3</v>
      </c>
      <c r="D40" s="262" t="s">
        <v>1343</v>
      </c>
      <c r="E40" s="3">
        <v>2</v>
      </c>
      <c r="F40" s="245">
        <f>J$16</f>
        <v>73</v>
      </c>
    </row>
    <row r="41" spans="2:6" x14ac:dyDescent="0.25">
      <c r="B41" s="3">
        <v>1</v>
      </c>
      <c r="C41" s="79">
        <v>2</v>
      </c>
      <c r="D41" s="262" t="s">
        <v>1343</v>
      </c>
      <c r="E41" s="3">
        <v>2</v>
      </c>
      <c r="F41" s="245">
        <f>J$17</f>
        <v>53</v>
      </c>
    </row>
    <row r="42" spans="2:6" x14ac:dyDescent="0.25">
      <c r="B42" s="3">
        <v>1</v>
      </c>
      <c r="C42" s="79">
        <v>1</v>
      </c>
      <c r="D42" s="262" t="s">
        <v>1343</v>
      </c>
      <c r="E42" s="3">
        <v>2</v>
      </c>
      <c r="F42" s="245">
        <f>J$18</f>
        <v>33</v>
      </c>
    </row>
    <row r="43" spans="2:6" x14ac:dyDescent="0.25">
      <c r="B43" s="3">
        <v>1</v>
      </c>
      <c r="C43" s="79">
        <v>3</v>
      </c>
      <c r="D43" s="262" t="s">
        <v>1344</v>
      </c>
      <c r="E43" s="3">
        <v>2</v>
      </c>
      <c r="F43" s="245">
        <f>J$19</f>
        <v>83.949999999999989</v>
      </c>
    </row>
    <row r="44" spans="2:6" x14ac:dyDescent="0.25">
      <c r="B44" s="3">
        <v>1</v>
      </c>
      <c r="C44" s="79">
        <v>2</v>
      </c>
      <c r="D44" s="262" t="s">
        <v>1344</v>
      </c>
      <c r="E44" s="3">
        <v>2</v>
      </c>
      <c r="F44" s="245">
        <f>J$20</f>
        <v>60.949999999999996</v>
      </c>
    </row>
    <row r="45" spans="2:6" x14ac:dyDescent="0.25">
      <c r="B45" s="3">
        <v>1</v>
      </c>
      <c r="C45" s="79">
        <v>1</v>
      </c>
      <c r="D45" s="262" t="s">
        <v>1344</v>
      </c>
      <c r="E45" s="3">
        <v>2</v>
      </c>
      <c r="F45" s="245">
        <f>J$21</f>
        <v>37.949999999999996</v>
      </c>
    </row>
    <row r="46" spans="2:6" x14ac:dyDescent="0.25">
      <c r="B46" s="3">
        <v>1</v>
      </c>
      <c r="C46" s="79">
        <v>3</v>
      </c>
      <c r="D46" s="277" t="s">
        <v>1240</v>
      </c>
      <c r="E46" s="3">
        <v>2</v>
      </c>
      <c r="F46" s="245">
        <f>J$22</f>
        <v>83.949999999999989</v>
      </c>
    </row>
    <row r="47" spans="2:6" x14ac:dyDescent="0.25">
      <c r="B47" s="3">
        <v>1</v>
      </c>
      <c r="C47" s="79">
        <v>2</v>
      </c>
      <c r="D47" s="277" t="s">
        <v>1240</v>
      </c>
      <c r="E47" s="3">
        <v>2</v>
      </c>
      <c r="F47" s="245">
        <f>J$23</f>
        <v>60.949999999999996</v>
      </c>
    </row>
    <row r="48" spans="2:6" x14ac:dyDescent="0.25">
      <c r="B48" s="3">
        <v>1</v>
      </c>
      <c r="C48" s="79">
        <v>1</v>
      </c>
      <c r="D48" s="277" t="s">
        <v>1240</v>
      </c>
      <c r="E48" s="3">
        <v>2</v>
      </c>
      <c r="F48" s="245">
        <f>J$24</f>
        <v>37.949999999999996</v>
      </c>
    </row>
    <row r="49" spans="2:7" x14ac:dyDescent="0.25">
      <c r="B49" s="3">
        <v>1</v>
      </c>
      <c r="C49" s="79">
        <v>3</v>
      </c>
      <c r="D49" s="527" t="s">
        <v>1335</v>
      </c>
      <c r="E49" s="3">
        <v>2</v>
      </c>
      <c r="F49" s="245">
        <f>J$25</f>
        <v>62.05</v>
      </c>
    </row>
    <row r="50" spans="2:7" x14ac:dyDescent="0.25">
      <c r="B50" s="3">
        <v>1</v>
      </c>
      <c r="C50" s="79">
        <v>2</v>
      </c>
      <c r="D50" s="527" t="s">
        <v>1335</v>
      </c>
      <c r="E50" s="3">
        <v>2</v>
      </c>
      <c r="F50" s="245">
        <f>J$26</f>
        <v>45.05</v>
      </c>
    </row>
    <row r="51" spans="2:7" x14ac:dyDescent="0.25">
      <c r="B51" s="3">
        <v>1</v>
      </c>
      <c r="C51" s="244">
        <v>1</v>
      </c>
      <c r="D51" s="543" t="s">
        <v>1335</v>
      </c>
      <c r="E51" s="242">
        <v>2</v>
      </c>
      <c r="F51" s="246">
        <f>J$27</f>
        <v>28.05</v>
      </c>
    </row>
    <row r="52" spans="2:7" x14ac:dyDescent="0.25">
      <c r="B52" s="3">
        <v>1</v>
      </c>
      <c r="C52" s="79">
        <v>3</v>
      </c>
      <c r="D52" s="110" t="s">
        <v>889</v>
      </c>
      <c r="E52" s="3">
        <v>3</v>
      </c>
      <c r="F52" s="245">
        <f>K$4</f>
        <v>77.05</v>
      </c>
      <c r="G52" s="167"/>
    </row>
    <row r="53" spans="2:7" x14ac:dyDescent="0.25">
      <c r="B53" s="3">
        <v>1</v>
      </c>
      <c r="C53" s="79">
        <v>2</v>
      </c>
      <c r="D53" s="110" t="s">
        <v>889</v>
      </c>
      <c r="E53" s="3">
        <v>3</v>
      </c>
      <c r="F53" s="245">
        <f>K$5</f>
        <v>55.199999999999996</v>
      </c>
    </row>
    <row r="54" spans="2:7" x14ac:dyDescent="0.25">
      <c r="B54" s="3">
        <v>1</v>
      </c>
      <c r="C54" s="79">
        <v>1</v>
      </c>
      <c r="D54" s="110" t="s">
        <v>889</v>
      </c>
      <c r="E54" s="3">
        <v>3</v>
      </c>
      <c r="F54" s="245">
        <f>K$6</f>
        <v>33.349999999999994</v>
      </c>
    </row>
    <row r="55" spans="2:7" x14ac:dyDescent="0.25">
      <c r="B55" s="3">
        <v>1</v>
      </c>
      <c r="C55" s="79">
        <v>3</v>
      </c>
      <c r="D55" s="110" t="s">
        <v>887</v>
      </c>
      <c r="E55" s="3">
        <v>3</v>
      </c>
      <c r="F55" s="245">
        <f>K$7</f>
        <v>56.949999999999996</v>
      </c>
    </row>
    <row r="56" spans="2:7" x14ac:dyDescent="0.25">
      <c r="B56" s="3">
        <v>1</v>
      </c>
      <c r="C56" s="79">
        <v>2</v>
      </c>
      <c r="D56" s="110" t="s">
        <v>887</v>
      </c>
      <c r="E56" s="3">
        <v>3</v>
      </c>
      <c r="F56" s="245">
        <f>K$8</f>
        <v>40.799999999999997</v>
      </c>
    </row>
    <row r="57" spans="2:7" x14ac:dyDescent="0.25">
      <c r="B57" s="3">
        <v>1</v>
      </c>
      <c r="C57" s="79">
        <v>1</v>
      </c>
      <c r="D57" s="110" t="s">
        <v>887</v>
      </c>
      <c r="E57" s="3">
        <v>3</v>
      </c>
      <c r="F57" s="245">
        <f>K$9</f>
        <v>24.65</v>
      </c>
    </row>
    <row r="58" spans="2:7" x14ac:dyDescent="0.25">
      <c r="B58" s="3">
        <v>1</v>
      </c>
      <c r="C58" s="79">
        <v>3</v>
      </c>
      <c r="D58" s="110" t="s">
        <v>888</v>
      </c>
      <c r="E58" s="3">
        <v>3</v>
      </c>
      <c r="F58" s="245">
        <f>K$10</f>
        <v>67</v>
      </c>
    </row>
    <row r="59" spans="2:7" x14ac:dyDescent="0.25">
      <c r="B59" s="3">
        <v>1</v>
      </c>
      <c r="C59" s="79">
        <v>2</v>
      </c>
      <c r="D59" s="110" t="s">
        <v>888</v>
      </c>
      <c r="E59" s="3">
        <v>3</v>
      </c>
      <c r="F59" s="245">
        <f>K$11</f>
        <v>48</v>
      </c>
    </row>
    <row r="60" spans="2:7" x14ac:dyDescent="0.25">
      <c r="B60" s="3">
        <v>1</v>
      </c>
      <c r="C60" s="79">
        <v>1</v>
      </c>
      <c r="D60" s="110" t="s">
        <v>888</v>
      </c>
      <c r="E60" s="3">
        <v>3</v>
      </c>
      <c r="F60" s="245">
        <f>K$12</f>
        <v>29</v>
      </c>
    </row>
    <row r="61" spans="2:7" x14ac:dyDescent="0.25">
      <c r="B61" s="3">
        <v>1</v>
      </c>
      <c r="C61" s="79">
        <v>3</v>
      </c>
      <c r="D61" s="277" t="s">
        <v>1239</v>
      </c>
      <c r="E61" s="3">
        <v>3</v>
      </c>
      <c r="F61" s="245">
        <f>K$13</f>
        <v>56.949999999999996</v>
      </c>
    </row>
    <row r="62" spans="2:7" x14ac:dyDescent="0.25">
      <c r="B62" s="3">
        <v>1</v>
      </c>
      <c r="C62" s="79">
        <v>2</v>
      </c>
      <c r="D62" s="277" t="s">
        <v>1239</v>
      </c>
      <c r="E62" s="3">
        <v>3</v>
      </c>
      <c r="F62" s="245">
        <f>K$14</f>
        <v>40.799999999999997</v>
      </c>
    </row>
    <row r="63" spans="2:7" x14ac:dyDescent="0.25">
      <c r="B63" s="3">
        <v>1</v>
      </c>
      <c r="C63" s="79">
        <v>1</v>
      </c>
      <c r="D63" s="277" t="s">
        <v>1239</v>
      </c>
      <c r="E63" s="3">
        <v>3</v>
      </c>
      <c r="F63" s="245">
        <f>K$15</f>
        <v>24.65</v>
      </c>
    </row>
    <row r="64" spans="2:7" x14ac:dyDescent="0.25">
      <c r="B64" s="3">
        <v>1</v>
      </c>
      <c r="C64" s="79">
        <v>3</v>
      </c>
      <c r="D64" s="262" t="s">
        <v>1343</v>
      </c>
      <c r="E64" s="3">
        <v>3</v>
      </c>
      <c r="F64" s="245">
        <f>K$16</f>
        <v>67</v>
      </c>
    </row>
    <row r="65" spans="2:6" x14ac:dyDescent="0.25">
      <c r="B65" s="3">
        <v>1</v>
      </c>
      <c r="C65" s="79">
        <v>2</v>
      </c>
      <c r="D65" s="262" t="s">
        <v>1343</v>
      </c>
      <c r="E65" s="3">
        <v>3</v>
      </c>
      <c r="F65" s="245">
        <f>K$17</f>
        <v>48</v>
      </c>
    </row>
    <row r="66" spans="2:6" x14ac:dyDescent="0.25">
      <c r="B66" s="3">
        <v>1</v>
      </c>
      <c r="C66" s="79">
        <v>1</v>
      </c>
      <c r="D66" s="262" t="s">
        <v>1343</v>
      </c>
      <c r="E66" s="3">
        <v>3</v>
      </c>
      <c r="F66" s="245">
        <f>K$18</f>
        <v>29</v>
      </c>
    </row>
    <row r="67" spans="2:6" x14ac:dyDescent="0.25">
      <c r="B67" s="3">
        <v>1</v>
      </c>
      <c r="C67" s="79">
        <v>3</v>
      </c>
      <c r="D67" s="262" t="s">
        <v>1344</v>
      </c>
      <c r="E67" s="3">
        <v>3</v>
      </c>
      <c r="F67" s="245">
        <f>K$19</f>
        <v>77.05</v>
      </c>
    </row>
    <row r="68" spans="2:6" x14ac:dyDescent="0.25">
      <c r="B68" s="3">
        <v>1</v>
      </c>
      <c r="C68" s="79">
        <v>2</v>
      </c>
      <c r="D68" s="262" t="s">
        <v>1344</v>
      </c>
      <c r="E68" s="3">
        <v>3</v>
      </c>
      <c r="F68" s="245">
        <f>K$20</f>
        <v>55.199999999999996</v>
      </c>
    </row>
    <row r="69" spans="2:6" x14ac:dyDescent="0.25">
      <c r="B69" s="3">
        <v>1</v>
      </c>
      <c r="C69" s="79">
        <v>1</v>
      </c>
      <c r="D69" s="262" t="s">
        <v>1344</v>
      </c>
      <c r="E69" s="3">
        <v>3</v>
      </c>
      <c r="F69" s="245">
        <f>K$21</f>
        <v>33.349999999999994</v>
      </c>
    </row>
    <row r="70" spans="2:6" x14ac:dyDescent="0.25">
      <c r="B70" s="3">
        <v>1</v>
      </c>
      <c r="C70" s="79">
        <v>3</v>
      </c>
      <c r="D70" s="277" t="s">
        <v>1240</v>
      </c>
      <c r="E70" s="3">
        <v>3</v>
      </c>
      <c r="F70" s="245">
        <f>K$22</f>
        <v>77.05</v>
      </c>
    </row>
    <row r="71" spans="2:6" x14ac:dyDescent="0.25">
      <c r="B71" s="3">
        <v>1</v>
      </c>
      <c r="C71" s="79">
        <v>2</v>
      </c>
      <c r="D71" s="277" t="s">
        <v>1240</v>
      </c>
      <c r="E71" s="3">
        <v>3</v>
      </c>
      <c r="F71" s="245">
        <f>K$23</f>
        <v>55.199999999999996</v>
      </c>
    </row>
    <row r="72" spans="2:6" x14ac:dyDescent="0.25">
      <c r="B72" s="3">
        <v>1</v>
      </c>
      <c r="C72" s="79">
        <v>1</v>
      </c>
      <c r="D72" s="277" t="s">
        <v>1240</v>
      </c>
      <c r="E72" s="3">
        <v>3</v>
      </c>
      <c r="F72" s="245">
        <f>K$24</f>
        <v>33.349999999999994</v>
      </c>
    </row>
    <row r="73" spans="2:6" x14ac:dyDescent="0.25">
      <c r="B73" s="3">
        <v>1</v>
      </c>
      <c r="C73" s="79">
        <v>3</v>
      </c>
      <c r="D73" s="527" t="s">
        <v>1335</v>
      </c>
      <c r="E73" s="3">
        <v>3</v>
      </c>
      <c r="F73" s="245">
        <f>K$25</f>
        <v>56.949999999999996</v>
      </c>
    </row>
    <row r="74" spans="2:6" x14ac:dyDescent="0.25">
      <c r="B74" s="3">
        <v>1</v>
      </c>
      <c r="C74" s="79">
        <v>2</v>
      </c>
      <c r="D74" s="527" t="s">
        <v>1335</v>
      </c>
      <c r="E74" s="3">
        <v>3</v>
      </c>
      <c r="F74" s="245">
        <f>K$26</f>
        <v>40.799999999999997</v>
      </c>
    </row>
    <row r="75" spans="2:6" x14ac:dyDescent="0.25">
      <c r="B75" s="242">
        <v>1</v>
      </c>
      <c r="C75" s="244">
        <v>1</v>
      </c>
      <c r="D75" s="527" t="s">
        <v>1335</v>
      </c>
      <c r="E75" s="242">
        <v>3</v>
      </c>
      <c r="F75" s="246">
        <f>K$27</f>
        <v>24.65</v>
      </c>
    </row>
    <row r="76" spans="2:6" x14ac:dyDescent="0.25">
      <c r="B76" s="3">
        <v>2</v>
      </c>
      <c r="C76" s="79">
        <v>3</v>
      </c>
      <c r="D76" s="110" t="s">
        <v>889</v>
      </c>
      <c r="E76" s="3">
        <v>1</v>
      </c>
      <c r="F76" s="245">
        <f t="shared" ref="F76:F87" si="4">L4</f>
        <v>81.649999999999991</v>
      </c>
    </row>
    <row r="77" spans="2:6" x14ac:dyDescent="0.25">
      <c r="B77" s="3">
        <v>2</v>
      </c>
      <c r="C77" s="79">
        <v>2</v>
      </c>
      <c r="D77" s="110" t="s">
        <v>889</v>
      </c>
      <c r="E77" s="3">
        <v>1</v>
      </c>
      <c r="F77" s="245">
        <f t="shared" si="4"/>
        <v>59.8</v>
      </c>
    </row>
    <row r="78" spans="2:6" x14ac:dyDescent="0.25">
      <c r="B78" s="3">
        <v>2</v>
      </c>
      <c r="C78" s="79">
        <v>1</v>
      </c>
      <c r="D78" s="110" t="s">
        <v>889</v>
      </c>
      <c r="E78" s="3">
        <v>1</v>
      </c>
      <c r="F78" s="245">
        <f t="shared" si="4"/>
        <v>37.949999999999996</v>
      </c>
    </row>
    <row r="79" spans="2:6" x14ac:dyDescent="0.25">
      <c r="B79" s="3">
        <v>2</v>
      </c>
      <c r="C79" s="79">
        <v>3</v>
      </c>
      <c r="D79" s="110" t="s">
        <v>887</v>
      </c>
      <c r="E79" s="3">
        <v>1</v>
      </c>
      <c r="F79" s="245">
        <f t="shared" si="4"/>
        <v>60.35</v>
      </c>
    </row>
    <row r="80" spans="2:6" x14ac:dyDescent="0.25">
      <c r="B80" s="3">
        <v>2</v>
      </c>
      <c r="C80" s="79">
        <v>2</v>
      </c>
      <c r="D80" s="110" t="s">
        <v>887</v>
      </c>
      <c r="E80" s="3">
        <v>1</v>
      </c>
      <c r="F80" s="245">
        <f t="shared" si="4"/>
        <v>44.199999999999996</v>
      </c>
    </row>
    <row r="81" spans="2:6" x14ac:dyDescent="0.25">
      <c r="B81" s="3">
        <v>2</v>
      </c>
      <c r="C81" s="79">
        <v>1</v>
      </c>
      <c r="D81" s="110" t="s">
        <v>887</v>
      </c>
      <c r="E81" s="3">
        <v>1</v>
      </c>
      <c r="F81" s="245">
        <f t="shared" si="4"/>
        <v>28.05</v>
      </c>
    </row>
    <row r="82" spans="2:6" x14ac:dyDescent="0.25">
      <c r="B82" s="3">
        <v>2</v>
      </c>
      <c r="C82" s="79">
        <v>3</v>
      </c>
      <c r="D82" s="110" t="s">
        <v>888</v>
      </c>
      <c r="E82" s="3">
        <v>1</v>
      </c>
      <c r="F82" s="245">
        <f t="shared" si="4"/>
        <v>71</v>
      </c>
    </row>
    <row r="83" spans="2:6" x14ac:dyDescent="0.25">
      <c r="B83" s="3">
        <v>2</v>
      </c>
      <c r="C83" s="79">
        <v>2</v>
      </c>
      <c r="D83" s="110" t="s">
        <v>888</v>
      </c>
      <c r="E83" s="3">
        <v>1</v>
      </c>
      <c r="F83" s="245">
        <f t="shared" si="4"/>
        <v>52</v>
      </c>
    </row>
    <row r="84" spans="2:6" x14ac:dyDescent="0.25">
      <c r="B84" s="3">
        <v>2</v>
      </c>
      <c r="C84" s="79">
        <v>1</v>
      </c>
      <c r="D84" s="110" t="s">
        <v>888</v>
      </c>
      <c r="E84" s="3">
        <v>1</v>
      </c>
      <c r="F84" s="245">
        <f t="shared" si="4"/>
        <v>33</v>
      </c>
    </row>
    <row r="85" spans="2:6" x14ac:dyDescent="0.25">
      <c r="B85" s="3">
        <v>2</v>
      </c>
      <c r="C85" s="79">
        <v>3</v>
      </c>
      <c r="D85" s="277" t="s">
        <v>1239</v>
      </c>
      <c r="E85" s="3">
        <v>1</v>
      </c>
      <c r="F85" s="245">
        <f t="shared" si="4"/>
        <v>60.35</v>
      </c>
    </row>
    <row r="86" spans="2:6" x14ac:dyDescent="0.25">
      <c r="B86" s="3">
        <v>2</v>
      </c>
      <c r="C86" s="79">
        <v>2</v>
      </c>
      <c r="D86" s="277" t="s">
        <v>1239</v>
      </c>
      <c r="E86" s="3">
        <v>1</v>
      </c>
      <c r="F86" s="245">
        <f t="shared" si="4"/>
        <v>44.199999999999996</v>
      </c>
    </row>
    <row r="87" spans="2:6" x14ac:dyDescent="0.25">
      <c r="B87" s="3">
        <v>2</v>
      </c>
      <c r="C87" s="79">
        <v>1</v>
      </c>
      <c r="D87" s="277" t="s">
        <v>1239</v>
      </c>
      <c r="E87" s="3">
        <v>1</v>
      </c>
      <c r="F87" s="245">
        <f t="shared" si="4"/>
        <v>28.05</v>
      </c>
    </row>
    <row r="88" spans="2:6" x14ac:dyDescent="0.25">
      <c r="B88" s="3">
        <v>2</v>
      </c>
      <c r="C88" s="79">
        <v>3</v>
      </c>
      <c r="D88" s="262" t="s">
        <v>1343</v>
      </c>
      <c r="E88" s="3">
        <v>1</v>
      </c>
      <c r="F88" s="245">
        <f>L$16</f>
        <v>71</v>
      </c>
    </row>
    <row r="89" spans="2:6" x14ac:dyDescent="0.25">
      <c r="B89" s="3">
        <v>2</v>
      </c>
      <c r="C89" s="79">
        <v>2</v>
      </c>
      <c r="D89" s="262" t="s">
        <v>1343</v>
      </c>
      <c r="E89" s="3">
        <v>1</v>
      </c>
      <c r="F89" s="245">
        <f>L$17</f>
        <v>52</v>
      </c>
    </row>
    <row r="90" spans="2:6" x14ac:dyDescent="0.25">
      <c r="B90" s="3">
        <v>2</v>
      </c>
      <c r="C90" s="79">
        <v>1</v>
      </c>
      <c r="D90" s="262" t="s">
        <v>1343</v>
      </c>
      <c r="E90" s="3">
        <v>1</v>
      </c>
      <c r="F90" s="245">
        <f>L$18</f>
        <v>33</v>
      </c>
    </row>
    <row r="91" spans="2:6" x14ac:dyDescent="0.25">
      <c r="B91" s="3">
        <v>2</v>
      </c>
      <c r="C91" s="79">
        <v>3</v>
      </c>
      <c r="D91" s="262" t="s">
        <v>1344</v>
      </c>
      <c r="E91" s="3">
        <v>1</v>
      </c>
      <c r="F91" s="245">
        <f>L$19</f>
        <v>81.649999999999991</v>
      </c>
    </row>
    <row r="92" spans="2:6" x14ac:dyDescent="0.25">
      <c r="B92" s="3">
        <v>2</v>
      </c>
      <c r="C92" s="79">
        <v>2</v>
      </c>
      <c r="D92" s="262" t="s">
        <v>1344</v>
      </c>
      <c r="E92" s="3">
        <v>1</v>
      </c>
      <c r="F92" s="245">
        <f>L$20</f>
        <v>59.8</v>
      </c>
    </row>
    <row r="93" spans="2:6" x14ac:dyDescent="0.25">
      <c r="B93" s="3">
        <v>2</v>
      </c>
      <c r="C93" s="79">
        <v>1</v>
      </c>
      <c r="D93" s="262" t="s">
        <v>1344</v>
      </c>
      <c r="E93" s="3">
        <v>1</v>
      </c>
      <c r="F93" s="245">
        <f>L$21</f>
        <v>37.949999999999996</v>
      </c>
    </row>
    <row r="94" spans="2:6" x14ac:dyDescent="0.25">
      <c r="B94" s="3">
        <v>2</v>
      </c>
      <c r="C94" s="79">
        <v>3</v>
      </c>
      <c r="D94" s="277" t="s">
        <v>1240</v>
      </c>
      <c r="E94" s="3">
        <v>1</v>
      </c>
      <c r="F94" s="245">
        <f t="shared" ref="F94:F99" si="5">L22</f>
        <v>81.649999999999991</v>
      </c>
    </row>
    <row r="95" spans="2:6" x14ac:dyDescent="0.25">
      <c r="B95" s="3">
        <v>2</v>
      </c>
      <c r="C95" s="79">
        <v>2</v>
      </c>
      <c r="D95" s="277" t="s">
        <v>1240</v>
      </c>
      <c r="E95" s="3">
        <v>1</v>
      </c>
      <c r="F95" s="245">
        <f t="shared" si="5"/>
        <v>59.8</v>
      </c>
    </row>
    <row r="96" spans="2:6" x14ac:dyDescent="0.25">
      <c r="B96" s="3">
        <v>2</v>
      </c>
      <c r="C96" s="79">
        <v>1</v>
      </c>
      <c r="D96" s="277" t="s">
        <v>1240</v>
      </c>
      <c r="E96" s="3">
        <v>1</v>
      </c>
      <c r="F96" s="245">
        <f t="shared" si="5"/>
        <v>37.949999999999996</v>
      </c>
    </row>
    <row r="97" spans="2:6" x14ac:dyDescent="0.25">
      <c r="B97" s="3">
        <v>2</v>
      </c>
      <c r="C97" s="79">
        <v>3</v>
      </c>
      <c r="D97" s="527" t="s">
        <v>1335</v>
      </c>
      <c r="E97" s="3">
        <v>1</v>
      </c>
      <c r="F97" s="245">
        <f t="shared" si="5"/>
        <v>60.35</v>
      </c>
    </row>
    <row r="98" spans="2:6" x14ac:dyDescent="0.25">
      <c r="B98" s="3">
        <v>2</v>
      </c>
      <c r="C98" s="79">
        <v>2</v>
      </c>
      <c r="D98" s="527" t="s">
        <v>1335</v>
      </c>
      <c r="E98" s="3">
        <v>1</v>
      </c>
      <c r="F98" s="245">
        <f t="shared" si="5"/>
        <v>44.199999999999996</v>
      </c>
    </row>
    <row r="99" spans="2:6" x14ac:dyDescent="0.25">
      <c r="B99" s="3">
        <v>2</v>
      </c>
      <c r="C99" s="244">
        <v>1</v>
      </c>
      <c r="D99" s="543" t="s">
        <v>1335</v>
      </c>
      <c r="E99" s="242">
        <v>1</v>
      </c>
      <c r="F99" s="246">
        <f t="shared" si="5"/>
        <v>28.05</v>
      </c>
    </row>
    <row r="100" spans="2:6" x14ac:dyDescent="0.25">
      <c r="B100" s="3">
        <v>2</v>
      </c>
      <c r="C100" s="79">
        <v>3</v>
      </c>
      <c r="D100" s="110" t="s">
        <v>889</v>
      </c>
      <c r="E100" s="3">
        <v>2</v>
      </c>
      <c r="F100" s="245">
        <f t="shared" ref="F100:F111" si="6">M4</f>
        <v>74.75</v>
      </c>
    </row>
    <row r="101" spans="2:6" x14ac:dyDescent="0.25">
      <c r="B101" s="3">
        <v>2</v>
      </c>
      <c r="C101" s="79">
        <v>2</v>
      </c>
      <c r="D101" s="110" t="s">
        <v>889</v>
      </c>
      <c r="E101" s="3">
        <v>2</v>
      </c>
      <c r="F101" s="245">
        <f t="shared" si="6"/>
        <v>55.199999999999996</v>
      </c>
    </row>
    <row r="102" spans="2:6" x14ac:dyDescent="0.25">
      <c r="B102" s="3">
        <v>2</v>
      </c>
      <c r="C102" s="79">
        <v>1</v>
      </c>
      <c r="D102" s="110" t="s">
        <v>889</v>
      </c>
      <c r="E102" s="3">
        <v>2</v>
      </c>
      <c r="F102" s="245">
        <f t="shared" si="6"/>
        <v>35.65</v>
      </c>
    </row>
    <row r="103" spans="2:6" x14ac:dyDescent="0.25">
      <c r="B103" s="3">
        <v>2</v>
      </c>
      <c r="C103" s="79">
        <v>3</v>
      </c>
      <c r="D103" s="110" t="s">
        <v>887</v>
      </c>
      <c r="E103" s="3">
        <v>2</v>
      </c>
      <c r="F103" s="245">
        <f t="shared" si="6"/>
        <v>55.25</v>
      </c>
    </row>
    <row r="104" spans="2:6" x14ac:dyDescent="0.25">
      <c r="B104" s="3">
        <v>2</v>
      </c>
      <c r="C104" s="79">
        <v>2</v>
      </c>
      <c r="D104" s="110" t="s">
        <v>887</v>
      </c>
      <c r="E104" s="3">
        <v>2</v>
      </c>
      <c r="F104" s="245">
        <f t="shared" si="6"/>
        <v>40.799999999999997</v>
      </c>
    </row>
    <row r="105" spans="2:6" x14ac:dyDescent="0.25">
      <c r="B105" s="3">
        <v>2</v>
      </c>
      <c r="C105" s="79">
        <v>1</v>
      </c>
      <c r="D105" s="110" t="s">
        <v>887</v>
      </c>
      <c r="E105" s="3">
        <v>2</v>
      </c>
      <c r="F105" s="245">
        <f t="shared" si="6"/>
        <v>26.349999999999998</v>
      </c>
    </row>
    <row r="106" spans="2:6" x14ac:dyDescent="0.25">
      <c r="B106" s="3">
        <v>2</v>
      </c>
      <c r="C106" s="79">
        <v>3</v>
      </c>
      <c r="D106" s="110" t="s">
        <v>888</v>
      </c>
      <c r="E106" s="3">
        <v>2</v>
      </c>
      <c r="F106" s="245">
        <f t="shared" si="6"/>
        <v>65</v>
      </c>
    </row>
    <row r="107" spans="2:6" x14ac:dyDescent="0.25">
      <c r="B107" s="3">
        <v>2</v>
      </c>
      <c r="C107" s="79">
        <v>2</v>
      </c>
      <c r="D107" s="110" t="s">
        <v>888</v>
      </c>
      <c r="E107" s="3">
        <v>2</v>
      </c>
      <c r="F107" s="245">
        <f t="shared" si="6"/>
        <v>48</v>
      </c>
    </row>
    <row r="108" spans="2:6" x14ac:dyDescent="0.25">
      <c r="B108" s="3">
        <v>2</v>
      </c>
      <c r="C108" s="79">
        <v>1</v>
      </c>
      <c r="D108" s="110" t="s">
        <v>888</v>
      </c>
      <c r="E108" s="3">
        <v>2</v>
      </c>
      <c r="F108" s="245">
        <f t="shared" si="6"/>
        <v>31</v>
      </c>
    </row>
    <row r="109" spans="2:6" x14ac:dyDescent="0.25">
      <c r="B109" s="3">
        <v>2</v>
      </c>
      <c r="C109" s="79">
        <v>3</v>
      </c>
      <c r="D109" s="277" t="s">
        <v>1239</v>
      </c>
      <c r="E109" s="3">
        <v>2</v>
      </c>
      <c r="F109" s="245">
        <f t="shared" si="6"/>
        <v>55.25</v>
      </c>
    </row>
    <row r="110" spans="2:6" x14ac:dyDescent="0.25">
      <c r="B110" s="3">
        <v>2</v>
      </c>
      <c r="C110" s="79">
        <v>2</v>
      </c>
      <c r="D110" s="277" t="s">
        <v>1239</v>
      </c>
      <c r="E110" s="3">
        <v>2</v>
      </c>
      <c r="F110" s="245">
        <f t="shared" si="6"/>
        <v>40.799999999999997</v>
      </c>
    </row>
    <row r="111" spans="2:6" x14ac:dyDescent="0.25">
      <c r="B111" s="3">
        <v>2</v>
      </c>
      <c r="C111" s="79">
        <v>1</v>
      </c>
      <c r="D111" s="277" t="s">
        <v>1239</v>
      </c>
      <c r="E111" s="3">
        <v>2</v>
      </c>
      <c r="F111" s="245">
        <f t="shared" si="6"/>
        <v>26.349999999999998</v>
      </c>
    </row>
    <row r="112" spans="2:6" x14ac:dyDescent="0.25">
      <c r="B112" s="3">
        <v>2</v>
      </c>
      <c r="C112" s="79">
        <v>3</v>
      </c>
      <c r="D112" s="262" t="s">
        <v>1343</v>
      </c>
      <c r="E112" s="3">
        <v>2</v>
      </c>
      <c r="F112" s="245">
        <f>M$16</f>
        <v>65</v>
      </c>
    </row>
    <row r="113" spans="2:6" x14ac:dyDescent="0.25">
      <c r="B113" s="3">
        <v>2</v>
      </c>
      <c r="C113" s="79">
        <v>2</v>
      </c>
      <c r="D113" s="262" t="s">
        <v>1343</v>
      </c>
      <c r="E113" s="3">
        <v>2</v>
      </c>
      <c r="F113" s="245">
        <f>M$17</f>
        <v>48</v>
      </c>
    </row>
    <row r="114" spans="2:6" x14ac:dyDescent="0.25">
      <c r="B114" s="3">
        <v>2</v>
      </c>
      <c r="C114" s="79">
        <v>1</v>
      </c>
      <c r="D114" s="262" t="s">
        <v>1343</v>
      </c>
      <c r="E114" s="3">
        <v>2</v>
      </c>
      <c r="F114" s="245">
        <f>M$18</f>
        <v>31</v>
      </c>
    </row>
    <row r="115" spans="2:6" x14ac:dyDescent="0.25">
      <c r="B115" s="3">
        <v>2</v>
      </c>
      <c r="C115" s="79">
        <v>3</v>
      </c>
      <c r="D115" s="262" t="s">
        <v>1344</v>
      </c>
      <c r="E115" s="3">
        <v>2</v>
      </c>
      <c r="F115" s="245">
        <f>M$19</f>
        <v>74.75</v>
      </c>
    </row>
    <row r="116" spans="2:6" x14ac:dyDescent="0.25">
      <c r="B116" s="3">
        <v>2</v>
      </c>
      <c r="C116" s="79">
        <v>2</v>
      </c>
      <c r="D116" s="262" t="s">
        <v>1344</v>
      </c>
      <c r="E116" s="3">
        <v>2</v>
      </c>
      <c r="F116" s="245">
        <f>M$20</f>
        <v>55.199999999999996</v>
      </c>
    </row>
    <row r="117" spans="2:6" x14ac:dyDescent="0.25">
      <c r="B117" s="3">
        <v>2</v>
      </c>
      <c r="C117" s="79">
        <v>1</v>
      </c>
      <c r="D117" s="262" t="s">
        <v>1344</v>
      </c>
      <c r="E117" s="3">
        <v>2</v>
      </c>
      <c r="F117" s="245">
        <f>M$21</f>
        <v>35.65</v>
      </c>
    </row>
    <row r="118" spans="2:6" x14ac:dyDescent="0.25">
      <c r="B118" s="3">
        <v>2</v>
      </c>
      <c r="C118" s="79">
        <v>3</v>
      </c>
      <c r="D118" s="277" t="s">
        <v>1240</v>
      </c>
      <c r="E118" s="3">
        <v>2</v>
      </c>
      <c r="F118" s="245">
        <f t="shared" ref="F118:F123" si="7">M22</f>
        <v>74.75</v>
      </c>
    </row>
    <row r="119" spans="2:6" x14ac:dyDescent="0.25">
      <c r="B119" s="3">
        <v>2</v>
      </c>
      <c r="C119" s="79">
        <v>2</v>
      </c>
      <c r="D119" s="277" t="s">
        <v>1240</v>
      </c>
      <c r="E119" s="3">
        <v>2</v>
      </c>
      <c r="F119" s="245">
        <f t="shared" si="7"/>
        <v>55.199999999999996</v>
      </c>
    </row>
    <row r="120" spans="2:6" x14ac:dyDescent="0.25">
      <c r="B120" s="3">
        <v>2</v>
      </c>
      <c r="C120" s="79">
        <v>1</v>
      </c>
      <c r="D120" s="277" t="s">
        <v>1240</v>
      </c>
      <c r="E120" s="3">
        <v>2</v>
      </c>
      <c r="F120" s="245">
        <f t="shared" si="7"/>
        <v>35.65</v>
      </c>
    </row>
    <row r="121" spans="2:6" x14ac:dyDescent="0.25">
      <c r="B121" s="3">
        <v>2</v>
      </c>
      <c r="C121" s="79">
        <v>3</v>
      </c>
      <c r="D121" s="527" t="s">
        <v>1335</v>
      </c>
      <c r="E121" s="3">
        <v>2</v>
      </c>
      <c r="F121" s="245">
        <f t="shared" si="7"/>
        <v>55.25</v>
      </c>
    </row>
    <row r="122" spans="2:6" x14ac:dyDescent="0.25">
      <c r="B122" s="3">
        <v>2</v>
      </c>
      <c r="C122" s="79">
        <v>2</v>
      </c>
      <c r="D122" s="527" t="s">
        <v>1335</v>
      </c>
      <c r="E122" s="3">
        <v>2</v>
      </c>
      <c r="F122" s="245">
        <f t="shared" si="7"/>
        <v>40.799999999999997</v>
      </c>
    </row>
    <row r="123" spans="2:6" x14ac:dyDescent="0.25">
      <c r="B123" s="3">
        <v>2</v>
      </c>
      <c r="C123" s="244">
        <v>1</v>
      </c>
      <c r="D123" s="543" t="s">
        <v>1335</v>
      </c>
      <c r="E123" s="242">
        <v>2</v>
      </c>
      <c r="F123" s="246">
        <f t="shared" si="7"/>
        <v>26.349999999999998</v>
      </c>
    </row>
    <row r="124" spans="2:6" x14ac:dyDescent="0.25">
      <c r="B124" s="3">
        <v>2</v>
      </c>
      <c r="C124" s="79">
        <v>3</v>
      </c>
      <c r="D124" s="110" t="s">
        <v>889</v>
      </c>
      <c r="E124" s="3">
        <v>3</v>
      </c>
      <c r="F124" s="245">
        <f t="shared" ref="F124:F135" si="8">N4</f>
        <v>66.699999999999989</v>
      </c>
    </row>
    <row r="125" spans="2:6" x14ac:dyDescent="0.25">
      <c r="B125" s="3">
        <v>2</v>
      </c>
      <c r="C125" s="79">
        <v>2</v>
      </c>
      <c r="D125" s="110" t="s">
        <v>889</v>
      </c>
      <c r="E125" s="3">
        <v>3</v>
      </c>
      <c r="F125" s="245">
        <f t="shared" si="8"/>
        <v>49.449999999999996</v>
      </c>
    </row>
    <row r="126" spans="2:6" x14ac:dyDescent="0.25">
      <c r="B126" s="3">
        <v>2</v>
      </c>
      <c r="C126" s="79">
        <v>1</v>
      </c>
      <c r="D126" s="110" t="s">
        <v>889</v>
      </c>
      <c r="E126" s="3">
        <v>3</v>
      </c>
      <c r="F126" s="245">
        <f t="shared" si="8"/>
        <v>32.199999999999996</v>
      </c>
    </row>
    <row r="127" spans="2:6" x14ac:dyDescent="0.25">
      <c r="B127" s="3">
        <v>2</v>
      </c>
      <c r="C127" s="79">
        <v>3</v>
      </c>
      <c r="D127" s="110" t="s">
        <v>887</v>
      </c>
      <c r="E127" s="3">
        <v>3</v>
      </c>
      <c r="F127" s="245">
        <f t="shared" si="8"/>
        <v>49.3</v>
      </c>
    </row>
    <row r="128" spans="2:6" x14ac:dyDescent="0.25">
      <c r="B128" s="3">
        <v>2</v>
      </c>
      <c r="C128" s="79">
        <v>2</v>
      </c>
      <c r="D128" s="110" t="s">
        <v>887</v>
      </c>
      <c r="E128" s="3">
        <v>3</v>
      </c>
      <c r="F128" s="245">
        <f t="shared" si="8"/>
        <v>36.549999999999997</v>
      </c>
    </row>
    <row r="129" spans="2:6" x14ac:dyDescent="0.25">
      <c r="B129" s="3">
        <v>2</v>
      </c>
      <c r="C129" s="79">
        <v>1</v>
      </c>
      <c r="D129" s="110" t="s">
        <v>887</v>
      </c>
      <c r="E129" s="3">
        <v>3</v>
      </c>
      <c r="F129" s="245">
        <f t="shared" si="8"/>
        <v>23.8</v>
      </c>
    </row>
    <row r="130" spans="2:6" x14ac:dyDescent="0.25">
      <c r="B130" s="3">
        <v>2</v>
      </c>
      <c r="C130" s="79">
        <v>3</v>
      </c>
      <c r="D130" s="110" t="s">
        <v>888</v>
      </c>
      <c r="E130" s="3">
        <v>3</v>
      </c>
      <c r="F130" s="245">
        <f t="shared" si="8"/>
        <v>58</v>
      </c>
    </row>
    <row r="131" spans="2:6" x14ac:dyDescent="0.25">
      <c r="B131" s="3">
        <v>2</v>
      </c>
      <c r="C131" s="79">
        <v>2</v>
      </c>
      <c r="D131" s="110" t="s">
        <v>888</v>
      </c>
      <c r="E131" s="3">
        <v>3</v>
      </c>
      <c r="F131" s="245">
        <f t="shared" si="8"/>
        <v>43</v>
      </c>
    </row>
    <row r="132" spans="2:6" x14ac:dyDescent="0.25">
      <c r="B132" s="3">
        <v>2</v>
      </c>
      <c r="C132" s="79">
        <v>1</v>
      </c>
      <c r="D132" s="110" t="s">
        <v>888</v>
      </c>
      <c r="E132" s="3">
        <v>3</v>
      </c>
      <c r="F132" s="245">
        <f t="shared" si="8"/>
        <v>28</v>
      </c>
    </row>
    <row r="133" spans="2:6" x14ac:dyDescent="0.25">
      <c r="B133" s="3">
        <v>2</v>
      </c>
      <c r="C133" s="79">
        <v>3</v>
      </c>
      <c r="D133" s="277" t="s">
        <v>1239</v>
      </c>
      <c r="E133" s="3">
        <v>3</v>
      </c>
      <c r="F133" s="245">
        <f t="shared" si="8"/>
        <v>49.3</v>
      </c>
    </row>
    <row r="134" spans="2:6" x14ac:dyDescent="0.25">
      <c r="B134" s="3">
        <v>2</v>
      </c>
      <c r="C134" s="79">
        <v>2</v>
      </c>
      <c r="D134" s="277" t="s">
        <v>1239</v>
      </c>
      <c r="E134" s="3">
        <v>3</v>
      </c>
      <c r="F134" s="245">
        <f t="shared" si="8"/>
        <v>36.549999999999997</v>
      </c>
    </row>
    <row r="135" spans="2:6" x14ac:dyDescent="0.25">
      <c r="B135" s="3">
        <v>2</v>
      </c>
      <c r="C135" s="79">
        <v>1</v>
      </c>
      <c r="D135" s="277" t="s">
        <v>1239</v>
      </c>
      <c r="E135" s="3">
        <v>3</v>
      </c>
      <c r="F135" s="245">
        <f t="shared" si="8"/>
        <v>23.8</v>
      </c>
    </row>
    <row r="136" spans="2:6" x14ac:dyDescent="0.25">
      <c r="B136" s="3">
        <v>2</v>
      </c>
      <c r="C136" s="79">
        <v>3</v>
      </c>
      <c r="D136" s="262" t="s">
        <v>1343</v>
      </c>
      <c r="E136" s="3">
        <v>3</v>
      </c>
      <c r="F136" s="245">
        <f>N$16</f>
        <v>58</v>
      </c>
    </row>
    <row r="137" spans="2:6" x14ac:dyDescent="0.25">
      <c r="B137" s="3">
        <v>2</v>
      </c>
      <c r="C137" s="79">
        <v>2</v>
      </c>
      <c r="D137" s="262" t="s">
        <v>1343</v>
      </c>
      <c r="E137" s="3">
        <v>3</v>
      </c>
      <c r="F137" s="245">
        <f>N$17</f>
        <v>43</v>
      </c>
    </row>
    <row r="138" spans="2:6" x14ac:dyDescent="0.25">
      <c r="B138" s="3">
        <v>2</v>
      </c>
      <c r="C138" s="79">
        <v>1</v>
      </c>
      <c r="D138" s="262" t="s">
        <v>1343</v>
      </c>
      <c r="E138" s="3">
        <v>3</v>
      </c>
      <c r="F138" s="245">
        <f>N$18</f>
        <v>28</v>
      </c>
    </row>
    <row r="139" spans="2:6" x14ac:dyDescent="0.25">
      <c r="B139" s="3">
        <v>2</v>
      </c>
      <c r="C139" s="79">
        <v>3</v>
      </c>
      <c r="D139" s="262" t="s">
        <v>1344</v>
      </c>
      <c r="E139" s="3">
        <v>3</v>
      </c>
      <c r="F139" s="245">
        <f>N$19</f>
        <v>66.699999999999989</v>
      </c>
    </row>
    <row r="140" spans="2:6" x14ac:dyDescent="0.25">
      <c r="B140" s="3">
        <v>2</v>
      </c>
      <c r="C140" s="79">
        <v>2</v>
      </c>
      <c r="D140" s="262" t="s">
        <v>1344</v>
      </c>
      <c r="E140" s="3">
        <v>3</v>
      </c>
      <c r="F140" s="245">
        <f>N$20</f>
        <v>49.449999999999996</v>
      </c>
    </row>
    <row r="141" spans="2:6" x14ac:dyDescent="0.25">
      <c r="B141" s="3">
        <v>2</v>
      </c>
      <c r="C141" s="79">
        <v>1</v>
      </c>
      <c r="D141" s="262" t="s">
        <v>1344</v>
      </c>
      <c r="E141" s="3">
        <v>3</v>
      </c>
      <c r="F141" s="245">
        <f>N$21</f>
        <v>32.199999999999996</v>
      </c>
    </row>
    <row r="142" spans="2:6" x14ac:dyDescent="0.25">
      <c r="B142" s="3">
        <v>2</v>
      </c>
      <c r="C142" s="79">
        <v>3</v>
      </c>
      <c r="D142" s="277" t="s">
        <v>1240</v>
      </c>
      <c r="E142" s="3">
        <v>3</v>
      </c>
      <c r="F142" s="245">
        <f t="shared" ref="F142:F147" si="9">N22</f>
        <v>66.699999999999989</v>
      </c>
    </row>
    <row r="143" spans="2:6" x14ac:dyDescent="0.25">
      <c r="B143" s="3">
        <v>2</v>
      </c>
      <c r="C143" s="79">
        <v>2</v>
      </c>
      <c r="D143" s="277" t="s">
        <v>1240</v>
      </c>
      <c r="E143" s="3">
        <v>3</v>
      </c>
      <c r="F143" s="245">
        <f t="shared" si="9"/>
        <v>49.449999999999996</v>
      </c>
    </row>
    <row r="144" spans="2:6" x14ac:dyDescent="0.25">
      <c r="B144" s="3">
        <v>2</v>
      </c>
      <c r="C144" s="79">
        <v>1</v>
      </c>
      <c r="D144" s="277" t="s">
        <v>1240</v>
      </c>
      <c r="E144" s="3">
        <v>3</v>
      </c>
      <c r="F144" s="245">
        <f t="shared" si="9"/>
        <v>32.199999999999996</v>
      </c>
    </row>
    <row r="145" spans="2:6" x14ac:dyDescent="0.25">
      <c r="B145" s="3">
        <v>2</v>
      </c>
      <c r="C145" s="79">
        <v>3</v>
      </c>
      <c r="D145" s="527" t="s">
        <v>1335</v>
      </c>
      <c r="E145" s="3">
        <v>3</v>
      </c>
      <c r="F145" s="245">
        <f t="shared" si="9"/>
        <v>49.3</v>
      </c>
    </row>
    <row r="146" spans="2:6" x14ac:dyDescent="0.25">
      <c r="B146" s="3">
        <v>2</v>
      </c>
      <c r="C146" s="79">
        <v>2</v>
      </c>
      <c r="D146" s="527" t="s">
        <v>1335</v>
      </c>
      <c r="E146" s="3">
        <v>3</v>
      </c>
      <c r="F146" s="245">
        <f t="shared" si="9"/>
        <v>36.549999999999997</v>
      </c>
    </row>
    <row r="147" spans="2:6" x14ac:dyDescent="0.25">
      <c r="B147" s="242">
        <v>2</v>
      </c>
      <c r="C147" s="244">
        <v>1</v>
      </c>
      <c r="D147" s="527" t="s">
        <v>1335</v>
      </c>
      <c r="E147" s="242">
        <v>3</v>
      </c>
      <c r="F147" s="246">
        <f t="shared" si="9"/>
        <v>23.8</v>
      </c>
    </row>
    <row r="148" spans="2:6" x14ac:dyDescent="0.25">
      <c r="B148" s="3">
        <v>3</v>
      </c>
      <c r="C148" s="79">
        <v>3</v>
      </c>
      <c r="D148" s="110" t="s">
        <v>889</v>
      </c>
      <c r="E148" s="3">
        <v>1</v>
      </c>
      <c r="F148" s="245">
        <f t="shared" ref="F148:F159" si="10">O4</f>
        <v>72.449999999999989</v>
      </c>
    </row>
    <row r="149" spans="2:6" x14ac:dyDescent="0.25">
      <c r="B149" s="3">
        <v>3</v>
      </c>
      <c r="C149" s="79">
        <v>2</v>
      </c>
      <c r="D149" s="110" t="s">
        <v>889</v>
      </c>
      <c r="E149" s="3">
        <v>1</v>
      </c>
      <c r="F149" s="245">
        <f t="shared" si="10"/>
        <v>52.9</v>
      </c>
    </row>
    <row r="150" spans="2:6" x14ac:dyDescent="0.25">
      <c r="B150" s="3">
        <v>3</v>
      </c>
      <c r="C150" s="79">
        <v>1</v>
      </c>
      <c r="D150" s="110" t="s">
        <v>889</v>
      </c>
      <c r="E150" s="3">
        <v>1</v>
      </c>
      <c r="F150" s="245">
        <f t="shared" si="10"/>
        <v>33.349999999999994</v>
      </c>
    </row>
    <row r="151" spans="2:6" x14ac:dyDescent="0.25">
      <c r="B151" s="3">
        <v>3</v>
      </c>
      <c r="C151" s="79">
        <v>3</v>
      </c>
      <c r="D151" s="110" t="s">
        <v>887</v>
      </c>
      <c r="E151" s="3">
        <v>1</v>
      </c>
      <c r="F151" s="245">
        <f t="shared" si="10"/>
        <v>53.55</v>
      </c>
    </row>
    <row r="152" spans="2:6" x14ac:dyDescent="0.25">
      <c r="B152" s="3">
        <v>3</v>
      </c>
      <c r="C152" s="79">
        <v>2</v>
      </c>
      <c r="D152" s="110" t="s">
        <v>887</v>
      </c>
      <c r="E152" s="3">
        <v>1</v>
      </c>
      <c r="F152" s="245">
        <f t="shared" si="10"/>
        <v>39.1</v>
      </c>
    </row>
    <row r="153" spans="2:6" x14ac:dyDescent="0.25">
      <c r="B153" s="3">
        <v>3</v>
      </c>
      <c r="C153" s="79">
        <v>1</v>
      </c>
      <c r="D153" s="110" t="s">
        <v>887</v>
      </c>
      <c r="E153" s="3">
        <v>1</v>
      </c>
      <c r="F153" s="245">
        <f t="shared" si="10"/>
        <v>24.65</v>
      </c>
    </row>
    <row r="154" spans="2:6" x14ac:dyDescent="0.25">
      <c r="B154" s="3">
        <v>3</v>
      </c>
      <c r="C154" s="79">
        <v>3</v>
      </c>
      <c r="D154" s="110" t="s">
        <v>888</v>
      </c>
      <c r="E154" s="3">
        <v>1</v>
      </c>
      <c r="F154" s="245">
        <f t="shared" si="10"/>
        <v>63</v>
      </c>
    </row>
    <row r="155" spans="2:6" x14ac:dyDescent="0.25">
      <c r="B155" s="3">
        <v>3</v>
      </c>
      <c r="C155" s="79">
        <v>2</v>
      </c>
      <c r="D155" s="110" t="s">
        <v>888</v>
      </c>
      <c r="E155" s="3">
        <v>1</v>
      </c>
      <c r="F155" s="245">
        <f t="shared" si="10"/>
        <v>46</v>
      </c>
    </row>
    <row r="156" spans="2:6" x14ac:dyDescent="0.25">
      <c r="B156" s="3">
        <v>3</v>
      </c>
      <c r="C156" s="79">
        <v>1</v>
      </c>
      <c r="D156" s="110" t="s">
        <v>888</v>
      </c>
      <c r="E156" s="3">
        <v>1</v>
      </c>
      <c r="F156" s="245">
        <f t="shared" si="10"/>
        <v>29</v>
      </c>
    </row>
    <row r="157" spans="2:6" x14ac:dyDescent="0.25">
      <c r="B157" s="3">
        <v>3</v>
      </c>
      <c r="C157" s="79">
        <v>3</v>
      </c>
      <c r="D157" s="277" t="s">
        <v>1239</v>
      </c>
      <c r="E157" s="3">
        <v>1</v>
      </c>
      <c r="F157" s="245">
        <f t="shared" si="10"/>
        <v>53.55</v>
      </c>
    </row>
    <row r="158" spans="2:6" x14ac:dyDescent="0.25">
      <c r="B158" s="3">
        <v>3</v>
      </c>
      <c r="C158" s="79">
        <v>2</v>
      </c>
      <c r="D158" s="277" t="s">
        <v>1239</v>
      </c>
      <c r="E158" s="3">
        <v>1</v>
      </c>
      <c r="F158" s="245">
        <f t="shared" si="10"/>
        <v>39.1</v>
      </c>
    </row>
    <row r="159" spans="2:6" x14ac:dyDescent="0.25">
      <c r="B159" s="3">
        <v>3</v>
      </c>
      <c r="C159" s="79">
        <v>1</v>
      </c>
      <c r="D159" s="277" t="s">
        <v>1239</v>
      </c>
      <c r="E159" s="3">
        <v>1</v>
      </c>
      <c r="F159" s="245">
        <f t="shared" si="10"/>
        <v>24.65</v>
      </c>
    </row>
    <row r="160" spans="2:6" x14ac:dyDescent="0.25">
      <c r="B160" s="3">
        <v>3</v>
      </c>
      <c r="C160" s="79">
        <v>3</v>
      </c>
      <c r="D160" s="262" t="s">
        <v>1343</v>
      </c>
      <c r="E160" s="3">
        <v>1</v>
      </c>
      <c r="F160" s="245">
        <f>O$16</f>
        <v>63</v>
      </c>
    </row>
    <row r="161" spans="2:6" x14ac:dyDescent="0.25">
      <c r="B161" s="3">
        <v>3</v>
      </c>
      <c r="C161" s="79">
        <v>2</v>
      </c>
      <c r="D161" s="262" t="s">
        <v>1343</v>
      </c>
      <c r="E161" s="3">
        <v>1</v>
      </c>
      <c r="F161" s="245">
        <f>O$17</f>
        <v>46</v>
      </c>
    </row>
    <row r="162" spans="2:6" x14ac:dyDescent="0.25">
      <c r="B162" s="3">
        <v>3</v>
      </c>
      <c r="C162" s="79">
        <v>1</v>
      </c>
      <c r="D162" s="262" t="s">
        <v>1343</v>
      </c>
      <c r="E162" s="3">
        <v>1</v>
      </c>
      <c r="F162" s="245">
        <f>O$18</f>
        <v>29</v>
      </c>
    </row>
    <row r="163" spans="2:6" x14ac:dyDescent="0.25">
      <c r="B163" s="3">
        <v>3</v>
      </c>
      <c r="C163" s="79">
        <v>3</v>
      </c>
      <c r="D163" s="262" t="s">
        <v>1344</v>
      </c>
      <c r="E163" s="3">
        <v>1</v>
      </c>
      <c r="F163" s="245">
        <f>O$19</f>
        <v>72.449999999999989</v>
      </c>
    </row>
    <row r="164" spans="2:6" x14ac:dyDescent="0.25">
      <c r="B164" s="3">
        <v>3</v>
      </c>
      <c r="C164" s="79">
        <v>2</v>
      </c>
      <c r="D164" s="262" t="s">
        <v>1344</v>
      </c>
      <c r="E164" s="3">
        <v>1</v>
      </c>
      <c r="F164" s="245">
        <f>O$20</f>
        <v>52.9</v>
      </c>
    </row>
    <row r="165" spans="2:6" x14ac:dyDescent="0.25">
      <c r="B165" s="3">
        <v>3</v>
      </c>
      <c r="C165" s="79">
        <v>1</v>
      </c>
      <c r="D165" s="262" t="s">
        <v>1344</v>
      </c>
      <c r="E165" s="3">
        <v>1</v>
      </c>
      <c r="F165" s="245">
        <f>O$21</f>
        <v>33.349999999999994</v>
      </c>
    </row>
    <row r="166" spans="2:6" x14ac:dyDescent="0.25">
      <c r="B166" s="3">
        <v>3</v>
      </c>
      <c r="C166" s="79">
        <v>3</v>
      </c>
      <c r="D166" s="277" t="s">
        <v>1240</v>
      </c>
      <c r="E166" s="3">
        <v>1</v>
      </c>
      <c r="F166" s="245">
        <f t="shared" ref="F166:F171" si="11">O22</f>
        <v>72.449999999999989</v>
      </c>
    </row>
    <row r="167" spans="2:6" x14ac:dyDescent="0.25">
      <c r="B167" s="3">
        <v>3</v>
      </c>
      <c r="C167" s="79">
        <v>2</v>
      </c>
      <c r="D167" s="277" t="s">
        <v>1240</v>
      </c>
      <c r="E167" s="3">
        <v>1</v>
      </c>
      <c r="F167" s="245">
        <f t="shared" si="11"/>
        <v>52.9</v>
      </c>
    </row>
    <row r="168" spans="2:6" x14ac:dyDescent="0.25">
      <c r="B168" s="3">
        <v>3</v>
      </c>
      <c r="C168" s="79">
        <v>1</v>
      </c>
      <c r="D168" s="277" t="s">
        <v>1240</v>
      </c>
      <c r="E168" s="3">
        <v>1</v>
      </c>
      <c r="F168" s="245">
        <f t="shared" si="11"/>
        <v>33.349999999999994</v>
      </c>
    </row>
    <row r="169" spans="2:6" x14ac:dyDescent="0.25">
      <c r="B169" s="3">
        <v>3</v>
      </c>
      <c r="C169" s="79">
        <v>3</v>
      </c>
      <c r="D169" s="527" t="s">
        <v>1335</v>
      </c>
      <c r="E169" s="3">
        <v>1</v>
      </c>
      <c r="F169" s="245">
        <f t="shared" si="11"/>
        <v>53.55</v>
      </c>
    </row>
    <row r="170" spans="2:6" x14ac:dyDescent="0.25">
      <c r="B170" s="3">
        <v>3</v>
      </c>
      <c r="C170" s="79">
        <v>2</v>
      </c>
      <c r="D170" s="527" t="s">
        <v>1335</v>
      </c>
      <c r="E170" s="3">
        <v>1</v>
      </c>
      <c r="F170" s="245">
        <f t="shared" si="11"/>
        <v>39.1</v>
      </c>
    </row>
    <row r="171" spans="2:6" x14ac:dyDescent="0.25">
      <c r="B171" s="3">
        <v>3</v>
      </c>
      <c r="C171" s="244">
        <v>1</v>
      </c>
      <c r="D171" s="543" t="s">
        <v>1335</v>
      </c>
      <c r="E171" s="242">
        <v>1</v>
      </c>
      <c r="F171" s="246">
        <f t="shared" si="11"/>
        <v>24.65</v>
      </c>
    </row>
    <row r="172" spans="2:6" x14ac:dyDescent="0.25">
      <c r="B172" s="3">
        <v>3</v>
      </c>
      <c r="C172" s="79">
        <v>3</v>
      </c>
      <c r="D172" s="110" t="s">
        <v>889</v>
      </c>
      <c r="E172" s="3">
        <v>2</v>
      </c>
      <c r="F172" s="245">
        <f t="shared" ref="F172:F183" si="12">P4</f>
        <v>65.55</v>
      </c>
    </row>
    <row r="173" spans="2:6" x14ac:dyDescent="0.25">
      <c r="B173" s="3">
        <v>3</v>
      </c>
      <c r="C173" s="79">
        <v>2</v>
      </c>
      <c r="D173" s="110" t="s">
        <v>889</v>
      </c>
      <c r="E173" s="3">
        <v>2</v>
      </c>
      <c r="F173" s="245">
        <f t="shared" si="12"/>
        <v>48.3</v>
      </c>
    </row>
    <row r="174" spans="2:6" x14ac:dyDescent="0.25">
      <c r="B174" s="3">
        <v>3</v>
      </c>
      <c r="C174" s="79">
        <v>1</v>
      </c>
      <c r="D174" s="110" t="s">
        <v>889</v>
      </c>
      <c r="E174" s="3">
        <v>2</v>
      </c>
      <c r="F174" s="245">
        <f t="shared" si="12"/>
        <v>32.199999999999996</v>
      </c>
    </row>
    <row r="175" spans="2:6" x14ac:dyDescent="0.25">
      <c r="B175" s="3">
        <v>3</v>
      </c>
      <c r="C175" s="79">
        <v>3</v>
      </c>
      <c r="D175" s="110" t="s">
        <v>887</v>
      </c>
      <c r="E175" s="3">
        <v>2</v>
      </c>
      <c r="F175" s="245">
        <f t="shared" si="12"/>
        <v>48.449999999999996</v>
      </c>
    </row>
    <row r="176" spans="2:6" x14ac:dyDescent="0.25">
      <c r="B176" s="3">
        <v>3</v>
      </c>
      <c r="C176" s="79">
        <v>2</v>
      </c>
      <c r="D176" s="110" t="s">
        <v>887</v>
      </c>
      <c r="E176" s="3">
        <v>2</v>
      </c>
      <c r="F176" s="245">
        <f t="shared" si="12"/>
        <v>35.699999999999996</v>
      </c>
    </row>
    <row r="177" spans="2:6" x14ac:dyDescent="0.25">
      <c r="B177" s="3">
        <v>3</v>
      </c>
      <c r="C177" s="79">
        <v>1</v>
      </c>
      <c r="D177" s="110" t="s">
        <v>887</v>
      </c>
      <c r="E177" s="3">
        <v>2</v>
      </c>
      <c r="F177" s="245">
        <f t="shared" si="12"/>
        <v>23.8</v>
      </c>
    </row>
    <row r="178" spans="2:6" x14ac:dyDescent="0.25">
      <c r="B178" s="3">
        <v>3</v>
      </c>
      <c r="C178" s="79">
        <v>3</v>
      </c>
      <c r="D178" s="110" t="s">
        <v>888</v>
      </c>
      <c r="E178" s="3">
        <v>2</v>
      </c>
      <c r="F178" s="245">
        <f t="shared" si="12"/>
        <v>57</v>
      </c>
    </row>
    <row r="179" spans="2:6" x14ac:dyDescent="0.25">
      <c r="B179" s="3">
        <v>3</v>
      </c>
      <c r="C179" s="79">
        <v>2</v>
      </c>
      <c r="D179" s="110" t="s">
        <v>888</v>
      </c>
      <c r="E179" s="3">
        <v>2</v>
      </c>
      <c r="F179" s="245">
        <f t="shared" si="12"/>
        <v>42</v>
      </c>
    </row>
    <row r="180" spans="2:6" x14ac:dyDescent="0.25">
      <c r="B180" s="3">
        <v>3</v>
      </c>
      <c r="C180" s="79">
        <v>1</v>
      </c>
      <c r="D180" s="110" t="s">
        <v>888</v>
      </c>
      <c r="E180" s="3">
        <v>2</v>
      </c>
      <c r="F180" s="245">
        <f t="shared" si="12"/>
        <v>28</v>
      </c>
    </row>
    <row r="181" spans="2:6" x14ac:dyDescent="0.25">
      <c r="B181" s="3">
        <v>3</v>
      </c>
      <c r="C181" s="79">
        <v>3</v>
      </c>
      <c r="D181" s="277" t="s">
        <v>1239</v>
      </c>
      <c r="E181" s="3">
        <v>2</v>
      </c>
      <c r="F181" s="245">
        <f t="shared" si="12"/>
        <v>48.449999999999996</v>
      </c>
    </row>
    <row r="182" spans="2:6" x14ac:dyDescent="0.25">
      <c r="B182" s="3">
        <v>3</v>
      </c>
      <c r="C182" s="79">
        <v>2</v>
      </c>
      <c r="D182" s="277" t="s">
        <v>1239</v>
      </c>
      <c r="E182" s="3">
        <v>2</v>
      </c>
      <c r="F182" s="245">
        <f t="shared" si="12"/>
        <v>35.699999999999996</v>
      </c>
    </row>
    <row r="183" spans="2:6" x14ac:dyDescent="0.25">
      <c r="B183" s="3">
        <v>3</v>
      </c>
      <c r="C183" s="79">
        <v>1</v>
      </c>
      <c r="D183" s="277" t="s">
        <v>1239</v>
      </c>
      <c r="E183" s="3">
        <v>2</v>
      </c>
      <c r="F183" s="245">
        <f t="shared" si="12"/>
        <v>23.8</v>
      </c>
    </row>
    <row r="184" spans="2:6" x14ac:dyDescent="0.25">
      <c r="B184" s="3">
        <v>3</v>
      </c>
      <c r="C184" s="79">
        <v>3</v>
      </c>
      <c r="D184" s="262" t="s">
        <v>1343</v>
      </c>
      <c r="E184" s="3">
        <v>2</v>
      </c>
      <c r="F184" s="245">
        <f>P$16</f>
        <v>57</v>
      </c>
    </row>
    <row r="185" spans="2:6" x14ac:dyDescent="0.25">
      <c r="B185" s="3">
        <v>3</v>
      </c>
      <c r="C185" s="79">
        <v>2</v>
      </c>
      <c r="D185" s="262" t="s">
        <v>1343</v>
      </c>
      <c r="E185" s="3">
        <v>2</v>
      </c>
      <c r="F185" s="245">
        <f>P$17</f>
        <v>42</v>
      </c>
    </row>
    <row r="186" spans="2:6" x14ac:dyDescent="0.25">
      <c r="B186" s="3">
        <v>3</v>
      </c>
      <c r="C186" s="79">
        <v>1</v>
      </c>
      <c r="D186" s="262" t="s">
        <v>1343</v>
      </c>
      <c r="E186" s="3">
        <v>2</v>
      </c>
      <c r="F186" s="245">
        <f>P$18</f>
        <v>28</v>
      </c>
    </row>
    <row r="187" spans="2:6" x14ac:dyDescent="0.25">
      <c r="B187" s="3">
        <v>3</v>
      </c>
      <c r="C187" s="79">
        <v>3</v>
      </c>
      <c r="D187" s="262" t="s">
        <v>1344</v>
      </c>
      <c r="E187" s="3">
        <v>2</v>
      </c>
      <c r="F187" s="245">
        <f>P$19</f>
        <v>65.55</v>
      </c>
    </row>
    <row r="188" spans="2:6" x14ac:dyDescent="0.25">
      <c r="B188" s="3">
        <v>3</v>
      </c>
      <c r="C188" s="79">
        <v>2</v>
      </c>
      <c r="D188" s="262" t="s">
        <v>1344</v>
      </c>
      <c r="E188" s="3">
        <v>2</v>
      </c>
      <c r="F188" s="245">
        <f>P$20</f>
        <v>48.3</v>
      </c>
    </row>
    <row r="189" spans="2:6" x14ac:dyDescent="0.25">
      <c r="B189" s="3">
        <v>3</v>
      </c>
      <c r="C189" s="79">
        <v>1</v>
      </c>
      <c r="D189" s="262" t="s">
        <v>1344</v>
      </c>
      <c r="E189" s="3">
        <v>2</v>
      </c>
      <c r="F189" s="245">
        <f>P$21</f>
        <v>32.199999999999996</v>
      </c>
    </row>
    <row r="190" spans="2:6" x14ac:dyDescent="0.25">
      <c r="B190" s="3">
        <v>3</v>
      </c>
      <c r="C190" s="79">
        <v>3</v>
      </c>
      <c r="D190" s="277" t="s">
        <v>1240</v>
      </c>
      <c r="E190" s="3">
        <v>2</v>
      </c>
      <c r="F190" s="245">
        <f t="shared" ref="F190:F195" si="13">P22</f>
        <v>65.55</v>
      </c>
    </row>
    <row r="191" spans="2:6" x14ac:dyDescent="0.25">
      <c r="B191" s="3">
        <v>3</v>
      </c>
      <c r="C191" s="79">
        <v>2</v>
      </c>
      <c r="D191" s="277" t="s">
        <v>1240</v>
      </c>
      <c r="E191" s="3">
        <v>2</v>
      </c>
      <c r="F191" s="245">
        <f t="shared" si="13"/>
        <v>48.3</v>
      </c>
    </row>
    <row r="192" spans="2:6" x14ac:dyDescent="0.25">
      <c r="B192" s="3">
        <v>3</v>
      </c>
      <c r="C192" s="79">
        <v>1</v>
      </c>
      <c r="D192" s="277" t="s">
        <v>1240</v>
      </c>
      <c r="E192" s="3">
        <v>2</v>
      </c>
      <c r="F192" s="245">
        <f t="shared" si="13"/>
        <v>32.199999999999996</v>
      </c>
    </row>
    <row r="193" spans="2:6" x14ac:dyDescent="0.25">
      <c r="B193" s="3">
        <v>3</v>
      </c>
      <c r="C193" s="79">
        <v>3</v>
      </c>
      <c r="D193" s="527" t="s">
        <v>1335</v>
      </c>
      <c r="E193" s="3">
        <v>2</v>
      </c>
      <c r="F193" s="245">
        <f t="shared" si="13"/>
        <v>48.449999999999996</v>
      </c>
    </row>
    <row r="194" spans="2:6" x14ac:dyDescent="0.25">
      <c r="B194" s="3">
        <v>3</v>
      </c>
      <c r="C194" s="79">
        <v>2</v>
      </c>
      <c r="D194" s="527" t="s">
        <v>1335</v>
      </c>
      <c r="E194" s="3">
        <v>2</v>
      </c>
      <c r="F194" s="245">
        <f t="shared" si="13"/>
        <v>35.699999999999996</v>
      </c>
    </row>
    <row r="195" spans="2:6" x14ac:dyDescent="0.25">
      <c r="B195" s="3">
        <v>3</v>
      </c>
      <c r="C195" s="244">
        <v>1</v>
      </c>
      <c r="D195" s="543" t="s">
        <v>1335</v>
      </c>
      <c r="E195" s="242">
        <v>2</v>
      </c>
      <c r="F195" s="246">
        <f t="shared" si="13"/>
        <v>23.8</v>
      </c>
    </row>
    <row r="196" spans="2:6" x14ac:dyDescent="0.25">
      <c r="B196" s="3">
        <v>3</v>
      </c>
      <c r="C196" s="79">
        <v>3</v>
      </c>
      <c r="D196" s="110" t="s">
        <v>889</v>
      </c>
      <c r="E196" s="3">
        <v>3</v>
      </c>
      <c r="F196" s="245">
        <f t="shared" ref="F196:F207" si="14">Q4</f>
        <v>57.499999999999993</v>
      </c>
    </row>
    <row r="197" spans="2:6" x14ac:dyDescent="0.25">
      <c r="B197" s="3">
        <v>3</v>
      </c>
      <c r="C197" s="79">
        <v>2</v>
      </c>
      <c r="D197" s="110" t="s">
        <v>889</v>
      </c>
      <c r="E197" s="3">
        <v>3</v>
      </c>
      <c r="F197" s="245">
        <f t="shared" si="14"/>
        <v>43.699999999999996</v>
      </c>
    </row>
    <row r="198" spans="2:6" x14ac:dyDescent="0.25">
      <c r="B198" s="3">
        <v>3</v>
      </c>
      <c r="C198" s="79">
        <v>1</v>
      </c>
      <c r="D198" s="110" t="s">
        <v>889</v>
      </c>
      <c r="E198" s="3">
        <v>3</v>
      </c>
      <c r="F198" s="245">
        <f t="shared" si="14"/>
        <v>28.749999999999996</v>
      </c>
    </row>
    <row r="199" spans="2:6" x14ac:dyDescent="0.25">
      <c r="B199" s="3">
        <v>3</v>
      </c>
      <c r="C199" s="79">
        <v>3</v>
      </c>
      <c r="D199" s="110" t="s">
        <v>887</v>
      </c>
      <c r="E199" s="3">
        <v>3</v>
      </c>
      <c r="F199" s="245">
        <f t="shared" si="14"/>
        <v>42.5</v>
      </c>
    </row>
    <row r="200" spans="2:6" x14ac:dyDescent="0.25">
      <c r="B200" s="3">
        <v>3</v>
      </c>
      <c r="C200" s="79">
        <v>2</v>
      </c>
      <c r="D200" s="110" t="s">
        <v>887</v>
      </c>
      <c r="E200" s="3">
        <v>3</v>
      </c>
      <c r="F200" s="245">
        <f t="shared" si="14"/>
        <v>32.299999999999997</v>
      </c>
    </row>
    <row r="201" spans="2:6" x14ac:dyDescent="0.25">
      <c r="B201" s="3">
        <v>3</v>
      </c>
      <c r="C201" s="79">
        <v>1</v>
      </c>
      <c r="D201" s="110" t="s">
        <v>887</v>
      </c>
      <c r="E201" s="3">
        <v>3</v>
      </c>
      <c r="F201" s="245">
        <f t="shared" si="14"/>
        <v>21.25</v>
      </c>
    </row>
    <row r="202" spans="2:6" x14ac:dyDescent="0.25">
      <c r="B202" s="3">
        <v>3</v>
      </c>
      <c r="C202" s="79">
        <v>3</v>
      </c>
      <c r="D202" s="110" t="s">
        <v>888</v>
      </c>
      <c r="E202" s="3">
        <v>3</v>
      </c>
      <c r="F202" s="245">
        <f t="shared" si="14"/>
        <v>50</v>
      </c>
    </row>
    <row r="203" spans="2:6" x14ac:dyDescent="0.25">
      <c r="B203" s="3">
        <v>3</v>
      </c>
      <c r="C203" s="79">
        <v>2</v>
      </c>
      <c r="D203" s="110" t="s">
        <v>888</v>
      </c>
      <c r="E203" s="3">
        <v>3</v>
      </c>
      <c r="F203" s="245">
        <f t="shared" si="14"/>
        <v>38</v>
      </c>
    </row>
    <row r="204" spans="2:6" x14ac:dyDescent="0.25">
      <c r="B204" s="3">
        <v>3</v>
      </c>
      <c r="C204" s="79">
        <v>1</v>
      </c>
      <c r="D204" s="110" t="s">
        <v>888</v>
      </c>
      <c r="E204" s="3">
        <v>3</v>
      </c>
      <c r="F204" s="245">
        <f t="shared" si="14"/>
        <v>25</v>
      </c>
    </row>
    <row r="205" spans="2:6" x14ac:dyDescent="0.25">
      <c r="B205" s="3">
        <v>3</v>
      </c>
      <c r="C205" s="79">
        <v>3</v>
      </c>
      <c r="D205" s="277" t="s">
        <v>1239</v>
      </c>
      <c r="E205" s="3">
        <v>3</v>
      </c>
      <c r="F205" s="245">
        <f t="shared" si="14"/>
        <v>42.5</v>
      </c>
    </row>
    <row r="206" spans="2:6" x14ac:dyDescent="0.25">
      <c r="B206" s="3">
        <v>3</v>
      </c>
      <c r="C206" s="79">
        <v>2</v>
      </c>
      <c r="D206" s="277" t="s">
        <v>1239</v>
      </c>
      <c r="E206" s="3">
        <v>3</v>
      </c>
      <c r="F206" s="245">
        <f t="shared" si="14"/>
        <v>32.299999999999997</v>
      </c>
    </row>
    <row r="207" spans="2:6" x14ac:dyDescent="0.25">
      <c r="B207" s="3">
        <v>3</v>
      </c>
      <c r="C207" s="79">
        <v>1</v>
      </c>
      <c r="D207" s="277" t="s">
        <v>1239</v>
      </c>
      <c r="E207" s="3">
        <v>3</v>
      </c>
      <c r="F207" s="245">
        <f t="shared" si="14"/>
        <v>21.25</v>
      </c>
    </row>
    <row r="208" spans="2:6" x14ac:dyDescent="0.25">
      <c r="B208" s="3">
        <v>3</v>
      </c>
      <c r="C208" s="79">
        <v>3</v>
      </c>
      <c r="D208" s="262" t="s">
        <v>1343</v>
      </c>
      <c r="E208" s="3">
        <v>3</v>
      </c>
      <c r="F208" s="245">
        <f>Q$16</f>
        <v>50</v>
      </c>
    </row>
    <row r="209" spans="1:7" x14ac:dyDescent="0.25">
      <c r="B209" s="3">
        <v>3</v>
      </c>
      <c r="C209" s="79">
        <v>2</v>
      </c>
      <c r="D209" s="262" t="s">
        <v>1343</v>
      </c>
      <c r="E209" s="3">
        <v>3</v>
      </c>
      <c r="F209" s="245">
        <f>Q$17</f>
        <v>38</v>
      </c>
    </row>
    <row r="210" spans="1:7" x14ac:dyDescent="0.25">
      <c r="B210" s="3">
        <v>3</v>
      </c>
      <c r="C210" s="79">
        <v>1</v>
      </c>
      <c r="D210" s="262" t="s">
        <v>1343</v>
      </c>
      <c r="E210" s="3">
        <v>3</v>
      </c>
      <c r="F210" s="245">
        <f>Q$18</f>
        <v>25</v>
      </c>
    </row>
    <row r="211" spans="1:7" x14ac:dyDescent="0.25">
      <c r="B211" s="3">
        <v>3</v>
      </c>
      <c r="C211" s="79">
        <v>3</v>
      </c>
      <c r="D211" s="262" t="s">
        <v>1344</v>
      </c>
      <c r="E211" s="3">
        <v>3</v>
      </c>
      <c r="F211" s="245">
        <f>Q$19</f>
        <v>57.499999999999993</v>
      </c>
    </row>
    <row r="212" spans="1:7" x14ac:dyDescent="0.25">
      <c r="B212" s="3">
        <v>3</v>
      </c>
      <c r="C212" s="79">
        <v>2</v>
      </c>
      <c r="D212" s="262" t="s">
        <v>1344</v>
      </c>
      <c r="E212" s="3">
        <v>3</v>
      </c>
      <c r="F212" s="245">
        <f>Q$20</f>
        <v>43.699999999999996</v>
      </c>
    </row>
    <row r="213" spans="1:7" x14ac:dyDescent="0.25">
      <c r="B213" s="3">
        <v>3</v>
      </c>
      <c r="C213" s="79">
        <v>1</v>
      </c>
      <c r="D213" s="262" t="s">
        <v>1344</v>
      </c>
      <c r="E213" s="3">
        <v>3</v>
      </c>
      <c r="F213" s="245">
        <f>Q$21</f>
        <v>28.749999999999996</v>
      </c>
    </row>
    <row r="214" spans="1:7" x14ac:dyDescent="0.25">
      <c r="B214" s="3">
        <v>3</v>
      </c>
      <c r="C214" s="79">
        <v>3</v>
      </c>
      <c r="D214" s="277" t="s">
        <v>1240</v>
      </c>
      <c r="E214" s="3">
        <v>3</v>
      </c>
      <c r="F214" s="245">
        <f t="shared" ref="F214:F219" si="15">Q22</f>
        <v>57.499999999999993</v>
      </c>
    </row>
    <row r="215" spans="1:7" x14ac:dyDescent="0.25">
      <c r="B215" s="3">
        <v>3</v>
      </c>
      <c r="C215" s="79">
        <v>2</v>
      </c>
      <c r="D215" s="277" t="s">
        <v>1240</v>
      </c>
      <c r="E215" s="3">
        <v>3</v>
      </c>
      <c r="F215" s="245">
        <f t="shared" si="15"/>
        <v>43.699999999999996</v>
      </c>
    </row>
    <row r="216" spans="1:7" x14ac:dyDescent="0.25">
      <c r="B216" s="3">
        <v>3</v>
      </c>
      <c r="C216" s="79">
        <v>1</v>
      </c>
      <c r="D216" s="277" t="s">
        <v>1240</v>
      </c>
      <c r="E216" s="3">
        <v>3</v>
      </c>
      <c r="F216" s="245">
        <f t="shared" si="15"/>
        <v>28.749999999999996</v>
      </c>
    </row>
    <row r="217" spans="1:7" x14ac:dyDescent="0.25">
      <c r="B217" s="3">
        <v>3</v>
      </c>
      <c r="C217" s="79">
        <v>3</v>
      </c>
      <c r="D217" s="527" t="s">
        <v>1335</v>
      </c>
      <c r="E217" s="3">
        <v>3</v>
      </c>
      <c r="F217" s="245">
        <f t="shared" si="15"/>
        <v>42.5</v>
      </c>
    </row>
    <row r="218" spans="1:7" x14ac:dyDescent="0.25">
      <c r="B218" s="3">
        <v>3</v>
      </c>
      <c r="C218" s="79">
        <v>2</v>
      </c>
      <c r="D218" s="527" t="s">
        <v>1335</v>
      </c>
      <c r="E218" s="3">
        <v>3</v>
      </c>
      <c r="F218" s="245">
        <f t="shared" si="15"/>
        <v>32.299999999999997</v>
      </c>
    </row>
    <row r="219" spans="1:7" ht="13.8" thickBot="1" x14ac:dyDescent="0.3">
      <c r="A219" s="181"/>
      <c r="B219" s="229">
        <v>3</v>
      </c>
      <c r="C219" s="265">
        <v>1</v>
      </c>
      <c r="D219" s="527" t="s">
        <v>1335</v>
      </c>
      <c r="E219" s="229">
        <v>3</v>
      </c>
      <c r="F219" s="266">
        <f t="shared" si="15"/>
        <v>21.25</v>
      </c>
      <c r="G219" s="181"/>
    </row>
    <row r="220" spans="1:7" x14ac:dyDescent="0.25">
      <c r="B220" s="3">
        <v>1</v>
      </c>
      <c r="C220" s="79">
        <v>2</v>
      </c>
      <c r="D220">
        <v>3</v>
      </c>
      <c r="E220" s="3">
        <v>4</v>
      </c>
      <c r="F220" s="3">
        <v>5</v>
      </c>
    </row>
    <row r="221" spans="1:7" x14ac:dyDescent="0.25">
      <c r="B221" s="75" t="s">
        <v>915</v>
      </c>
      <c r="C221" s="155"/>
      <c r="D221" s="155"/>
      <c r="E221" s="76"/>
    </row>
    <row r="222" spans="1:7" x14ac:dyDescent="0.25">
      <c r="B222" s="267" t="s">
        <v>316</v>
      </c>
      <c r="C222" s="247" t="s">
        <v>878</v>
      </c>
      <c r="D222" s="261" t="s">
        <v>891</v>
      </c>
      <c r="E222" s="268" t="s">
        <v>879</v>
      </c>
    </row>
    <row r="223" spans="1:7" x14ac:dyDescent="0.25">
      <c r="A223" t="s">
        <v>912</v>
      </c>
      <c r="B223" s="144">
        <f>Suolo!E19</f>
        <v>2</v>
      </c>
      <c r="C223" s="4">
        <f>Ciclo_Modalità!G44</f>
        <v>2</v>
      </c>
      <c r="D223" s="4" t="str">
        <f>Fert_org!D27</f>
        <v>com</v>
      </c>
      <c r="E223" s="269">
        <f>Mod_distribuz!K7</f>
        <v>1</v>
      </c>
      <c r="F223" s="5" t="e">
        <f>DGET($B$3:$F$219,F$220,B222:E223)</f>
        <v>#VALUE!</v>
      </c>
    </row>
    <row r="224" spans="1:7" x14ac:dyDescent="0.25">
      <c r="B224" s="267" t="s">
        <v>316</v>
      </c>
      <c r="C224" s="247" t="s">
        <v>878</v>
      </c>
      <c r="D224" s="261" t="s">
        <v>891</v>
      </c>
      <c r="E224" s="268" t="s">
        <v>879</v>
      </c>
    </row>
    <row r="225" spans="1:6" x14ac:dyDescent="0.25">
      <c r="A225" t="s">
        <v>924</v>
      </c>
      <c r="B225" s="144">
        <f>Suolo!E19</f>
        <v>2</v>
      </c>
      <c r="C225" s="4">
        <f>Ciclo_Modalità!G46</f>
        <v>3</v>
      </c>
      <c r="D225" s="4" t="str">
        <f>Fert_org!D29</f>
        <v>bov</v>
      </c>
      <c r="E225" s="269">
        <f>Mod_distribuz!K9</f>
        <v>3</v>
      </c>
      <c r="F225" s="5">
        <f>DGET($B$3:$F$219,F$220,B224:E225)</f>
        <v>49.3</v>
      </c>
    </row>
    <row r="226" spans="1:6" x14ac:dyDescent="0.25">
      <c r="B226" s="267" t="s">
        <v>316</v>
      </c>
      <c r="C226" s="247" t="s">
        <v>878</v>
      </c>
      <c r="D226" s="261" t="s">
        <v>891</v>
      </c>
      <c r="E226" s="268" t="s">
        <v>879</v>
      </c>
    </row>
    <row r="227" spans="1:6" x14ac:dyDescent="0.25">
      <c r="A227" s="167" t="s">
        <v>926</v>
      </c>
      <c r="B227" s="144">
        <f>Suolo!E19</f>
        <v>2</v>
      </c>
      <c r="C227" s="4">
        <f>Ciclo_Modalità!G48</f>
        <v>2</v>
      </c>
      <c r="D227" s="4" t="str">
        <f>Fert_org!D31</f>
        <v>nn</v>
      </c>
      <c r="E227" s="269">
        <f>Mod_distribuz!K11</f>
        <v>1</v>
      </c>
      <c r="F227" s="5" t="e">
        <f>DGET($B$3:$F$219,F$220,B226:E227)</f>
        <v>#VALUE!</v>
      </c>
    </row>
  </sheetData>
  <sheetProtection sheet="1" objects="1" scenarios="1"/>
  <mergeCells count="8">
    <mergeCell ref="R22:R24"/>
    <mergeCell ref="R25:R27"/>
    <mergeCell ref="R19:R21"/>
    <mergeCell ref="R4:R6"/>
    <mergeCell ref="R7:R9"/>
    <mergeCell ref="R10:R12"/>
    <mergeCell ref="R13:R15"/>
    <mergeCell ref="R16:R1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29"/>
  <dimension ref="A1:N15"/>
  <sheetViews>
    <sheetView workbookViewId="0">
      <selection sqref="A1:H14"/>
    </sheetView>
  </sheetViews>
  <sheetFormatPr defaultRowHeight="13.2" x14ac:dyDescent="0.25"/>
  <cols>
    <col min="1" max="1" width="1.6640625" customWidth="1"/>
    <col min="2" max="2" width="10.5546875" customWidth="1"/>
    <col min="3" max="3" width="20.6640625" customWidth="1"/>
    <col min="4" max="4" width="13.33203125" bestFit="1" customWidth="1"/>
    <col min="5" max="5" width="13.33203125" customWidth="1"/>
    <col min="6" max="6" width="20.5546875" customWidth="1"/>
    <col min="8" max="8" width="29.33203125" customWidth="1"/>
  </cols>
  <sheetData>
    <row r="1" spans="1:14" x14ac:dyDescent="0.25">
      <c r="A1" s="30" t="s">
        <v>833</v>
      </c>
      <c r="B1" s="32"/>
      <c r="C1" s="32"/>
      <c r="D1" s="32"/>
    </row>
    <row r="3" spans="1:14" ht="26.4" x14ac:dyDescent="0.25">
      <c r="B3" s="30" t="s">
        <v>661</v>
      </c>
      <c r="C3" s="30" t="s">
        <v>662</v>
      </c>
      <c r="D3" s="7" t="s">
        <v>663</v>
      </c>
      <c r="E3" s="532" t="s">
        <v>664</v>
      </c>
      <c r="F3" t="s">
        <v>665</v>
      </c>
      <c r="G3" t="s">
        <v>681</v>
      </c>
      <c r="H3" s="36" t="s">
        <v>1351</v>
      </c>
    </row>
    <row r="4" spans="1:14" x14ac:dyDescent="0.25">
      <c r="B4" s="542">
        <v>1</v>
      </c>
      <c r="C4" s="533" t="s">
        <v>474</v>
      </c>
      <c r="D4" s="534" t="s">
        <v>666</v>
      </c>
      <c r="E4" s="535" t="s">
        <v>666</v>
      </c>
      <c r="F4" s="536" t="s">
        <v>666</v>
      </c>
      <c r="G4" s="534" t="s">
        <v>666</v>
      </c>
      <c r="H4" s="230"/>
    </row>
    <row r="5" spans="1:14" ht="39.6" x14ac:dyDescent="0.25">
      <c r="B5" s="542">
        <v>2</v>
      </c>
      <c r="C5" s="537" t="s">
        <v>1338</v>
      </c>
      <c r="D5" s="534" t="s">
        <v>667</v>
      </c>
      <c r="E5" s="534" t="s">
        <v>668</v>
      </c>
      <c r="F5" s="536" t="s">
        <v>669</v>
      </c>
      <c r="G5" s="534" t="s">
        <v>346</v>
      </c>
      <c r="H5" s="540" t="s">
        <v>1339</v>
      </c>
      <c r="I5" s="516"/>
      <c r="J5" s="516"/>
      <c r="K5" s="516"/>
      <c r="L5" s="516"/>
      <c r="M5" s="516"/>
      <c r="N5" s="516"/>
    </row>
    <row r="6" spans="1:14" x14ac:dyDescent="0.25">
      <c r="B6" s="542">
        <v>3</v>
      </c>
      <c r="C6" s="533" t="s">
        <v>670</v>
      </c>
      <c r="D6" s="534" t="s">
        <v>667</v>
      </c>
      <c r="E6" s="534" t="s">
        <v>668</v>
      </c>
      <c r="F6" s="536" t="s">
        <v>669</v>
      </c>
      <c r="G6" s="534" t="s">
        <v>346</v>
      </c>
      <c r="H6" s="541"/>
    </row>
    <row r="7" spans="1:14" ht="26.4" x14ac:dyDescent="0.25">
      <c r="B7" s="542">
        <v>4</v>
      </c>
      <c r="C7" s="536" t="s">
        <v>675</v>
      </c>
      <c r="D7" s="534" t="s">
        <v>667</v>
      </c>
      <c r="E7" s="534" t="s">
        <v>671</v>
      </c>
      <c r="F7" s="536" t="s">
        <v>672</v>
      </c>
      <c r="G7" s="538" t="s">
        <v>347</v>
      </c>
      <c r="H7" s="541"/>
    </row>
    <row r="8" spans="1:14" ht="26.4" x14ac:dyDescent="0.25">
      <c r="B8" s="542">
        <v>5</v>
      </c>
      <c r="C8" s="537" t="s">
        <v>1349</v>
      </c>
      <c r="D8" s="538" t="s">
        <v>667</v>
      </c>
      <c r="E8" s="538" t="s">
        <v>671</v>
      </c>
      <c r="F8" s="539" t="s">
        <v>672</v>
      </c>
      <c r="G8" s="538" t="s">
        <v>347</v>
      </c>
      <c r="H8" s="540" t="s">
        <v>1350</v>
      </c>
    </row>
    <row r="9" spans="1:14" ht="26.4" x14ac:dyDescent="0.25">
      <c r="B9" s="542">
        <v>6</v>
      </c>
      <c r="C9" s="537" t="s">
        <v>1340</v>
      </c>
      <c r="D9" s="534" t="s">
        <v>673</v>
      </c>
      <c r="E9" s="534" t="s">
        <v>671</v>
      </c>
      <c r="F9" s="536" t="s">
        <v>672</v>
      </c>
      <c r="G9" s="534" t="s">
        <v>347</v>
      </c>
      <c r="H9" s="541"/>
    </row>
    <row r="10" spans="1:14" ht="26.4" x14ac:dyDescent="0.25">
      <c r="B10" s="542">
        <v>7</v>
      </c>
      <c r="C10" s="537" t="s">
        <v>1236</v>
      </c>
      <c r="D10" s="538" t="s">
        <v>673</v>
      </c>
      <c r="E10" s="534" t="s">
        <v>671</v>
      </c>
      <c r="F10" s="536" t="s">
        <v>672</v>
      </c>
      <c r="G10" s="534" t="s">
        <v>347</v>
      </c>
      <c r="H10" s="541"/>
    </row>
    <row r="11" spans="1:14" ht="26.4" x14ac:dyDescent="0.25">
      <c r="B11" s="542">
        <v>8</v>
      </c>
      <c r="C11" s="536" t="s">
        <v>676</v>
      </c>
      <c r="D11" s="534" t="s">
        <v>667</v>
      </c>
      <c r="E11" s="534" t="s">
        <v>671</v>
      </c>
      <c r="F11" s="536" t="s">
        <v>672</v>
      </c>
      <c r="G11" s="534" t="s">
        <v>682</v>
      </c>
      <c r="H11" s="541"/>
    </row>
    <row r="12" spans="1:14" ht="26.4" x14ac:dyDescent="0.25">
      <c r="B12" s="542">
        <v>9</v>
      </c>
      <c r="C12" s="533" t="s">
        <v>677</v>
      </c>
      <c r="D12" s="534" t="s">
        <v>674</v>
      </c>
      <c r="E12" s="534" t="s">
        <v>671</v>
      </c>
      <c r="F12" s="536" t="s">
        <v>672</v>
      </c>
      <c r="G12" s="534" t="s">
        <v>683</v>
      </c>
      <c r="H12" s="541"/>
    </row>
    <row r="13" spans="1:14" ht="26.4" x14ac:dyDescent="0.25">
      <c r="B13" s="542">
        <v>10</v>
      </c>
      <c r="C13" s="533" t="s">
        <v>678</v>
      </c>
      <c r="D13" s="534" t="s">
        <v>667</v>
      </c>
      <c r="E13" s="534" t="s">
        <v>671</v>
      </c>
      <c r="F13" s="536" t="s">
        <v>672</v>
      </c>
      <c r="G13" s="534" t="s">
        <v>683</v>
      </c>
      <c r="H13" s="541"/>
    </row>
    <row r="14" spans="1:14" ht="26.4" x14ac:dyDescent="0.25">
      <c r="B14" s="542">
        <v>11</v>
      </c>
      <c r="C14" s="533" t="s">
        <v>679</v>
      </c>
      <c r="D14" s="534" t="s">
        <v>674</v>
      </c>
      <c r="E14" s="534" t="s">
        <v>671</v>
      </c>
      <c r="F14" s="536" t="s">
        <v>680</v>
      </c>
      <c r="G14" s="534" t="s">
        <v>683</v>
      </c>
      <c r="H14" s="541"/>
    </row>
    <row r="15" spans="1:14" x14ac:dyDescent="0.25">
      <c r="B15" s="32"/>
    </row>
  </sheetData>
  <sheetProtection password="CFCC" sheet="1"/>
  <phoneticPr fontId="2" type="noConversion"/>
  <pageMargins left="0.75" right="0.75" top="1" bottom="1" header="0.5" footer="0.5"/>
  <pageSetup paperSize="9" scale="110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oglio30"/>
  <dimension ref="A1:M28"/>
  <sheetViews>
    <sheetView workbookViewId="0">
      <selection activeCell="I14" sqref="I14"/>
    </sheetView>
  </sheetViews>
  <sheetFormatPr defaultRowHeight="13.2" x14ac:dyDescent="0.25"/>
  <cols>
    <col min="2" max="2" width="11" customWidth="1"/>
    <col min="6" max="6" width="14.33203125" customWidth="1"/>
    <col min="7" max="7" width="13" customWidth="1"/>
    <col min="8" max="8" width="8.5546875" customWidth="1"/>
    <col min="10" max="11" width="10" bestFit="1" customWidth="1"/>
  </cols>
  <sheetData>
    <row r="1" spans="1:13" x14ac:dyDescent="0.25">
      <c r="A1" t="s">
        <v>340</v>
      </c>
      <c r="K1" s="96" t="s">
        <v>327</v>
      </c>
      <c r="L1" s="111" t="s">
        <v>328</v>
      </c>
      <c r="M1" s="38" t="s">
        <v>375</v>
      </c>
    </row>
    <row r="2" spans="1:13" x14ac:dyDescent="0.25">
      <c r="A2" s="145" t="s">
        <v>331</v>
      </c>
      <c r="B2" s="146" t="s">
        <v>377</v>
      </c>
      <c r="C2" s="146" t="s">
        <v>378</v>
      </c>
      <c r="D2" s="146" t="s">
        <v>379</v>
      </c>
      <c r="E2" s="146" t="s">
        <v>380</v>
      </c>
      <c r="F2" s="146" t="s">
        <v>1071</v>
      </c>
      <c r="G2" s="146" t="s">
        <v>1072</v>
      </c>
      <c r="H2" s="75" t="s">
        <v>341</v>
      </c>
      <c r="I2" s="76"/>
      <c r="K2" s="56">
        <v>1</v>
      </c>
      <c r="L2" s="33" t="s">
        <v>244</v>
      </c>
      <c r="M2" s="140">
        <v>0.43668099999999999</v>
      </c>
    </row>
    <row r="3" spans="1:13" ht="15.6" x14ac:dyDescent="0.3">
      <c r="A3" s="8">
        <v>1</v>
      </c>
      <c r="B3" s="74">
        <v>0</v>
      </c>
      <c r="C3" s="74">
        <v>5</v>
      </c>
      <c r="D3" s="12">
        <v>0</v>
      </c>
      <c r="E3" s="13">
        <f>(C3*2.29)</f>
        <v>11.45</v>
      </c>
      <c r="F3" s="74" t="s">
        <v>357</v>
      </c>
      <c r="G3" s="3" t="s">
        <v>622</v>
      </c>
      <c r="H3" s="79"/>
      <c r="I3" s="138" t="s">
        <v>332</v>
      </c>
      <c r="K3" s="93">
        <v>2</v>
      </c>
      <c r="L3" s="94" t="s">
        <v>324</v>
      </c>
      <c r="M3" s="141">
        <v>1</v>
      </c>
    </row>
    <row r="4" spans="1:13" ht="15.6" x14ac:dyDescent="0.3">
      <c r="A4" s="8">
        <v>2</v>
      </c>
      <c r="B4" s="74">
        <v>5</v>
      </c>
      <c r="C4" s="74">
        <v>10</v>
      </c>
      <c r="D4" s="13">
        <f>(B4*2.29)</f>
        <v>11.45</v>
      </c>
      <c r="E4" s="13">
        <f>(C4*2.29)</f>
        <v>22.9</v>
      </c>
      <c r="F4" s="74" t="s">
        <v>346</v>
      </c>
      <c r="G4" s="3" t="s">
        <v>617</v>
      </c>
      <c r="H4" s="80" t="s">
        <v>336</v>
      </c>
      <c r="I4" s="138" t="s">
        <v>333</v>
      </c>
      <c r="K4" s="142">
        <f>Codici!AD2</f>
        <v>1</v>
      </c>
      <c r="L4" s="47" t="str">
        <f>VLOOKUP($K4,$K$2:$M$3,2)</f>
        <v>P2O5</v>
      </c>
      <c r="M4" s="48">
        <f>VLOOKUP($K4,$K$2:$M$3,3)</f>
        <v>0.43668099999999999</v>
      </c>
    </row>
    <row r="5" spans="1:13" ht="15.6" x14ac:dyDescent="0.3">
      <c r="A5" s="8">
        <v>3</v>
      </c>
      <c r="B5" s="74">
        <v>10</v>
      </c>
      <c r="C5" s="74">
        <v>15</v>
      </c>
      <c r="D5" s="13">
        <f>(B5*2.29)</f>
        <v>22.9</v>
      </c>
      <c r="E5" s="13">
        <f>(C5*2.29)</f>
        <v>34.35</v>
      </c>
      <c r="F5" s="74" t="s">
        <v>347</v>
      </c>
      <c r="G5" s="3" t="s">
        <v>618</v>
      </c>
      <c r="H5" s="80" t="s">
        <v>337</v>
      </c>
      <c r="I5" s="138" t="s">
        <v>334</v>
      </c>
    </row>
    <row r="6" spans="1:13" ht="15.6" x14ac:dyDescent="0.3">
      <c r="A6" s="8">
        <v>4</v>
      </c>
      <c r="B6" s="74">
        <v>15</v>
      </c>
      <c r="C6" s="74">
        <v>30</v>
      </c>
      <c r="D6" s="13">
        <f>(B6*2.29)</f>
        <v>34.35</v>
      </c>
      <c r="E6" s="13">
        <f>(C6*2.29)</f>
        <v>68.7</v>
      </c>
      <c r="F6" s="74" t="s">
        <v>348</v>
      </c>
      <c r="G6" s="53" t="s">
        <v>618</v>
      </c>
      <c r="H6" s="80" t="s">
        <v>338</v>
      </c>
      <c r="I6" s="114" t="s">
        <v>335</v>
      </c>
      <c r="L6" s="132" t="s">
        <v>368</v>
      </c>
      <c r="M6" s="133" t="s">
        <v>369</v>
      </c>
    </row>
    <row r="7" spans="1:13" ht="15.6" x14ac:dyDescent="0.3">
      <c r="A7" s="8">
        <v>5</v>
      </c>
      <c r="B7" s="74">
        <v>30</v>
      </c>
      <c r="C7" s="74">
        <v>999</v>
      </c>
      <c r="D7" s="13">
        <f>(B7*2.29)</f>
        <v>68.7</v>
      </c>
      <c r="E7" s="13">
        <f>(C7*2.29)</f>
        <v>2287.71</v>
      </c>
      <c r="F7" s="74" t="s">
        <v>381</v>
      </c>
      <c r="G7" s="3" t="s">
        <v>1067</v>
      </c>
      <c r="H7" s="81" t="s">
        <v>339</v>
      </c>
      <c r="I7" s="139"/>
      <c r="K7" s="143" t="s">
        <v>370</v>
      </c>
      <c r="L7" s="110" t="s">
        <v>324</v>
      </c>
      <c r="M7" s="114" t="s">
        <v>244</v>
      </c>
    </row>
    <row r="8" spans="1:13" ht="16.2" thickBot="1" x14ac:dyDescent="0.35">
      <c r="A8" s="3"/>
      <c r="B8" s="147" t="s">
        <v>376</v>
      </c>
      <c r="C8" s="148"/>
      <c r="D8" s="149"/>
      <c r="E8" s="149"/>
      <c r="F8" s="148"/>
      <c r="K8" s="144">
        <f>Codici!AE2</f>
        <v>15</v>
      </c>
      <c r="L8" s="113">
        <f>Codici!AE2*M4</f>
        <v>6.5502149999999997</v>
      </c>
      <c r="M8" s="135">
        <f>(L8*2.29)</f>
        <v>14.999992349999999</v>
      </c>
    </row>
    <row r="9" spans="1:13" ht="15.6" x14ac:dyDescent="0.3">
      <c r="B9" s="77"/>
      <c r="F9" s="134" t="s">
        <v>1071</v>
      </c>
      <c r="G9" s="342" t="s">
        <v>1073</v>
      </c>
      <c r="H9" s="341" t="s">
        <v>1074</v>
      </c>
      <c r="K9" t="s">
        <v>553</v>
      </c>
    </row>
    <row r="10" spans="1:13" ht="13.8" thickBot="1" x14ac:dyDescent="0.3">
      <c r="A10" s="5">
        <f>DGET($A$2:$F$7,1,$F$9:$F$10)</f>
        <v>2</v>
      </c>
      <c r="B10" s="150">
        <f>VLOOKUP($L$8,$B$3:$F$7,1)</f>
        <v>5</v>
      </c>
      <c r="C10" s="5">
        <f>VLOOKUP($L$8,$B$3:$F$7,2)</f>
        <v>10</v>
      </c>
      <c r="D10" s="5">
        <f>VLOOKUP($L$8,$B$3:$F$7,3)</f>
        <v>11.45</v>
      </c>
      <c r="E10" s="5">
        <f>VLOOKUP($L$8,$B$3:$F$7,4)</f>
        <v>22.9</v>
      </c>
      <c r="F10" s="27" t="str">
        <f>VLOOKUP($L$8,$B$3:$F$7,5)</f>
        <v>bassa</v>
      </c>
      <c r="G10" s="27" t="str">
        <f>VLOOKUP($L$8,$B$3:$G$7,6)</f>
        <v>scarso</v>
      </c>
      <c r="K10" s="3"/>
      <c r="L10" s="5">
        <f>(Ragg_Tes!D9+(0.02*Codici!U2))</f>
        <v>1.6</v>
      </c>
    </row>
    <row r="11" spans="1:13" ht="6.75" customHeight="1" x14ac:dyDescent="0.25"/>
    <row r="12" spans="1:13" x14ac:dyDescent="0.25">
      <c r="A12" t="s">
        <v>1077</v>
      </c>
    </row>
    <row r="13" spans="1:13" x14ac:dyDescent="0.25">
      <c r="D13" s="146" t="s">
        <v>379</v>
      </c>
      <c r="E13" s="146" t="s">
        <v>380</v>
      </c>
      <c r="F13" s="146" t="s">
        <v>344</v>
      </c>
    </row>
    <row r="14" spans="1:13" ht="16.2" thickBot="1" x14ac:dyDescent="0.35">
      <c r="B14" s="107" t="s">
        <v>241</v>
      </c>
      <c r="D14" s="3">
        <v>0</v>
      </c>
      <c r="E14" s="340">
        <f>E4</f>
        <v>22.9</v>
      </c>
      <c r="F14" s="74" t="s">
        <v>1075</v>
      </c>
      <c r="G14" s="205" t="s">
        <v>548</v>
      </c>
      <c r="H14" s="207" t="s">
        <v>551</v>
      </c>
      <c r="I14" s="210">
        <f>IF(OR(G10="scarso",G10="molto scarso"),-G22*L10,0)</f>
        <v>49.296047735999998</v>
      </c>
    </row>
    <row r="15" spans="1:13" ht="15.6" x14ac:dyDescent="0.3">
      <c r="B15" s="136" t="s">
        <v>344</v>
      </c>
      <c r="D15" s="340">
        <f>D5</f>
        <v>22.9</v>
      </c>
      <c r="E15" s="340">
        <f>E6</f>
        <v>68.7</v>
      </c>
      <c r="F15" s="74" t="s">
        <v>618</v>
      </c>
      <c r="G15" t="s">
        <v>557</v>
      </c>
      <c r="H15" s="177" t="s">
        <v>15</v>
      </c>
      <c r="I15" s="245">
        <f>A!E244</f>
        <v>63.6</v>
      </c>
    </row>
    <row r="16" spans="1:13" ht="16.2" thickBot="1" x14ac:dyDescent="0.35">
      <c r="B16" s="137" t="s">
        <v>618</v>
      </c>
      <c r="D16" s="339">
        <f>D7</f>
        <v>68.7</v>
      </c>
      <c r="E16" s="340">
        <f>E7</f>
        <v>2287.71</v>
      </c>
      <c r="F16" s="74" t="s">
        <v>1076</v>
      </c>
      <c r="G16" s="206" t="s">
        <v>550</v>
      </c>
      <c r="H16" s="208" t="s">
        <v>549</v>
      </c>
      <c r="I16" s="209">
        <f>IF(OR(G10="normale",G10="scarso",G10="molto scarso"),0,G23)</f>
        <v>0</v>
      </c>
    </row>
    <row r="17" spans="1:9" ht="15.6" x14ac:dyDescent="0.3">
      <c r="D17" s="203">
        <f>DGET($D$13:$F$16,1,$B$15:$B$16)</f>
        <v>22.9</v>
      </c>
      <c r="E17" s="203">
        <f>DGET($D$13:$F$16,2,$B$15:$B$16)</f>
        <v>68.7</v>
      </c>
      <c r="F17" s="201"/>
    </row>
    <row r="18" spans="1:9" x14ac:dyDescent="0.25">
      <c r="H18" t="s">
        <v>573</v>
      </c>
      <c r="I18" s="32" t="s">
        <v>575</v>
      </c>
    </row>
    <row r="19" spans="1:9" x14ac:dyDescent="0.25">
      <c r="B19" s="1121" t="s">
        <v>552</v>
      </c>
      <c r="C19" s="1122"/>
      <c r="D19" s="1122"/>
      <c r="E19" s="1122"/>
      <c r="F19" s="1122"/>
      <c r="G19" s="1122"/>
      <c r="H19" s="3" t="s">
        <v>574</v>
      </c>
      <c r="I19" t="s">
        <v>576</v>
      </c>
    </row>
    <row r="20" spans="1:9" ht="12.75" customHeight="1" x14ac:dyDescent="0.25">
      <c r="C20" s="103"/>
      <c r="D20" s="3" t="s">
        <v>244</v>
      </c>
      <c r="G20" s="3" t="s">
        <v>956</v>
      </c>
    </row>
    <row r="21" spans="1:9" x14ac:dyDescent="0.25">
      <c r="C21" s="103" t="s">
        <v>554</v>
      </c>
      <c r="D21" s="71" t="s">
        <v>325</v>
      </c>
      <c r="G21" s="72" t="s">
        <v>330</v>
      </c>
    </row>
    <row r="22" spans="1:9" x14ac:dyDescent="0.25">
      <c r="C22" s="151" t="s">
        <v>555</v>
      </c>
      <c r="D22" s="311">
        <f>(M8-D17)</f>
        <v>-7.9000076499999992</v>
      </c>
      <c r="E22" t="str">
        <f>IF(D22&gt;0,"esiste una riserva di","esiste un deficit di")</f>
        <v>esiste un deficit di</v>
      </c>
      <c r="G22" s="73">
        <f>(D22*Ragg_Tes!F9)/1000</f>
        <v>-30.810029834999998</v>
      </c>
      <c r="H22" s="29">
        <f>(A!E247)*Codici!$AV$2</f>
        <v>0</v>
      </c>
    </row>
    <row r="23" spans="1:9" x14ac:dyDescent="0.25">
      <c r="C23" s="151" t="s">
        <v>556</v>
      </c>
      <c r="D23" s="311">
        <f>(M8-E17)</f>
        <v>-53.700007650000003</v>
      </c>
      <c r="E23" t="str">
        <f>IF(D23&gt;0,"esiste un esubero di"," ")</f>
        <v xml:space="preserve"> </v>
      </c>
      <c r="G23" s="73">
        <f>(D23*Ragg_Tes!F9)/1000</f>
        <v>-209.43002983500003</v>
      </c>
      <c r="I23" s="29">
        <f>IF(G23&gt;0,H22-G23,H22)</f>
        <v>0</v>
      </c>
    </row>
    <row r="24" spans="1:9" x14ac:dyDescent="0.25">
      <c r="A24" s="32"/>
      <c r="B24" s="41"/>
      <c r="C24" s="41"/>
      <c r="D24" s="32"/>
    </row>
    <row r="25" spans="1:9" x14ac:dyDescent="0.25">
      <c r="A25" s="32"/>
      <c r="B25" s="32"/>
      <c r="D25" s="32"/>
    </row>
    <row r="26" spans="1:9" x14ac:dyDescent="0.25">
      <c r="B26" t="s">
        <v>958</v>
      </c>
    </row>
    <row r="27" spans="1:9" x14ac:dyDescent="0.25">
      <c r="B27" s="179" t="s">
        <v>957</v>
      </c>
      <c r="C27" s="281" t="s">
        <v>244</v>
      </c>
      <c r="D27" s="282">
        <f>(M8+('Apporti al terreno'!P25*1000/Ragg_Tes!F9)/Gri_P!L10)</f>
        <v>32.017492349999998</v>
      </c>
    </row>
    <row r="28" spans="1:9" x14ac:dyDescent="0.25">
      <c r="B28" s="179" t="s">
        <v>957</v>
      </c>
      <c r="C28" s="281" t="s">
        <v>324</v>
      </c>
      <c r="D28" s="282">
        <f>(D27*M2)</f>
        <v>13.981430576890348</v>
      </c>
    </row>
  </sheetData>
  <sheetProtection algorithmName="SHA-512" hashValue="RdgsV8HhFU4OmHlNvP16VektdrDpW87yhU5fJLllD1f6g3y9vKtsJqvorkwoo6v/zcKCIPPMi6Z9D92DrPNhgQ==" saltValue="D99xWecnR5piee709EQg3w==" spinCount="100000" sheet="1" objects="1" scenarios="1"/>
  <mergeCells count="1">
    <mergeCell ref="B19:G19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oglio31"/>
  <dimension ref="A1:Y39"/>
  <sheetViews>
    <sheetView topLeftCell="B10" zoomScale="85" zoomScaleNormal="85" workbookViewId="0">
      <selection activeCell="K38" sqref="K38"/>
    </sheetView>
  </sheetViews>
  <sheetFormatPr defaultRowHeight="13.2" x14ac:dyDescent="0.25"/>
  <cols>
    <col min="1" max="1" width="12.44140625" customWidth="1"/>
    <col min="2" max="2" width="15.33203125" bestFit="1" customWidth="1"/>
    <col min="7" max="7" width="11.6640625" customWidth="1"/>
    <col min="8" max="8" width="8.6640625" customWidth="1"/>
    <col min="9" max="9" width="10.33203125" customWidth="1"/>
    <col min="10" max="10" width="16.44140625" bestFit="1" customWidth="1"/>
    <col min="11" max="11" width="11.33203125" customWidth="1"/>
    <col min="12" max="12" width="3" customWidth="1"/>
    <col min="13" max="13" width="9.44140625" customWidth="1"/>
    <col min="15" max="15" width="13" customWidth="1"/>
    <col min="16" max="16" width="2.33203125" customWidth="1"/>
    <col min="17" max="17" width="9.6640625" bestFit="1" customWidth="1"/>
    <col min="20" max="20" width="11.6640625" customWidth="1"/>
    <col min="21" max="21" width="12.33203125" customWidth="1"/>
    <col min="22" max="22" width="10.5546875" customWidth="1"/>
    <col min="23" max="23" width="7.6640625" customWidth="1"/>
    <col min="25" max="25" width="16.33203125" customWidth="1"/>
  </cols>
  <sheetData>
    <row r="1" spans="1:25" ht="13.8" thickBot="1" x14ac:dyDescent="0.3">
      <c r="A1" t="s">
        <v>358</v>
      </c>
      <c r="M1" s="34" t="s">
        <v>1386</v>
      </c>
      <c r="Q1" s="34" t="s">
        <v>1390</v>
      </c>
      <c r="U1" s="637" t="s">
        <v>1399</v>
      </c>
      <c r="V1" s="118"/>
      <c r="W1" s="118"/>
      <c r="X1" s="118"/>
      <c r="Y1" s="119"/>
    </row>
    <row r="2" spans="1:25" ht="13.8" thickBot="1" x14ac:dyDescent="0.3">
      <c r="A2" s="82" t="s">
        <v>374</v>
      </c>
      <c r="B2" s="83" t="s">
        <v>255</v>
      </c>
      <c r="C2" s="83" t="s">
        <v>363</v>
      </c>
      <c r="D2" s="83" t="s">
        <v>364</v>
      </c>
      <c r="E2" s="101" t="s">
        <v>365</v>
      </c>
      <c r="F2" s="101" t="s">
        <v>366</v>
      </c>
      <c r="G2" s="32" t="s">
        <v>344</v>
      </c>
      <c r="H2" s="41" t="s">
        <v>1211</v>
      </c>
      <c r="J2" s="84" t="s">
        <v>255</v>
      </c>
      <c r="K2" s="85" t="s">
        <v>345</v>
      </c>
      <c r="M2" s="639" t="s">
        <v>370</v>
      </c>
      <c r="N2" s="640" t="str">
        <f>N12</f>
        <v>ppm</v>
      </c>
      <c r="O2" s="641">
        <f>Codici!AI2</f>
        <v>150</v>
      </c>
      <c r="Q2" s="639" t="s">
        <v>370</v>
      </c>
      <c r="R2" s="640" t="str">
        <f>R7</f>
        <v>ppm</v>
      </c>
      <c r="S2" s="641">
        <f>Inserimento!R23</f>
        <v>0</v>
      </c>
      <c r="U2" s="631" t="s">
        <v>1394</v>
      </c>
      <c r="V2" s="17" t="s">
        <v>1398</v>
      </c>
      <c r="W2" s="177" t="s">
        <v>1400</v>
      </c>
      <c r="X2" s="53" t="s">
        <v>1394</v>
      </c>
      <c r="Y2" s="632" t="s">
        <v>1398</v>
      </c>
    </row>
    <row r="3" spans="1:25" x14ac:dyDescent="0.25">
      <c r="A3" s="86">
        <v>1</v>
      </c>
      <c r="B3" s="33" t="s">
        <v>359</v>
      </c>
      <c r="C3" s="87">
        <v>0</v>
      </c>
      <c r="D3" s="87">
        <v>40</v>
      </c>
      <c r="E3" s="112">
        <f t="shared" ref="E3:E14" si="0">(C3*1.2)</f>
        <v>0</v>
      </c>
      <c r="F3" s="112">
        <f t="shared" ref="F3:F14" si="1">(D3*1.2)</f>
        <v>48</v>
      </c>
      <c r="G3" s="88" t="s">
        <v>357</v>
      </c>
      <c r="H3" s="33">
        <v>1</v>
      </c>
      <c r="I3" s="32"/>
      <c r="J3" s="56" t="s">
        <v>359</v>
      </c>
      <c r="K3" s="60" t="s">
        <v>1212</v>
      </c>
      <c r="U3" s="631" t="s">
        <v>1401</v>
      </c>
      <c r="V3" s="17" t="s">
        <v>346</v>
      </c>
      <c r="W3" s="3">
        <v>0</v>
      </c>
      <c r="X3" s="3">
        <v>0</v>
      </c>
      <c r="Y3" s="627" t="s">
        <v>1458</v>
      </c>
    </row>
    <row r="4" spans="1:25" x14ac:dyDescent="0.25">
      <c r="A4" s="56">
        <v>2</v>
      </c>
      <c r="B4" s="33" t="s">
        <v>359</v>
      </c>
      <c r="C4" s="87">
        <v>40</v>
      </c>
      <c r="D4" s="87">
        <v>80</v>
      </c>
      <c r="E4" s="112">
        <f t="shared" si="0"/>
        <v>48</v>
      </c>
      <c r="F4" s="112">
        <f t="shared" si="1"/>
        <v>96</v>
      </c>
      <c r="G4" s="88" t="s">
        <v>346</v>
      </c>
      <c r="H4" s="33">
        <v>2</v>
      </c>
      <c r="I4" s="32"/>
      <c r="J4" s="56" t="s">
        <v>360</v>
      </c>
      <c r="K4" s="60" t="s">
        <v>1213</v>
      </c>
      <c r="M4" s="115" t="s">
        <v>367</v>
      </c>
      <c r="N4" s="3" t="s">
        <v>371</v>
      </c>
      <c r="O4" s="3" t="s">
        <v>375</v>
      </c>
      <c r="Q4" s="177" t="s">
        <v>1391</v>
      </c>
      <c r="R4" s="53" t="s">
        <v>1384</v>
      </c>
      <c r="S4" s="17" t="s">
        <v>375</v>
      </c>
      <c r="U4" s="633" t="s">
        <v>1402</v>
      </c>
      <c r="V4" s="17" t="s">
        <v>347</v>
      </c>
      <c r="W4" s="3">
        <v>1</v>
      </c>
      <c r="X4" s="634">
        <v>1</v>
      </c>
      <c r="Y4" s="635" t="s">
        <v>346</v>
      </c>
    </row>
    <row r="5" spans="1:25" x14ac:dyDescent="0.25">
      <c r="A5" s="56">
        <v>3</v>
      </c>
      <c r="B5" s="33" t="s">
        <v>359</v>
      </c>
      <c r="C5" s="87">
        <v>80</v>
      </c>
      <c r="D5" s="87">
        <v>120</v>
      </c>
      <c r="E5" s="112">
        <f t="shared" si="0"/>
        <v>96</v>
      </c>
      <c r="F5" s="112">
        <f t="shared" si="1"/>
        <v>144</v>
      </c>
      <c r="G5" s="88" t="s">
        <v>347</v>
      </c>
      <c r="H5" s="33">
        <v>3</v>
      </c>
      <c r="I5" s="32"/>
      <c r="J5" s="56" t="s">
        <v>361</v>
      </c>
      <c r="K5" s="60" t="s">
        <v>1214</v>
      </c>
      <c r="M5" s="33">
        <v>1</v>
      </c>
      <c r="N5" s="33" t="s">
        <v>245</v>
      </c>
      <c r="O5" s="33">
        <v>0.83333000000000002</v>
      </c>
      <c r="Q5" s="33">
        <v>1</v>
      </c>
      <c r="R5" s="608" t="s">
        <v>325</v>
      </c>
      <c r="S5" s="608">
        <v>1</v>
      </c>
      <c r="U5" s="631" t="s">
        <v>1403</v>
      </c>
      <c r="V5" s="17" t="s">
        <v>683</v>
      </c>
      <c r="W5" s="3">
        <v>2</v>
      </c>
      <c r="X5" s="634">
        <v>10</v>
      </c>
      <c r="Y5" s="635" t="s">
        <v>347</v>
      </c>
    </row>
    <row r="6" spans="1:25" ht="13.8" thickBot="1" x14ac:dyDescent="0.3">
      <c r="A6" s="56">
        <v>4</v>
      </c>
      <c r="B6" s="33" t="s">
        <v>359</v>
      </c>
      <c r="C6" s="87">
        <v>120</v>
      </c>
      <c r="D6" s="87">
        <v>999</v>
      </c>
      <c r="E6" s="112">
        <f t="shared" si="0"/>
        <v>144</v>
      </c>
      <c r="F6" s="112">
        <f t="shared" si="1"/>
        <v>1198.8</v>
      </c>
      <c r="G6" s="88" t="s">
        <v>348</v>
      </c>
      <c r="H6" s="33">
        <v>4</v>
      </c>
      <c r="I6" s="32"/>
      <c r="J6" s="105" t="s">
        <v>241</v>
      </c>
      <c r="K6" s="60"/>
      <c r="M6" s="94">
        <v>2</v>
      </c>
      <c r="N6" s="94" t="s">
        <v>351</v>
      </c>
      <c r="O6" s="94">
        <v>1</v>
      </c>
      <c r="Q6" s="94">
        <v>2</v>
      </c>
      <c r="R6" s="609" t="s">
        <v>1383</v>
      </c>
      <c r="S6" s="616">
        <v>121.5</v>
      </c>
      <c r="U6" s="159"/>
      <c r="W6" s="3">
        <v>3</v>
      </c>
      <c r="X6" s="634">
        <v>20</v>
      </c>
      <c r="Y6" s="635" t="s">
        <v>683</v>
      </c>
    </row>
    <row r="7" spans="1:25" ht="13.8" thickBot="1" x14ac:dyDescent="0.3">
      <c r="A7" s="56">
        <v>5</v>
      </c>
      <c r="B7" s="33" t="s">
        <v>360</v>
      </c>
      <c r="C7" s="87">
        <v>0</v>
      </c>
      <c r="D7" s="87">
        <v>60</v>
      </c>
      <c r="E7" s="112">
        <f t="shared" si="0"/>
        <v>0</v>
      </c>
      <c r="F7" s="112">
        <f t="shared" si="1"/>
        <v>72</v>
      </c>
      <c r="G7" s="88" t="s">
        <v>357</v>
      </c>
      <c r="H7" s="33">
        <v>1</v>
      </c>
      <c r="I7" s="32"/>
      <c r="J7" s="99" t="s">
        <v>255</v>
      </c>
      <c r="K7" s="89" t="s">
        <v>345</v>
      </c>
      <c r="M7" s="611">
        <f>Codici!AH2</f>
        <v>1</v>
      </c>
      <c r="N7" s="612" t="str">
        <f>VLOOKUP($M$7,$M$5:$O$6,2)</f>
        <v>K2O</v>
      </c>
      <c r="O7" s="612">
        <f>VLOOKUP($M$7,$M$5:$O$6,3)</f>
        <v>0.83333000000000002</v>
      </c>
      <c r="Q7" s="611">
        <f>Codici!AK2</f>
        <v>1</v>
      </c>
      <c r="R7" s="612" t="str">
        <f>VLOOKUP($Q$7,$Q$5:$S$6,2)</f>
        <v>ppm</v>
      </c>
      <c r="S7" s="612">
        <f>VLOOKUP($Q$7,$Q$5:$S$6,3)</f>
        <v>1</v>
      </c>
      <c r="U7" s="159"/>
      <c r="W7" s="3">
        <v>4</v>
      </c>
      <c r="X7" s="634">
        <v>30</v>
      </c>
      <c r="Y7" s="635" t="s">
        <v>1076</v>
      </c>
    </row>
    <row r="8" spans="1:25" ht="13.8" thickBot="1" x14ac:dyDescent="0.3">
      <c r="A8" s="56">
        <v>6</v>
      </c>
      <c r="B8" s="33" t="s">
        <v>360</v>
      </c>
      <c r="C8" s="87">
        <v>60</v>
      </c>
      <c r="D8" s="87">
        <v>100</v>
      </c>
      <c r="E8" s="112">
        <f t="shared" si="0"/>
        <v>72</v>
      </c>
      <c r="F8" s="112">
        <f t="shared" si="1"/>
        <v>120</v>
      </c>
      <c r="G8" s="88" t="s">
        <v>346</v>
      </c>
      <c r="H8" s="33">
        <v>2</v>
      </c>
      <c r="I8" s="32"/>
      <c r="J8" s="100" t="str">
        <f>Suolo!F19</f>
        <v>Medio impasto</v>
      </c>
      <c r="K8" s="90" t="str">
        <f>DGET(J2:K5,K2,J7:J8)</f>
        <v>C7:H10</v>
      </c>
      <c r="U8" s="159"/>
      <c r="W8" s="3">
        <v>5</v>
      </c>
      <c r="X8" s="634">
        <v>50</v>
      </c>
      <c r="Y8" s="635" t="s">
        <v>908</v>
      </c>
    </row>
    <row r="9" spans="1:25" x14ac:dyDescent="0.25">
      <c r="A9" s="56">
        <v>7</v>
      </c>
      <c r="B9" s="33" t="s">
        <v>360</v>
      </c>
      <c r="C9" s="87">
        <v>100</v>
      </c>
      <c r="D9" s="87">
        <v>150</v>
      </c>
      <c r="E9" s="112">
        <f t="shared" si="0"/>
        <v>120</v>
      </c>
      <c r="F9" s="112">
        <f t="shared" si="1"/>
        <v>180</v>
      </c>
      <c r="G9" s="88" t="s">
        <v>347</v>
      </c>
      <c r="H9" s="33">
        <v>3</v>
      </c>
      <c r="I9" s="32"/>
      <c r="M9" s="177" t="s">
        <v>1385</v>
      </c>
      <c r="N9" s="53" t="s">
        <v>1384</v>
      </c>
      <c r="O9" s="17" t="s">
        <v>375</v>
      </c>
      <c r="Q9" s="1126" t="s">
        <v>1393</v>
      </c>
      <c r="R9" s="1127"/>
      <c r="S9" s="1128"/>
      <c r="U9" s="159"/>
      <c r="X9" s="53" t="s">
        <v>1394</v>
      </c>
      <c r="Y9" s="632" t="s">
        <v>1398</v>
      </c>
    </row>
    <row r="10" spans="1:25" ht="13.8" thickBot="1" x14ac:dyDescent="0.3">
      <c r="A10" s="56">
        <v>8</v>
      </c>
      <c r="B10" s="33" t="s">
        <v>360</v>
      </c>
      <c r="C10" s="87">
        <v>150</v>
      </c>
      <c r="D10" s="87">
        <v>999</v>
      </c>
      <c r="E10" s="112">
        <f t="shared" si="0"/>
        <v>180</v>
      </c>
      <c r="F10" s="112">
        <f t="shared" si="1"/>
        <v>1198.8</v>
      </c>
      <c r="G10" s="88" t="s">
        <v>348</v>
      </c>
      <c r="H10" s="33">
        <v>4</v>
      </c>
      <c r="I10" s="32"/>
      <c r="J10" s="91" t="s">
        <v>349</v>
      </c>
      <c r="K10" s="85"/>
      <c r="M10" s="33">
        <v>1</v>
      </c>
      <c r="N10" s="608" t="s">
        <v>325</v>
      </c>
      <c r="O10" s="608">
        <v>1</v>
      </c>
      <c r="Q10" s="617"/>
      <c r="R10" s="53" t="s">
        <v>1376</v>
      </c>
      <c r="S10" s="330"/>
      <c r="U10" s="346"/>
      <c r="V10" s="181"/>
      <c r="W10" s="671">
        <f>DGET(W2:Y8,W2,Y9:Y10)</f>
        <v>0</v>
      </c>
      <c r="X10" s="674">
        <f>IF(Inserimento!R26&lt;1,0,Inserimento!R26)</f>
        <v>0</v>
      </c>
      <c r="Y10" s="636" t="str">
        <f>VLOOKUP(X10,X3:Y8,2)</f>
        <v>non valorizzato</v>
      </c>
    </row>
    <row r="11" spans="1:25" ht="13.8" thickBot="1" x14ac:dyDescent="0.3">
      <c r="A11" s="56">
        <v>9</v>
      </c>
      <c r="B11" s="33" t="s">
        <v>361</v>
      </c>
      <c r="C11" s="87">
        <v>0</v>
      </c>
      <c r="D11" s="87">
        <v>80</v>
      </c>
      <c r="E11" s="112">
        <f t="shared" si="0"/>
        <v>0</v>
      </c>
      <c r="F11" s="112">
        <f t="shared" si="1"/>
        <v>96</v>
      </c>
      <c r="G11" s="88" t="s">
        <v>357</v>
      </c>
      <c r="H11" s="33">
        <v>1</v>
      </c>
      <c r="I11" s="32"/>
      <c r="J11" s="44" t="s">
        <v>342</v>
      </c>
      <c r="K11" s="58" t="s">
        <v>343</v>
      </c>
      <c r="M11" s="94">
        <v>2</v>
      </c>
      <c r="N11" s="609" t="s">
        <v>1383</v>
      </c>
      <c r="O11" s="614">
        <f>J31</f>
        <v>391</v>
      </c>
      <c r="Q11" s="617" t="s">
        <v>1382</v>
      </c>
      <c r="R11" s="51">
        <f>IF(S2&lt;1,0,(S2*S7))</f>
        <v>0</v>
      </c>
      <c r="S11" s="330"/>
    </row>
    <row r="12" spans="1:25" ht="13.8" thickBot="1" x14ac:dyDescent="0.3">
      <c r="A12" s="56">
        <v>10</v>
      </c>
      <c r="B12" s="33" t="s">
        <v>361</v>
      </c>
      <c r="C12" s="87">
        <v>80</v>
      </c>
      <c r="D12" s="87">
        <v>120</v>
      </c>
      <c r="E12" s="112">
        <f t="shared" si="0"/>
        <v>96</v>
      </c>
      <c r="F12" s="112">
        <f t="shared" si="1"/>
        <v>144</v>
      </c>
      <c r="G12" s="88" t="s">
        <v>346</v>
      </c>
      <c r="H12" s="33">
        <v>2</v>
      </c>
      <c r="I12" s="109" t="s">
        <v>351</v>
      </c>
      <c r="J12" s="95">
        <f>DGET($A$2:$G$14,C$2,$J$15:$K$16)</f>
        <v>100</v>
      </c>
      <c r="K12" s="106">
        <f>DGET($A$2:$G$14,D$2,$J$15:$K$16)</f>
        <v>150</v>
      </c>
      <c r="M12" s="611">
        <f>Codici!AG2</f>
        <v>1</v>
      </c>
      <c r="N12" s="612" t="str">
        <f>VLOOKUP($M$12,$M$10:$O$11,2)</f>
        <v>ppm</v>
      </c>
      <c r="O12" s="612">
        <f>VLOOKUP($M$12,$M$10:$O$11,3)</f>
        <v>1</v>
      </c>
      <c r="Q12" s="600" t="s">
        <v>1381</v>
      </c>
      <c r="R12" s="599">
        <f>IF(S2&lt;1,0,(R11*K32))</f>
        <v>0</v>
      </c>
      <c r="S12" s="348"/>
      <c r="U12" s="637" t="s">
        <v>1404</v>
      </c>
      <c r="V12" s="118"/>
      <c r="W12" s="118"/>
      <c r="X12" s="118"/>
      <c r="Y12" s="119"/>
    </row>
    <row r="13" spans="1:25" ht="13.8" thickBot="1" x14ac:dyDescent="0.3">
      <c r="A13" s="33">
        <v>11</v>
      </c>
      <c r="B13" s="33" t="s">
        <v>361</v>
      </c>
      <c r="C13" s="87">
        <v>120</v>
      </c>
      <c r="D13" s="87">
        <v>180</v>
      </c>
      <c r="E13" s="112">
        <f t="shared" si="0"/>
        <v>144</v>
      </c>
      <c r="F13" s="112">
        <f t="shared" si="1"/>
        <v>216</v>
      </c>
      <c r="G13" s="88" t="s">
        <v>347</v>
      </c>
      <c r="H13" s="33">
        <v>3</v>
      </c>
      <c r="I13" s="109" t="s">
        <v>245</v>
      </c>
      <c r="J13" s="95">
        <f>DGET($A$2:$G$14,E$2,$J$15:$K$16)</f>
        <v>120</v>
      </c>
      <c r="K13" s="106">
        <f>DGET($A$2:$G$14,F$2,$J$15:$K$16)</f>
        <v>180</v>
      </c>
      <c r="U13" s="617" t="s">
        <v>1376</v>
      </c>
      <c r="V13" s="17" t="s">
        <v>1398</v>
      </c>
      <c r="W13" s="53" t="s">
        <v>1409</v>
      </c>
      <c r="X13" s="53" t="s">
        <v>1376</v>
      </c>
      <c r="Y13" s="632" t="s">
        <v>1398</v>
      </c>
    </row>
    <row r="14" spans="1:25" ht="13.8" thickBot="1" x14ac:dyDescent="0.3">
      <c r="A14" s="33">
        <v>12</v>
      </c>
      <c r="B14" s="33" t="s">
        <v>361</v>
      </c>
      <c r="C14" s="87">
        <v>180</v>
      </c>
      <c r="D14" s="87">
        <v>999</v>
      </c>
      <c r="E14" s="112">
        <f t="shared" si="0"/>
        <v>216</v>
      </c>
      <c r="F14" s="112">
        <f t="shared" si="1"/>
        <v>1198.8</v>
      </c>
      <c r="G14" s="88" t="s">
        <v>348</v>
      </c>
      <c r="H14" s="33">
        <v>4</v>
      </c>
      <c r="I14" s="32"/>
      <c r="J14" s="107" t="s">
        <v>350</v>
      </c>
      <c r="K14" s="108"/>
      <c r="M14" s="1123" t="s">
        <v>1392</v>
      </c>
      <c r="N14" s="1124"/>
      <c r="O14" s="1125"/>
      <c r="Q14" s="619" t="s">
        <v>1380</v>
      </c>
      <c r="R14" s="474"/>
      <c r="S14" s="620">
        <f>IF(S2&lt;1,0,R12/N17)</f>
        <v>0</v>
      </c>
      <c r="U14" s="638" t="s">
        <v>1405</v>
      </c>
      <c r="V14" s="17" t="s">
        <v>622</v>
      </c>
      <c r="W14" s="3">
        <v>0</v>
      </c>
      <c r="X14" s="3">
        <v>0</v>
      </c>
      <c r="Y14" s="627" t="s">
        <v>1458</v>
      </c>
    </row>
    <row r="15" spans="1:25" ht="13.8" thickBot="1" x14ac:dyDescent="0.3">
      <c r="A15" s="32"/>
      <c r="B15" s="122" t="s">
        <v>373</v>
      </c>
      <c r="C15" s="32"/>
      <c r="D15" s="32"/>
      <c r="E15" s="32"/>
      <c r="F15" s="32"/>
      <c r="G15" s="32"/>
      <c r="H15" s="32"/>
      <c r="I15" s="32"/>
      <c r="J15" s="97" t="s">
        <v>255</v>
      </c>
      <c r="K15" s="66" t="s">
        <v>344</v>
      </c>
      <c r="M15" s="617"/>
      <c r="N15" s="79" t="s">
        <v>351</v>
      </c>
      <c r="O15" s="189" t="s">
        <v>245</v>
      </c>
      <c r="U15" s="638" t="s">
        <v>1410</v>
      </c>
      <c r="V15" s="17" t="s">
        <v>617</v>
      </c>
      <c r="W15" s="3">
        <v>1</v>
      </c>
      <c r="X15" s="3">
        <v>1</v>
      </c>
      <c r="Y15" s="632" t="s">
        <v>622</v>
      </c>
    </row>
    <row r="16" spans="1:25" ht="13.8" thickBot="1" x14ac:dyDescent="0.3">
      <c r="B16" s="116"/>
      <c r="C16" s="117" t="s">
        <v>372</v>
      </c>
      <c r="D16" s="118"/>
      <c r="E16" s="118"/>
      <c r="F16" s="118"/>
      <c r="G16" s="118"/>
      <c r="H16" s="119"/>
      <c r="I16" s="32"/>
      <c r="J16" s="69" t="str">
        <f>Suolo!F19</f>
        <v>Medio impasto</v>
      </c>
      <c r="K16" s="98" t="s">
        <v>347</v>
      </c>
      <c r="M16" s="617" t="s">
        <v>1382</v>
      </c>
      <c r="N16" s="51">
        <f>IF(M12=1,(O2*O7),O2*J31)</f>
        <v>124.9995</v>
      </c>
      <c r="O16" s="642">
        <f>(N16*1.2)</f>
        <v>149.99939999999998</v>
      </c>
      <c r="Q16" s="1126" t="s">
        <v>1395</v>
      </c>
      <c r="R16" s="1127"/>
      <c r="S16" s="1127"/>
      <c r="T16" s="1127"/>
      <c r="U16" s="638" t="s">
        <v>1411</v>
      </c>
      <c r="V16" s="17" t="s">
        <v>1396</v>
      </c>
      <c r="W16" s="3">
        <v>2</v>
      </c>
      <c r="X16" s="3">
        <v>50</v>
      </c>
      <c r="Y16" s="632" t="s">
        <v>617</v>
      </c>
    </row>
    <row r="17" spans="1:25" ht="13.8" thickBot="1" x14ac:dyDescent="0.3">
      <c r="A17" s="115" t="s">
        <v>374</v>
      </c>
      <c r="B17" s="120" t="s">
        <v>255</v>
      </c>
      <c r="C17" s="101" t="s">
        <v>363</v>
      </c>
      <c r="D17" s="101" t="s">
        <v>364</v>
      </c>
      <c r="E17" s="101" t="s">
        <v>365</v>
      </c>
      <c r="F17" s="101" t="s">
        <v>366</v>
      </c>
      <c r="G17" s="32" t="s">
        <v>344</v>
      </c>
      <c r="H17" s="121" t="s">
        <v>1211</v>
      </c>
      <c r="J17" s="97" t="s">
        <v>255</v>
      </c>
      <c r="K17" s="66" t="s">
        <v>344</v>
      </c>
      <c r="M17" s="618" t="s">
        <v>1381</v>
      </c>
      <c r="N17" s="599">
        <f>(N16*K31)</f>
        <v>0.31969181585677753</v>
      </c>
      <c r="O17" s="348"/>
      <c r="Q17" s="626" t="s">
        <v>1397</v>
      </c>
      <c r="R17" s="53" t="s">
        <v>1381</v>
      </c>
      <c r="S17" s="53" t="s">
        <v>1382</v>
      </c>
      <c r="T17" s="17" t="s">
        <v>1398</v>
      </c>
      <c r="U17" s="638" t="s">
        <v>1412</v>
      </c>
      <c r="V17" s="17" t="s">
        <v>1406</v>
      </c>
      <c r="W17" s="3">
        <v>3</v>
      </c>
      <c r="X17" s="3">
        <v>100</v>
      </c>
      <c r="Y17" s="632" t="s">
        <v>1396</v>
      </c>
    </row>
    <row r="18" spans="1:25" ht="13.8" thickBot="1" x14ac:dyDescent="0.3">
      <c r="A18" s="49">
        <f ca="1">DGET(A2:G14,1,B17:G18)</f>
        <v>7</v>
      </c>
      <c r="B18" s="69" t="str">
        <f>Suolo!F19</f>
        <v>Medio impasto</v>
      </c>
      <c r="C18" s="102">
        <f ca="1">VLOOKUP($N$16,INDIRECT($K$8),1)</f>
        <v>100</v>
      </c>
      <c r="D18" s="102">
        <f ca="1">VLOOKUP($N$16,INDIRECT($K$8),2)</f>
        <v>150</v>
      </c>
      <c r="E18" s="102">
        <f ca="1">VLOOKUP($N$16,INDIRECT($K$8),3)</f>
        <v>120</v>
      </c>
      <c r="F18" s="102">
        <f ca="1">VLOOKUP($N$16,INDIRECT($K$8),4)</f>
        <v>180</v>
      </c>
      <c r="G18" s="379" t="str">
        <f ca="1">VLOOKUP($N$16,INDIRECT(K8),5)</f>
        <v>media</v>
      </c>
      <c r="H18" s="104">
        <f ca="1">VLOOKUP($N$16,INDIRECT(K8),6)</f>
        <v>3</v>
      </c>
      <c r="I18" s="32"/>
      <c r="J18" s="69" t="str">
        <f>Suolo!F19</f>
        <v>Medio impasto</v>
      </c>
      <c r="K18" s="643" t="s">
        <v>347</v>
      </c>
      <c r="L18" s="32"/>
      <c r="N18" s="3"/>
      <c r="O18" s="3"/>
      <c r="Q18" s="67">
        <v>0</v>
      </c>
      <c r="R18" s="33">
        <v>0</v>
      </c>
      <c r="S18" s="479">
        <f t="shared" ref="S18:S23" si="2">(J$32/J$31)*R18</f>
        <v>0</v>
      </c>
      <c r="T18" s="17" t="s">
        <v>1457</v>
      </c>
      <c r="U18" s="638" t="s">
        <v>1413</v>
      </c>
      <c r="V18" s="17" t="s">
        <v>1407</v>
      </c>
      <c r="W18" s="3">
        <v>4</v>
      </c>
      <c r="X18" s="3">
        <v>150</v>
      </c>
      <c r="Y18" s="632" t="s">
        <v>1406</v>
      </c>
    </row>
    <row r="19" spans="1:25" ht="13.8" thickBot="1" x14ac:dyDescent="0.3">
      <c r="B19" s="116"/>
      <c r="C19" s="117" t="s">
        <v>1415</v>
      </c>
      <c r="D19" s="118"/>
      <c r="E19" s="118"/>
      <c r="F19" s="118"/>
      <c r="G19" s="118"/>
      <c r="H19" s="119"/>
      <c r="J19" t="s">
        <v>562</v>
      </c>
      <c r="M19" s="116" t="s">
        <v>382</v>
      </c>
      <c r="N19" s="118"/>
      <c r="O19" s="119"/>
      <c r="Q19" s="67">
        <v>1</v>
      </c>
      <c r="R19" s="33">
        <v>0.1</v>
      </c>
      <c r="S19" s="479">
        <f t="shared" si="2"/>
        <v>3.1074168797953966E-2</v>
      </c>
      <c r="T19" s="17" t="s">
        <v>298</v>
      </c>
      <c r="U19" s="638" t="s">
        <v>1414</v>
      </c>
      <c r="V19" s="17" t="s">
        <v>1408</v>
      </c>
      <c r="W19" s="3">
        <v>5</v>
      </c>
      <c r="X19" s="3">
        <v>200</v>
      </c>
      <c r="Y19" s="632" t="s">
        <v>1407</v>
      </c>
    </row>
    <row r="20" spans="1:25" ht="13.8" thickBot="1" x14ac:dyDescent="0.3">
      <c r="A20" s="115" t="s">
        <v>374</v>
      </c>
      <c r="B20" s="120" t="s">
        <v>255</v>
      </c>
      <c r="C20" s="101" t="s">
        <v>363</v>
      </c>
      <c r="D20" s="101" t="s">
        <v>364</v>
      </c>
      <c r="E20" s="101" t="s">
        <v>365</v>
      </c>
      <c r="F20" s="101" t="s">
        <v>366</v>
      </c>
      <c r="G20" s="32" t="s">
        <v>344</v>
      </c>
      <c r="H20" s="121" t="s">
        <v>1211</v>
      </c>
      <c r="J20" s="32"/>
      <c r="K20" s="49">
        <f>(1+(0.018*Codici!Q2))</f>
        <v>1.333</v>
      </c>
      <c r="M20" s="601" t="s">
        <v>352</v>
      </c>
      <c r="N20" s="153">
        <f>Codici!Q2</f>
        <v>18.5</v>
      </c>
      <c r="O20" s="602" t="s">
        <v>560</v>
      </c>
      <c r="Q20" s="67">
        <v>2</v>
      </c>
      <c r="R20" s="33">
        <v>2.1</v>
      </c>
      <c r="S20" s="479">
        <f t="shared" si="2"/>
        <v>0.65255754475703331</v>
      </c>
      <c r="T20" s="17" t="s">
        <v>299</v>
      </c>
      <c r="U20" s="159"/>
      <c r="W20" s="3">
        <v>6</v>
      </c>
      <c r="X20" s="3">
        <v>250</v>
      </c>
      <c r="Y20" s="632" t="s">
        <v>1408</v>
      </c>
    </row>
    <row r="21" spans="1:25" ht="13.8" thickBot="1" x14ac:dyDescent="0.3">
      <c r="A21" s="49">
        <f>DGET(A2:H14,1,J17:K18)</f>
        <v>7</v>
      </c>
      <c r="B21" s="69" t="str">
        <f>Suolo!F19</f>
        <v>Medio impasto</v>
      </c>
      <c r="C21" s="102">
        <f>VLOOKUP($A$21,$A$3:$H$14,3)</f>
        <v>100</v>
      </c>
      <c r="D21" s="102">
        <f>VLOOKUP($A$21,$A$3:$H$14,4)</f>
        <v>150</v>
      </c>
      <c r="E21" s="102">
        <f>VLOOKUP($A$21,$A$3:$H$14,5)</f>
        <v>120</v>
      </c>
      <c r="F21" s="102">
        <f>VLOOKUP($A$21,$A$3:$H$14,6)</f>
        <v>180</v>
      </c>
      <c r="G21" s="644" t="str">
        <f>K18</f>
        <v>media</v>
      </c>
      <c r="H21" s="645">
        <f>VLOOKUP($A$21,$A$3:$H$14,8)</f>
        <v>3</v>
      </c>
      <c r="M21" s="603" t="s">
        <v>353</v>
      </c>
      <c r="N21" s="92"/>
      <c r="O21" s="604">
        <f>VLOOKUP(N20,M23:N28,2)</f>
        <v>20</v>
      </c>
      <c r="Q21" s="67">
        <v>3</v>
      </c>
      <c r="R21" s="33">
        <v>5.0999999999999996</v>
      </c>
      <c r="S21" s="479">
        <f t="shared" si="2"/>
        <v>1.5847826086956522</v>
      </c>
      <c r="T21" s="17" t="s">
        <v>300</v>
      </c>
      <c r="U21" s="159"/>
      <c r="W21" s="3"/>
      <c r="X21" s="53" t="s">
        <v>1376</v>
      </c>
      <c r="Y21" s="632" t="s">
        <v>1398</v>
      </c>
    </row>
    <row r="22" spans="1:25" ht="13.8" thickBot="1" x14ac:dyDescent="0.3">
      <c r="A22" s="32"/>
      <c r="B22" s="32"/>
      <c r="C22" s="32"/>
      <c r="D22" s="32"/>
      <c r="E22" s="32"/>
      <c r="F22" s="32"/>
      <c r="G22" s="3" t="s">
        <v>573</v>
      </c>
      <c r="J22" s="1042" t="s">
        <v>1461</v>
      </c>
      <c r="K22" s="1043"/>
      <c r="M22" s="605" t="s">
        <v>354</v>
      </c>
      <c r="N22" s="41" t="s">
        <v>355</v>
      </c>
      <c r="O22" s="121"/>
      <c r="Q22" s="67">
        <v>4</v>
      </c>
      <c r="R22" s="33">
        <v>6.01</v>
      </c>
      <c r="S22" s="479">
        <f t="shared" si="2"/>
        <v>1.8675575447570334</v>
      </c>
      <c r="T22" s="17" t="s">
        <v>1067</v>
      </c>
      <c r="U22" s="346"/>
      <c r="V22" s="181"/>
      <c r="W22" s="194">
        <f>DGET(W13:Y20,W13,Y21:Y22)</f>
        <v>0</v>
      </c>
      <c r="X22" s="673">
        <f>R11</f>
        <v>0</v>
      </c>
      <c r="Y22" s="636" t="str">
        <f>VLOOKUP(X22,X14:Y20,2)</f>
        <v>non valorizzato</v>
      </c>
    </row>
    <row r="23" spans="1:25" ht="13.8" thickBot="1" x14ac:dyDescent="0.3">
      <c r="A23" s="1121" t="s">
        <v>561</v>
      </c>
      <c r="B23" s="1122"/>
      <c r="C23" s="1122"/>
      <c r="D23" s="1122"/>
      <c r="E23" s="1122"/>
      <c r="F23" s="1122"/>
      <c r="G23" s="3" t="s">
        <v>574</v>
      </c>
      <c r="J23" s="77" t="s">
        <v>1460</v>
      </c>
      <c r="K23" s="550" t="s">
        <v>1378</v>
      </c>
      <c r="M23" s="605" t="s">
        <v>356</v>
      </c>
      <c r="N23" s="41" t="s">
        <v>330</v>
      </c>
      <c r="O23" s="121"/>
      <c r="Q23" s="628">
        <v>5</v>
      </c>
      <c r="R23" s="606">
        <v>100</v>
      </c>
      <c r="S23" s="625">
        <f t="shared" si="2"/>
        <v>31.074168797953966</v>
      </c>
      <c r="T23" s="629" t="s">
        <v>1459</v>
      </c>
    </row>
    <row r="24" spans="1:25" x14ac:dyDescent="0.25">
      <c r="B24" s="103"/>
      <c r="C24" s="3" t="s">
        <v>245</v>
      </c>
      <c r="F24" t="s">
        <v>956</v>
      </c>
      <c r="J24" s="77" t="s">
        <v>351</v>
      </c>
      <c r="K24" s="114">
        <v>2.5</v>
      </c>
      <c r="M24" s="596">
        <v>0</v>
      </c>
      <c r="N24" s="33">
        <v>60</v>
      </c>
      <c r="O24" s="121"/>
      <c r="Q24" s="159"/>
      <c r="R24" s="53"/>
      <c r="T24" s="627" t="s">
        <v>1398</v>
      </c>
    </row>
    <row r="25" spans="1:25" ht="13.8" thickBot="1" x14ac:dyDescent="0.3">
      <c r="B25" s="103" t="s">
        <v>554</v>
      </c>
      <c r="C25" s="71" t="s">
        <v>325</v>
      </c>
      <c r="F25" s="72" t="s">
        <v>330</v>
      </c>
      <c r="H25" s="32" t="s">
        <v>575</v>
      </c>
      <c r="J25" s="77" t="s">
        <v>1376</v>
      </c>
      <c r="K25" s="114">
        <v>7</v>
      </c>
      <c r="M25" s="596">
        <v>5.0999999999999996</v>
      </c>
      <c r="N25" s="33">
        <v>30</v>
      </c>
      <c r="O25" s="121"/>
      <c r="Q25" s="672">
        <f>DGET(Q17:T23,Q17,T24:T25)</f>
        <v>0</v>
      </c>
      <c r="R25" s="630">
        <f>S14</f>
        <v>0</v>
      </c>
      <c r="S25" s="625">
        <f>VLOOKUP($R$25,$R$18:$T$22,2)</f>
        <v>0</v>
      </c>
      <c r="T25" s="598" t="str">
        <f>VLOOKUP($R$25,$R$18:$T$23,3)</f>
        <v>non calcolato</v>
      </c>
    </row>
    <row r="26" spans="1:25" x14ac:dyDescent="0.25">
      <c r="B26" s="151" t="s">
        <v>555</v>
      </c>
      <c r="C26" s="73">
        <f>(O16-J13)</f>
        <v>29.99939999999998</v>
      </c>
      <c r="D26" t="str">
        <f>IF(C26&gt;0,"esiste una riserva di","esiste un deficit di")</f>
        <v>esiste una riserva di</v>
      </c>
      <c r="F26" s="73">
        <f>(C26*Ragg_Tes!F9)/1000</f>
        <v>116.99765999999991</v>
      </c>
      <c r="G26" s="199">
        <f>(A!F247)*Codici!$AV$2</f>
        <v>0</v>
      </c>
      <c r="H26" t="s">
        <v>576</v>
      </c>
      <c r="J26" s="78" t="s">
        <v>1377</v>
      </c>
      <c r="K26" s="139">
        <v>70</v>
      </c>
      <c r="M26" s="596">
        <v>15.1</v>
      </c>
      <c r="N26" s="33">
        <v>20</v>
      </c>
      <c r="O26" s="121"/>
    </row>
    <row r="27" spans="1:25" x14ac:dyDescent="0.25">
      <c r="B27" s="151" t="s">
        <v>556</v>
      </c>
      <c r="C27" s="73">
        <f>(O16-K13)</f>
        <v>-30.00060000000002</v>
      </c>
      <c r="D27" t="str">
        <f>IF(C27&gt;0,"esiste un esubero di"," ")</f>
        <v xml:space="preserve"> </v>
      </c>
      <c r="F27" s="73">
        <f>(C27*Ragg_Tes!F9)/1000</f>
        <v>-117.00234000000009</v>
      </c>
      <c r="H27" s="199">
        <f>IF(F27&gt;0,G26-F27,G26)</f>
        <v>0</v>
      </c>
      <c r="M27" s="596">
        <v>25.1</v>
      </c>
      <c r="N27" s="33">
        <v>10</v>
      </c>
      <c r="O27" s="121"/>
    </row>
    <row r="28" spans="1:25" ht="13.8" thickBot="1" x14ac:dyDescent="0.3">
      <c r="D28" s="32"/>
      <c r="E28" s="32"/>
      <c r="F28" s="32"/>
      <c r="G28" s="32"/>
      <c r="J28" s="32"/>
      <c r="K28" s="32"/>
      <c r="M28" s="597">
        <v>100</v>
      </c>
      <c r="N28" s="606">
        <v>10</v>
      </c>
      <c r="O28" s="607"/>
    </row>
    <row r="29" spans="1:25" ht="13.8" thickBot="1" x14ac:dyDescent="0.3">
      <c r="B29" t="s">
        <v>548</v>
      </c>
      <c r="E29" s="200" t="s">
        <v>164</v>
      </c>
      <c r="F29" s="210">
        <f ca="1">IF(OR(G18="bassa",G18="molto bassa"),-F26*K20,0)</f>
        <v>0</v>
      </c>
    </row>
    <row r="30" spans="1:25" ht="13.8" thickBot="1" x14ac:dyDescent="0.3">
      <c r="B30" t="s">
        <v>557</v>
      </c>
      <c r="E30" s="200" t="s">
        <v>1069</v>
      </c>
      <c r="F30" s="210">
        <f>(A!F244+Gri_K!O21)</f>
        <v>139.39999999999998</v>
      </c>
      <c r="I30" s="593" t="s">
        <v>1375</v>
      </c>
      <c r="J30" s="118"/>
      <c r="K30" s="119"/>
      <c r="M30" s="619" t="s">
        <v>1416</v>
      </c>
      <c r="N30" s="474"/>
      <c r="O30" s="620">
        <f>IF(X10=0,100,(N17/X10)*100)</f>
        <v>100</v>
      </c>
    </row>
    <row r="31" spans="1:25" ht="13.8" thickBot="1" x14ac:dyDescent="0.3">
      <c r="B31" t="s">
        <v>550</v>
      </c>
      <c r="E31" s="200" t="s">
        <v>166</v>
      </c>
      <c r="F31" s="209">
        <f ca="1">IF(G18="elevata",F27,0)</f>
        <v>0</v>
      </c>
      <c r="I31" s="595" t="s">
        <v>351</v>
      </c>
      <c r="J31" s="242">
        <v>391</v>
      </c>
      <c r="K31" s="662">
        <f>(1/J31)</f>
        <v>2.5575447570332483E-3</v>
      </c>
    </row>
    <row r="32" spans="1:25" ht="13.8" thickBot="1" x14ac:dyDescent="0.3">
      <c r="G32" s="32"/>
      <c r="I32" s="621" t="s">
        <v>1376</v>
      </c>
      <c r="J32" s="622">
        <v>121.5</v>
      </c>
      <c r="K32" s="663">
        <f t="shared" ref="K32:K34" si="3">(1/J32)</f>
        <v>8.23045267489712E-3</v>
      </c>
      <c r="M32" s="1126" t="s">
        <v>1417</v>
      </c>
      <c r="N32" s="1127"/>
      <c r="O32" s="1128"/>
    </row>
    <row r="33" spans="1:15" ht="13.8" thickBot="1" x14ac:dyDescent="0.3">
      <c r="A33" s="655" t="s">
        <v>1420</v>
      </c>
      <c r="B33" s="474"/>
      <c r="C33" s="474"/>
      <c r="D33" s="656"/>
      <c r="E33" s="656"/>
      <c r="F33" s="656"/>
      <c r="G33" s="658">
        <f>IF(K36="NO",O16,K37)</f>
        <v>149.99939999999998</v>
      </c>
      <c r="I33" s="623" t="s">
        <v>1377</v>
      </c>
      <c r="J33" s="624">
        <v>200.4</v>
      </c>
      <c r="K33" s="663">
        <f t="shared" si="3"/>
        <v>4.9900199600798403E-3</v>
      </c>
      <c r="M33" s="653" t="s">
        <v>1418</v>
      </c>
      <c r="N33" s="654" t="s">
        <v>356</v>
      </c>
      <c r="O33" s="652" t="s">
        <v>1398</v>
      </c>
    </row>
    <row r="34" spans="1:15" ht="13.8" thickBot="1" x14ac:dyDescent="0.3">
      <c r="D34" s="32"/>
      <c r="E34" s="32"/>
      <c r="F34" s="32"/>
      <c r="G34" s="32"/>
      <c r="H34" s="32"/>
      <c r="I34" s="600" t="s">
        <v>1379</v>
      </c>
      <c r="J34" s="615">
        <v>230</v>
      </c>
      <c r="K34" s="594">
        <f t="shared" si="3"/>
        <v>4.3478260869565218E-3</v>
      </c>
      <c r="M34" s="67">
        <v>1</v>
      </c>
      <c r="N34" s="33">
        <v>0.1</v>
      </c>
      <c r="O34" s="627" t="s">
        <v>298</v>
      </c>
    </row>
    <row r="35" spans="1:15" ht="13.8" thickBot="1" x14ac:dyDescent="0.3">
      <c r="A35" t="s">
        <v>958</v>
      </c>
      <c r="M35" s="67">
        <v>2</v>
      </c>
      <c r="N35" s="33">
        <v>2.1</v>
      </c>
      <c r="O35" s="627" t="s">
        <v>1419</v>
      </c>
    </row>
    <row r="36" spans="1:15" ht="13.8" thickBot="1" x14ac:dyDescent="0.3">
      <c r="A36" s="179" t="s">
        <v>957</v>
      </c>
      <c r="B36" s="281" t="s">
        <v>245</v>
      </c>
      <c r="C36" s="282">
        <f>(O16+('Apporti al terreno'!S25*1000/Ragg_Tes!F9)/Gri_K!K20)</f>
        <v>167.50920052705482</v>
      </c>
      <c r="H36" s="655" t="s">
        <v>1421</v>
      </c>
      <c r="I36" s="474"/>
      <c r="J36" s="656"/>
      <c r="K36" s="660" t="str">
        <f>IF(AND(Q25&lt;=3,M39&gt;=2),"NO","Sì")</f>
        <v>NO</v>
      </c>
      <c r="M36" s="67">
        <v>3</v>
      </c>
      <c r="N36" s="33">
        <v>5.0999999999999996</v>
      </c>
      <c r="O36" s="627" t="s">
        <v>300</v>
      </c>
    </row>
    <row r="37" spans="1:15" ht="13.8" thickBot="1" x14ac:dyDescent="0.3">
      <c r="A37" s="179" t="s">
        <v>957</v>
      </c>
      <c r="B37" s="281" t="s">
        <v>351</v>
      </c>
      <c r="C37" s="282">
        <f>(C36*O5)</f>
        <v>139.5904420752106</v>
      </c>
      <c r="H37" s="655" t="s">
        <v>1422</v>
      </c>
      <c r="I37" s="474"/>
      <c r="J37" s="474"/>
      <c r="K37" s="661">
        <f>MINA(O16,E21)</f>
        <v>120</v>
      </c>
      <c r="M37" s="628">
        <v>4</v>
      </c>
      <c r="N37" s="606">
        <v>100</v>
      </c>
      <c r="O37" s="629" t="s">
        <v>1457</v>
      </c>
    </row>
    <row r="38" spans="1:15" ht="13.8" thickBot="1" x14ac:dyDescent="0.3">
      <c r="H38" s="655" t="s">
        <v>1424</v>
      </c>
      <c r="I38" s="474"/>
      <c r="J38" s="474"/>
      <c r="K38" s="660" t="str">
        <f ca="1">IF(K36="Sì",K18,G18)</f>
        <v>media</v>
      </c>
      <c r="M38" s="159"/>
      <c r="N38" s="53"/>
      <c r="O38" s="627" t="s">
        <v>1398</v>
      </c>
    </row>
    <row r="39" spans="1:15" ht="13.8" thickBot="1" x14ac:dyDescent="0.3">
      <c r="M39" s="672">
        <f>DGET(M33:O37,M33,O38:O39)</f>
        <v>4</v>
      </c>
      <c r="N39" s="630">
        <f>O30</f>
        <v>100</v>
      </c>
      <c r="O39" s="598" t="str">
        <f>VLOOKUP($N$39,$N$34:$O$37,2)</f>
        <v>non calcolato</v>
      </c>
    </row>
  </sheetData>
  <sheetProtection password="CC0C" sheet="1" objects="1" scenarios="1"/>
  <mergeCells count="6">
    <mergeCell ref="A23:F23"/>
    <mergeCell ref="M14:O14"/>
    <mergeCell ref="Q9:S9"/>
    <mergeCell ref="Q16:T16"/>
    <mergeCell ref="M32:O32"/>
    <mergeCell ref="J22:K22"/>
  </mergeCells>
  <phoneticPr fontId="2" type="noConversion"/>
  <pageMargins left="0.74803149606299213" right="0.74803149606299213" top="0.98425196850393704" bottom="0.98425196850393704" header="0.51181102362204722" footer="0.51181102362204722"/>
  <pageSetup paperSize="8" scale="95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oglio32"/>
  <dimension ref="A1:F26"/>
  <sheetViews>
    <sheetView workbookViewId="0">
      <selection activeCell="J16" sqref="J16"/>
    </sheetView>
  </sheetViews>
  <sheetFormatPr defaultRowHeight="13.2" x14ac:dyDescent="0.25"/>
  <cols>
    <col min="1" max="1" width="27.33203125" bestFit="1" customWidth="1"/>
    <col min="2" max="2" width="11" bestFit="1" customWidth="1"/>
    <col min="3" max="3" width="11.5546875" bestFit="1" customWidth="1"/>
    <col min="4" max="4" width="19" bestFit="1" customWidth="1"/>
  </cols>
  <sheetData>
    <row r="1" spans="1:6" x14ac:dyDescent="0.25">
      <c r="A1" t="s">
        <v>388</v>
      </c>
      <c r="D1" s="3" t="s">
        <v>370</v>
      </c>
    </row>
    <row r="2" spans="1:6" x14ac:dyDescent="0.25">
      <c r="A2" s="16"/>
      <c r="B2" s="16"/>
      <c r="C2" s="16"/>
      <c r="D2" s="154">
        <f>Codici!U2</f>
        <v>15</v>
      </c>
      <c r="E2" s="75" t="s">
        <v>341</v>
      </c>
      <c r="F2" s="76"/>
    </row>
    <row r="3" spans="1:6" x14ac:dyDescent="0.25">
      <c r="A3" s="34" t="s">
        <v>384</v>
      </c>
      <c r="B3" t="s">
        <v>386</v>
      </c>
      <c r="C3" t="s">
        <v>387</v>
      </c>
      <c r="D3" s="3" t="s">
        <v>385</v>
      </c>
      <c r="E3" s="79" t="s">
        <v>302</v>
      </c>
      <c r="F3" s="114" t="s">
        <v>303</v>
      </c>
    </row>
    <row r="4" spans="1:6" x14ac:dyDescent="0.25">
      <c r="A4" s="3">
        <v>1</v>
      </c>
      <c r="B4" s="3">
        <v>0</v>
      </c>
      <c r="C4" s="3">
        <v>1</v>
      </c>
      <c r="D4" s="3" t="s">
        <v>389</v>
      </c>
      <c r="E4" s="79"/>
      <c r="F4" s="138" t="s">
        <v>394</v>
      </c>
    </row>
    <row r="5" spans="1:6" x14ac:dyDescent="0.25">
      <c r="A5" s="3">
        <v>2</v>
      </c>
      <c r="B5" s="3">
        <v>1</v>
      </c>
      <c r="C5" s="3">
        <v>10</v>
      </c>
      <c r="D5" s="3" t="s">
        <v>390</v>
      </c>
      <c r="E5" s="80" t="s">
        <v>395</v>
      </c>
      <c r="F5" s="138" t="s">
        <v>333</v>
      </c>
    </row>
    <row r="6" spans="1:6" x14ac:dyDescent="0.25">
      <c r="A6" s="3">
        <v>3</v>
      </c>
      <c r="B6" s="3">
        <v>10</v>
      </c>
      <c r="C6" s="3">
        <v>25</v>
      </c>
      <c r="D6" s="3" t="s">
        <v>391</v>
      </c>
      <c r="E6" s="80" t="s">
        <v>337</v>
      </c>
      <c r="F6" s="138" t="s">
        <v>396</v>
      </c>
    </row>
    <row r="7" spans="1:6" x14ac:dyDescent="0.25">
      <c r="A7" s="3">
        <v>4</v>
      </c>
      <c r="B7" s="3">
        <v>25</v>
      </c>
      <c r="C7" s="3">
        <v>50</v>
      </c>
      <c r="D7" s="3" t="s">
        <v>392</v>
      </c>
      <c r="E7" s="80" t="s">
        <v>397</v>
      </c>
      <c r="F7" s="114" t="s">
        <v>398</v>
      </c>
    </row>
    <row r="8" spans="1:6" ht="13.8" thickBot="1" x14ac:dyDescent="0.3">
      <c r="A8" s="3">
        <v>5</v>
      </c>
      <c r="B8" s="3">
        <v>50</v>
      </c>
      <c r="C8" s="3">
        <v>100</v>
      </c>
      <c r="D8" s="3" t="s">
        <v>393</v>
      </c>
      <c r="E8" s="81" t="s">
        <v>399</v>
      </c>
      <c r="F8" s="139"/>
    </row>
    <row r="9" spans="1:6" x14ac:dyDescent="0.25">
      <c r="A9" s="3"/>
      <c r="B9" s="156" t="s">
        <v>410</v>
      </c>
      <c r="C9" s="157"/>
      <c r="D9" s="158"/>
    </row>
    <row r="10" spans="1:6" x14ac:dyDescent="0.25">
      <c r="A10" s="3"/>
      <c r="B10" s="159" t="s">
        <v>400</v>
      </c>
      <c r="C10" s="3"/>
      <c r="D10" s="160"/>
    </row>
    <row r="11" spans="1:6" x14ac:dyDescent="0.25">
      <c r="A11" s="3"/>
      <c r="B11" s="161" t="s">
        <v>386</v>
      </c>
      <c r="C11" s="155" t="s">
        <v>387</v>
      </c>
      <c r="D11" s="162" t="s">
        <v>385</v>
      </c>
    </row>
    <row r="12" spans="1:6" ht="13.8" thickBot="1" x14ac:dyDescent="0.3">
      <c r="A12" s="5">
        <f>DGET($A$3:$F$8,1,$B$11:$D$12)</f>
        <v>3</v>
      </c>
      <c r="B12" s="129">
        <f>VLOOKUP(Codici!$U$2,$B$4:$D$8,1)</f>
        <v>10</v>
      </c>
      <c r="C12" s="163">
        <f>VLOOKUP(Codici!$U$2,$B$4:$D$8,2)</f>
        <v>25</v>
      </c>
      <c r="D12" s="164" t="str">
        <f>VLOOKUP(Codici!$U$2,$B$4:$D$8,3)</f>
        <v>Mediamente calcareo</v>
      </c>
      <c r="E12" s="5" t="str">
        <f>DGET($A$3:$F$8,5,$B$11:$D$12)</f>
        <v>=&gt; 10</v>
      </c>
      <c r="F12" s="5" t="str">
        <f>DGET($A$3:$F$8,6,$B$11:$D$12)</f>
        <v>&lt; 25</v>
      </c>
    </row>
    <row r="16" spans="1:6" x14ac:dyDescent="0.25">
      <c r="A16" t="s">
        <v>401</v>
      </c>
      <c r="D16" s="3" t="s">
        <v>370</v>
      </c>
    </row>
    <row r="17" spans="1:6" x14ac:dyDescent="0.25">
      <c r="A17" s="16"/>
      <c r="B17" s="16"/>
      <c r="C17" s="16"/>
      <c r="D17" s="154">
        <f>Codici!W2</f>
        <v>6.8</v>
      </c>
      <c r="E17" s="75" t="s">
        <v>341</v>
      </c>
      <c r="F17" s="76"/>
    </row>
    <row r="18" spans="1:6" x14ac:dyDescent="0.25">
      <c r="A18" s="34" t="s">
        <v>409</v>
      </c>
      <c r="B18" t="s">
        <v>411</v>
      </c>
      <c r="C18" t="s">
        <v>412</v>
      </c>
      <c r="D18" s="3" t="s">
        <v>404</v>
      </c>
      <c r="E18" s="79" t="s">
        <v>302</v>
      </c>
      <c r="F18" s="114" t="s">
        <v>303</v>
      </c>
    </row>
    <row r="19" spans="1:6" x14ac:dyDescent="0.25">
      <c r="A19" s="3">
        <v>1</v>
      </c>
      <c r="B19" s="3">
        <v>0</v>
      </c>
      <c r="C19" s="3">
        <v>1</v>
      </c>
      <c r="D19" s="3" t="s">
        <v>405</v>
      </c>
      <c r="E19" s="79"/>
      <c r="F19" s="138" t="s">
        <v>394</v>
      </c>
    </row>
    <row r="20" spans="1:6" x14ac:dyDescent="0.25">
      <c r="A20" s="3">
        <v>2</v>
      </c>
      <c r="B20" s="3">
        <v>1</v>
      </c>
      <c r="C20" s="3">
        <v>5</v>
      </c>
      <c r="D20" s="3" t="s">
        <v>406</v>
      </c>
      <c r="E20" s="80" t="s">
        <v>395</v>
      </c>
      <c r="F20" s="138" t="s">
        <v>332</v>
      </c>
    </row>
    <row r="21" spans="1:6" x14ac:dyDescent="0.25">
      <c r="A21" s="3">
        <v>3</v>
      </c>
      <c r="B21" s="3">
        <v>5</v>
      </c>
      <c r="C21" s="3">
        <v>7.5</v>
      </c>
      <c r="D21" s="3" t="s">
        <v>407</v>
      </c>
      <c r="E21" s="80" t="s">
        <v>336</v>
      </c>
      <c r="F21" s="138" t="s">
        <v>402</v>
      </c>
    </row>
    <row r="22" spans="1:6" ht="13.8" thickBot="1" x14ac:dyDescent="0.3">
      <c r="A22" s="3">
        <v>4</v>
      </c>
      <c r="B22" s="3">
        <v>7.5</v>
      </c>
      <c r="C22" s="3">
        <v>100</v>
      </c>
      <c r="D22" s="3" t="s">
        <v>408</v>
      </c>
      <c r="E22" s="81" t="s">
        <v>403</v>
      </c>
      <c r="F22" s="139"/>
    </row>
    <row r="23" spans="1:6" x14ac:dyDescent="0.25">
      <c r="A23" s="3"/>
      <c r="B23" s="156" t="s">
        <v>413</v>
      </c>
      <c r="C23" s="157"/>
      <c r="D23" s="158"/>
    </row>
    <row r="24" spans="1:6" x14ac:dyDescent="0.25">
      <c r="A24" s="3"/>
      <c r="B24" s="159" t="s">
        <v>400</v>
      </c>
      <c r="C24" s="3"/>
      <c r="D24" s="160"/>
    </row>
    <row r="25" spans="1:6" x14ac:dyDescent="0.25">
      <c r="A25" s="3"/>
      <c r="B25" s="161" t="s">
        <v>411</v>
      </c>
      <c r="C25" s="155" t="s">
        <v>412</v>
      </c>
      <c r="D25" s="162" t="s">
        <v>404</v>
      </c>
    </row>
    <row r="26" spans="1:6" ht="13.8" thickBot="1" x14ac:dyDescent="0.3">
      <c r="A26" s="5">
        <f>DGET($A$18:$F$22,1,$B$25:$D$26)</f>
        <v>3</v>
      </c>
      <c r="B26" s="129">
        <f>VLOOKUP(Codici!$W$2,$B$19:$D$22,1)</f>
        <v>5</v>
      </c>
      <c r="C26" s="165">
        <f>VLOOKUP(Codici!$W$2,$B$19:$D$22,2)</f>
        <v>7.5</v>
      </c>
      <c r="D26" s="166" t="str">
        <f>VLOOKUP(Codici!$W$2,$B$19:$D$22,3)</f>
        <v>Elevato</v>
      </c>
      <c r="E26" s="5" t="str">
        <f>DGET($A$18:$F$22,5,$B$25:$D$26)</f>
        <v>=&gt; 5</v>
      </c>
      <c r="F26" s="5" t="str">
        <f>DGET($A$18:$F$22,6,$B$25:$D$26)</f>
        <v>&lt; 7,5</v>
      </c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41"/>
  <dimension ref="A1:D12"/>
  <sheetViews>
    <sheetView workbookViewId="0">
      <selection sqref="A1:D12"/>
    </sheetView>
  </sheetViews>
  <sheetFormatPr defaultRowHeight="13.2" x14ac:dyDescent="0.25"/>
  <cols>
    <col min="1" max="1" width="9.6640625" bestFit="1" customWidth="1"/>
    <col min="3" max="3" width="15.33203125" customWidth="1"/>
    <col min="4" max="4" width="17.6640625" customWidth="1"/>
  </cols>
  <sheetData>
    <row r="1" spans="1:4" x14ac:dyDescent="0.25">
      <c r="A1" s="34" t="s">
        <v>1430</v>
      </c>
      <c r="B1" s="34"/>
    </row>
    <row r="2" spans="1:4" ht="13.8" thickBot="1" x14ac:dyDescent="0.3">
      <c r="A2" s="665" t="s">
        <v>1427</v>
      </c>
      <c r="B2" s="665" t="s">
        <v>1443</v>
      </c>
      <c r="C2" s="665" t="s">
        <v>1425</v>
      </c>
      <c r="D2" s="665" t="s">
        <v>1426</v>
      </c>
    </row>
    <row r="3" spans="1:4" x14ac:dyDescent="0.25">
      <c r="A3" s="3">
        <v>1</v>
      </c>
      <c r="B3" s="3">
        <v>0</v>
      </c>
      <c r="C3" s="664" t="s">
        <v>1428</v>
      </c>
      <c r="D3" s="53" t="s">
        <v>1436</v>
      </c>
    </row>
    <row r="4" spans="1:4" x14ac:dyDescent="0.25">
      <c r="A4" s="3">
        <v>2</v>
      </c>
      <c r="B4" s="3">
        <v>5.4</v>
      </c>
      <c r="C4" s="53" t="s">
        <v>1429</v>
      </c>
      <c r="D4" s="53" t="s">
        <v>1437</v>
      </c>
    </row>
    <row r="5" spans="1:4" x14ac:dyDescent="0.25">
      <c r="A5" s="3">
        <v>3</v>
      </c>
      <c r="B5" s="3">
        <v>6</v>
      </c>
      <c r="C5" s="53" t="s">
        <v>1431</v>
      </c>
      <c r="D5" s="53" t="s">
        <v>1438</v>
      </c>
    </row>
    <row r="6" spans="1:4" x14ac:dyDescent="0.25">
      <c r="A6" s="3">
        <v>4</v>
      </c>
      <c r="B6" s="3">
        <v>6.7</v>
      </c>
      <c r="C6" s="53" t="s">
        <v>1432</v>
      </c>
      <c r="D6" s="53" t="s">
        <v>1439</v>
      </c>
    </row>
    <row r="7" spans="1:4" x14ac:dyDescent="0.25">
      <c r="A7" s="3">
        <v>5</v>
      </c>
      <c r="B7" s="3">
        <v>7.3</v>
      </c>
      <c r="C7" s="53" t="s">
        <v>1433</v>
      </c>
      <c r="D7" s="53" t="s">
        <v>1440</v>
      </c>
    </row>
    <row r="8" spans="1:4" x14ac:dyDescent="0.25">
      <c r="A8" s="3">
        <v>6</v>
      </c>
      <c r="B8" s="3">
        <v>8.1</v>
      </c>
      <c r="C8" s="53" t="s">
        <v>1434</v>
      </c>
      <c r="D8" s="53" t="s">
        <v>1441</v>
      </c>
    </row>
    <row r="9" spans="1:4" x14ac:dyDescent="0.25">
      <c r="A9" s="3">
        <v>7</v>
      </c>
      <c r="B9" s="3">
        <v>8.61</v>
      </c>
      <c r="C9" s="664" t="s">
        <v>1435</v>
      </c>
      <c r="D9" s="53" t="s">
        <v>1442</v>
      </c>
    </row>
    <row r="10" spans="1:4" x14ac:dyDescent="0.25">
      <c r="A10" s="3"/>
      <c r="B10" s="3"/>
      <c r="C10" s="664"/>
      <c r="D10" s="53"/>
    </row>
    <row r="11" spans="1:4" ht="13.8" thickBot="1" x14ac:dyDescent="0.3">
      <c r="D11" s="665" t="s">
        <v>1426</v>
      </c>
    </row>
    <row r="12" spans="1:4" x14ac:dyDescent="0.25">
      <c r="A12" s="479">
        <f>DGET(A2:D9,A2,D11:D12)</f>
        <v>6</v>
      </c>
      <c r="B12" s="468">
        <f>Inserimento!F23</f>
        <v>8.3000000000000007</v>
      </c>
      <c r="C12" s="479" t="str">
        <f>VLOOKUP(B12,$B$3:$D$9,2)</f>
        <v>da 8,2  a 8,6</v>
      </c>
      <c r="D12" s="479" t="str">
        <f>VLOOKUP($B$12,$B$3:$D$9,3)</f>
        <v>alcalino</v>
      </c>
    </row>
  </sheetData>
  <sheetProtection password="CC0C" sheet="1" objects="1" scenarios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oglio33"/>
  <dimension ref="A1:DV2"/>
  <sheetViews>
    <sheetView topLeftCell="G1" workbookViewId="0">
      <selection activeCell="Y13" sqref="Y13"/>
    </sheetView>
  </sheetViews>
  <sheetFormatPr defaultRowHeight="13.2" x14ac:dyDescent="0.25"/>
  <cols>
    <col min="12" max="13" width="6.5546875" customWidth="1"/>
    <col min="14" max="14" width="10.33203125" bestFit="1" customWidth="1"/>
    <col min="43" max="43" width="15.44140625" customWidth="1"/>
    <col min="124" max="126" width="13.33203125" bestFit="1" customWidth="1"/>
  </cols>
  <sheetData>
    <row r="1" spans="1:126" ht="26.4" x14ac:dyDescent="0.25">
      <c r="A1" t="s">
        <v>968</v>
      </c>
      <c r="B1" t="s">
        <v>1188</v>
      </c>
      <c r="C1" t="s">
        <v>1203</v>
      </c>
      <c r="D1" t="s">
        <v>927</v>
      </c>
      <c r="E1" t="s">
        <v>904</v>
      </c>
      <c r="F1" s="3" t="s">
        <v>19</v>
      </c>
      <c r="G1" s="3" t="s">
        <v>13</v>
      </c>
      <c r="H1" s="3" t="s">
        <v>1041</v>
      </c>
      <c r="I1" s="35" t="s">
        <v>1333</v>
      </c>
      <c r="J1" s="296" t="s">
        <v>1202</v>
      </c>
      <c r="K1" s="3" t="s">
        <v>1199</v>
      </c>
      <c r="L1" s="296" t="s">
        <v>1200</v>
      </c>
      <c r="M1" s="296" t="s">
        <v>1201</v>
      </c>
      <c r="N1" s="3" t="s">
        <v>443</v>
      </c>
      <c r="O1" t="s">
        <v>1141</v>
      </c>
      <c r="P1" s="3" t="s">
        <v>20</v>
      </c>
      <c r="Q1" s="3" t="s">
        <v>15</v>
      </c>
      <c r="R1" s="3" t="s">
        <v>284</v>
      </c>
      <c r="S1" t="s">
        <v>316</v>
      </c>
      <c r="T1" s="3" t="s">
        <v>289</v>
      </c>
      <c r="U1" s="3" t="s">
        <v>290</v>
      </c>
      <c r="V1" s="167" t="s">
        <v>384</v>
      </c>
      <c r="W1" s="3" t="s">
        <v>293</v>
      </c>
      <c r="X1" s="167" t="s">
        <v>409</v>
      </c>
      <c r="Y1" s="3" t="s">
        <v>243</v>
      </c>
      <c r="Z1" s="3" t="s">
        <v>294</v>
      </c>
      <c r="AA1" s="84" t="s">
        <v>295</v>
      </c>
      <c r="AB1" s="7" t="s">
        <v>418</v>
      </c>
      <c r="AC1" s="3" t="s">
        <v>317</v>
      </c>
      <c r="AD1" s="32" t="s">
        <v>327</v>
      </c>
      <c r="AE1" s="3" t="s">
        <v>329</v>
      </c>
      <c r="AF1" s="64" t="s">
        <v>331</v>
      </c>
      <c r="AG1" s="610" t="s">
        <v>1385</v>
      </c>
      <c r="AH1" s="32" t="s">
        <v>367</v>
      </c>
      <c r="AI1" s="3" t="s">
        <v>362</v>
      </c>
      <c r="AJ1" t="s">
        <v>374</v>
      </c>
      <c r="AK1" s="610" t="s">
        <v>1391</v>
      </c>
      <c r="AL1" s="610" t="s">
        <v>1394</v>
      </c>
      <c r="AM1" s="167" t="s">
        <v>433</v>
      </c>
      <c r="AN1" t="s">
        <v>436</v>
      </c>
      <c r="AO1" t="s">
        <v>438</v>
      </c>
      <c r="AP1" s="36" t="s">
        <v>488</v>
      </c>
      <c r="AQ1" s="36" t="s">
        <v>1233</v>
      </c>
      <c r="AR1" t="s">
        <v>500</v>
      </c>
      <c r="AS1" t="s">
        <v>511</v>
      </c>
      <c r="AT1" t="s">
        <v>536</v>
      </c>
      <c r="AU1" t="s">
        <v>540</v>
      </c>
      <c r="AV1" s="3" t="s">
        <v>568</v>
      </c>
      <c r="AW1" s="3" t="s">
        <v>1133</v>
      </c>
      <c r="AX1" s="3" t="s">
        <v>1129</v>
      </c>
      <c r="AY1" s="10" t="s">
        <v>11</v>
      </c>
      <c r="AZ1" s="3" t="s">
        <v>1306</v>
      </c>
      <c r="BA1" s="296" t="s">
        <v>1505</v>
      </c>
      <c r="BG1" s="10" t="s">
        <v>12</v>
      </c>
      <c r="DT1" t="s">
        <v>1287</v>
      </c>
      <c r="DU1" t="s">
        <v>1288</v>
      </c>
      <c r="DV1" t="s">
        <v>1289</v>
      </c>
    </row>
    <row r="2" spans="1:126" ht="26.4" x14ac:dyDescent="0.25">
      <c r="A2" s="457" t="str">
        <f>Inserimento!B5</f>
        <v>Pinco Pallino</v>
      </c>
      <c r="B2" s="4" t="str">
        <f>Inserimento!N5</f>
        <v>A</v>
      </c>
      <c r="C2" s="4">
        <f>Inserimento!Q5</f>
        <v>1</v>
      </c>
      <c r="D2" s="4">
        <f>Inserimento!T5</f>
        <v>2025</v>
      </c>
      <c r="E2" s="323">
        <v>2</v>
      </c>
      <c r="F2" s="323">
        <v>2</v>
      </c>
      <c r="G2" s="324">
        <v>17</v>
      </c>
      <c r="H2" s="324">
        <v>4</v>
      </c>
      <c r="I2" s="324">
        <v>2</v>
      </c>
      <c r="J2" s="324"/>
      <c r="K2" s="324" t="b">
        <v>1</v>
      </c>
      <c r="L2" s="465">
        <f>Inserimento!C15</f>
        <v>0</v>
      </c>
      <c r="M2" s="152">
        <f>Inserimento!T10</f>
        <v>6</v>
      </c>
      <c r="N2" s="323">
        <v>2</v>
      </c>
      <c r="O2" s="4">
        <f>C_tempo!C22</f>
        <v>0.67</v>
      </c>
      <c r="P2" s="4">
        <f>Inserimento!C19</f>
        <v>15.5</v>
      </c>
      <c r="Q2" s="4">
        <f>Inserimento!C21</f>
        <v>18.5</v>
      </c>
      <c r="R2" s="4" t="str">
        <f>Suolo!B19</f>
        <v>FL</v>
      </c>
      <c r="S2" s="4">
        <f>Suolo!E19</f>
        <v>2</v>
      </c>
      <c r="T2" s="4">
        <f>Inserimento!F23</f>
        <v>8.3000000000000007</v>
      </c>
      <c r="U2" s="4">
        <f>Inserimento!G25</f>
        <v>15</v>
      </c>
      <c r="V2" s="4">
        <f>Calcare!A12</f>
        <v>3</v>
      </c>
      <c r="W2" s="4">
        <f>Inserimento!G27</f>
        <v>6.8</v>
      </c>
      <c r="X2" s="4">
        <f>Calcare!A26</f>
        <v>3</v>
      </c>
      <c r="Y2" s="4">
        <f>Inserimento!L19</f>
        <v>1.5</v>
      </c>
      <c r="Z2" s="4">
        <f>Inserimento!L21</f>
        <v>2</v>
      </c>
      <c r="AA2" s="4">
        <f ca="1">B!A19</f>
        <v>7</v>
      </c>
      <c r="AB2" s="4">
        <f>B!J15</f>
        <v>2</v>
      </c>
      <c r="AC2" s="4">
        <f>CN!A7</f>
        <v>1</v>
      </c>
      <c r="AD2" s="323">
        <v>1</v>
      </c>
      <c r="AE2" s="4">
        <f>Inserimento!L26</f>
        <v>15</v>
      </c>
      <c r="AF2" s="4">
        <f>Gri_P!A10</f>
        <v>2</v>
      </c>
      <c r="AG2" s="323">
        <v>1</v>
      </c>
      <c r="AH2" s="323">
        <v>1</v>
      </c>
      <c r="AI2" s="4">
        <f>Inserimento!R19</f>
        <v>150</v>
      </c>
      <c r="AJ2" s="4">
        <f ca="1">Gri_K!A18</f>
        <v>7</v>
      </c>
      <c r="AK2" s="323">
        <v>1</v>
      </c>
      <c r="AL2" s="4">
        <f>Inserimento!R26</f>
        <v>0</v>
      </c>
      <c r="AM2" s="323">
        <v>1</v>
      </c>
      <c r="AN2" s="4">
        <f>'C&amp;D'!F17</f>
        <v>4</v>
      </c>
      <c r="AO2" s="323">
        <v>6</v>
      </c>
      <c r="AP2" s="323">
        <v>4</v>
      </c>
      <c r="AQ2" s="323">
        <v>2</v>
      </c>
      <c r="AR2" s="323">
        <v>4</v>
      </c>
      <c r="AS2" s="4">
        <f>Inserimento!Q32</f>
        <v>0</v>
      </c>
      <c r="AT2" s="4">
        <f>Inserimento!J15</f>
        <v>0</v>
      </c>
      <c r="AU2" s="323">
        <v>2</v>
      </c>
      <c r="AV2" s="4">
        <f>Inserimento!C14</f>
        <v>25</v>
      </c>
      <c r="AW2" s="343" t="b">
        <v>0</v>
      </c>
      <c r="AX2" s="343" t="b">
        <v>0</v>
      </c>
      <c r="AY2" s="404">
        <v>5</v>
      </c>
      <c r="AZ2" s="404" t="b">
        <v>0</v>
      </c>
      <c r="BA2" s="4">
        <f>Inserimento!X10</f>
        <v>0</v>
      </c>
      <c r="BG2" s="343">
        <v>7</v>
      </c>
      <c r="DT2" s="472">
        <f>Distribuz!Q7</f>
        <v>2023</v>
      </c>
      <c r="DU2" s="472">
        <f>Distribuz!Q10</f>
        <v>2024</v>
      </c>
      <c r="DV2" s="472">
        <f>Distribuz!Q13</f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oglio40"/>
  <dimension ref="A1"/>
  <sheetViews>
    <sheetView workbookViewId="0">
      <selection activeCell="B2" sqref="B2:E5"/>
    </sheetView>
  </sheetViews>
  <sheetFormatPr defaultRowHeight="13.2" x14ac:dyDescent="0.25"/>
  <sheetData/>
  <phoneticPr fontId="2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oglio34"/>
  <dimension ref="A1:CZ105"/>
  <sheetViews>
    <sheetView topLeftCell="A16" zoomScale="32" workbookViewId="0">
      <selection activeCell="CQ33" sqref="CQ33"/>
    </sheetView>
  </sheetViews>
  <sheetFormatPr defaultRowHeight="13.2" x14ac:dyDescent="0.25"/>
  <cols>
    <col min="1" max="1" width="4.5546875" customWidth="1"/>
    <col min="2" max="13" width="3.6640625" customWidth="1"/>
    <col min="14" max="14" width="3.5546875" customWidth="1"/>
    <col min="15" max="104" width="3.6640625" customWidth="1"/>
  </cols>
  <sheetData>
    <row r="1" spans="2:29" ht="44.4" x14ac:dyDescent="0.7">
      <c r="B1" s="329" t="s">
        <v>434</v>
      </c>
      <c r="C1" s="329"/>
      <c r="D1" s="329" t="s">
        <v>285</v>
      </c>
      <c r="E1" s="329"/>
      <c r="F1" s="329" t="s">
        <v>16</v>
      </c>
      <c r="G1" s="329"/>
      <c r="H1" s="329" t="s">
        <v>15</v>
      </c>
      <c r="I1" s="329"/>
      <c r="J1" s="329" t="s">
        <v>1054</v>
      </c>
      <c r="K1" s="329"/>
      <c r="L1" s="329" t="s">
        <v>287</v>
      </c>
      <c r="M1" s="329"/>
      <c r="N1" s="329" t="s">
        <v>18</v>
      </c>
      <c r="O1" s="329"/>
      <c r="P1" s="329" t="s">
        <v>243</v>
      </c>
      <c r="Q1" s="329"/>
      <c r="R1" s="329" t="s">
        <v>16</v>
      </c>
    </row>
    <row r="2" spans="2:29" ht="10.5" customHeight="1" x14ac:dyDescent="0.7"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329"/>
      <c r="R2" s="329"/>
    </row>
    <row r="3" spans="2:29" ht="13.35" customHeight="1" x14ac:dyDescent="0.5">
      <c r="C3" s="336">
        <v>100</v>
      </c>
      <c r="D3" s="6">
        <v>0</v>
      </c>
      <c r="AC3" s="328"/>
    </row>
    <row r="4" spans="2:29" ht="13.35" customHeight="1" x14ac:dyDescent="0.25">
      <c r="C4" s="336">
        <v>99</v>
      </c>
      <c r="D4" s="6">
        <f>(D3+1)</f>
        <v>1</v>
      </c>
      <c r="E4" s="6">
        <f t="shared" ref="E4:E35" si="0">(E$103-$C4)</f>
        <v>0</v>
      </c>
    </row>
    <row r="5" spans="2:29" ht="13.35" customHeight="1" x14ac:dyDescent="0.25">
      <c r="C5" s="336">
        <v>98</v>
      </c>
      <c r="D5" s="6">
        <f t="shared" ref="D5:D68" si="1">(D4+1)</f>
        <v>2</v>
      </c>
      <c r="E5" s="6">
        <f t="shared" si="0"/>
        <v>1</v>
      </c>
      <c r="F5" s="6">
        <f t="shared" ref="F5:F36" si="2">(F$103-$C5)</f>
        <v>0</v>
      </c>
    </row>
    <row r="6" spans="2:29" ht="13.35" customHeight="1" x14ac:dyDescent="0.25">
      <c r="C6" s="336">
        <v>97</v>
      </c>
      <c r="D6" s="6">
        <f t="shared" si="1"/>
        <v>3</v>
      </c>
      <c r="E6" s="6">
        <f t="shared" si="0"/>
        <v>2</v>
      </c>
      <c r="F6" s="6">
        <f t="shared" si="2"/>
        <v>1</v>
      </c>
      <c r="G6" s="6">
        <f t="shared" ref="G6:G37" si="3">(G$103-$C6)</f>
        <v>0</v>
      </c>
    </row>
    <row r="7" spans="2:29" ht="13.35" customHeight="1" x14ac:dyDescent="0.25">
      <c r="C7" s="336">
        <v>96</v>
      </c>
      <c r="D7" s="6">
        <f t="shared" si="1"/>
        <v>4</v>
      </c>
      <c r="E7" s="6">
        <f t="shared" si="0"/>
        <v>3</v>
      </c>
      <c r="F7" s="6">
        <f t="shared" si="2"/>
        <v>2</v>
      </c>
      <c r="G7" s="6">
        <f t="shared" si="3"/>
        <v>1</v>
      </c>
      <c r="H7" s="6">
        <f t="shared" ref="H7:H37" si="4">(H$103-$C7)</f>
        <v>0</v>
      </c>
    </row>
    <row r="8" spans="2:29" ht="13.35" customHeight="1" x14ac:dyDescent="0.25">
      <c r="C8" s="336">
        <v>95</v>
      </c>
      <c r="D8" s="6">
        <f t="shared" si="1"/>
        <v>5</v>
      </c>
      <c r="E8" s="6">
        <f t="shared" si="0"/>
        <v>4</v>
      </c>
      <c r="F8" s="6">
        <f t="shared" si="2"/>
        <v>3</v>
      </c>
      <c r="G8" s="6">
        <f t="shared" si="3"/>
        <v>2</v>
      </c>
      <c r="H8" s="6">
        <f t="shared" si="4"/>
        <v>1</v>
      </c>
      <c r="I8" s="6">
        <f t="shared" ref="I8:I37" si="5">(I$103-$C8)</f>
        <v>0</v>
      </c>
    </row>
    <row r="9" spans="2:29" ht="13.35" customHeight="1" x14ac:dyDescent="0.25">
      <c r="C9" s="336">
        <v>94</v>
      </c>
      <c r="D9" s="6">
        <f t="shared" si="1"/>
        <v>6</v>
      </c>
      <c r="E9" s="6">
        <f t="shared" si="0"/>
        <v>5</v>
      </c>
      <c r="F9" s="6">
        <f t="shared" si="2"/>
        <v>4</v>
      </c>
      <c r="G9" s="6">
        <f t="shared" si="3"/>
        <v>3</v>
      </c>
      <c r="H9" s="6">
        <f t="shared" si="4"/>
        <v>2</v>
      </c>
      <c r="I9" s="6">
        <f t="shared" si="5"/>
        <v>1</v>
      </c>
      <c r="J9" s="6">
        <f t="shared" ref="J9:J37" si="6">(J$103-$C9)</f>
        <v>0</v>
      </c>
    </row>
    <row r="10" spans="2:29" ht="13.35" customHeight="1" x14ac:dyDescent="0.25">
      <c r="C10" s="336">
        <v>93</v>
      </c>
      <c r="D10" s="6">
        <f t="shared" si="1"/>
        <v>7</v>
      </c>
      <c r="E10" s="6">
        <f t="shared" si="0"/>
        <v>6</v>
      </c>
      <c r="F10" s="6">
        <f t="shared" si="2"/>
        <v>5</v>
      </c>
      <c r="G10" s="6">
        <f t="shared" si="3"/>
        <v>4</v>
      </c>
      <c r="H10" s="6">
        <f t="shared" si="4"/>
        <v>3</v>
      </c>
      <c r="I10" s="6">
        <f t="shared" si="5"/>
        <v>2</v>
      </c>
      <c r="J10" s="6">
        <f t="shared" si="6"/>
        <v>1</v>
      </c>
      <c r="K10" s="6">
        <f t="shared" ref="K10:K37" si="7">(K$103-$C10)</f>
        <v>0</v>
      </c>
    </row>
    <row r="11" spans="2:29" ht="13.35" customHeight="1" x14ac:dyDescent="0.25">
      <c r="C11" s="336">
        <v>92</v>
      </c>
      <c r="D11" s="6">
        <f t="shared" si="1"/>
        <v>8</v>
      </c>
      <c r="E11" s="6">
        <f t="shared" si="0"/>
        <v>7</v>
      </c>
      <c r="F11" s="6">
        <f t="shared" si="2"/>
        <v>6</v>
      </c>
      <c r="G11" s="6">
        <f t="shared" si="3"/>
        <v>5</v>
      </c>
      <c r="H11" s="6">
        <f t="shared" si="4"/>
        <v>4</v>
      </c>
      <c r="I11" s="6">
        <f t="shared" si="5"/>
        <v>3</v>
      </c>
      <c r="J11" s="6">
        <f t="shared" si="6"/>
        <v>2</v>
      </c>
      <c r="K11" s="6">
        <f t="shared" si="7"/>
        <v>1</v>
      </c>
      <c r="L11" s="6">
        <f t="shared" ref="L11:L37" si="8">(L$103-$C11)</f>
        <v>0</v>
      </c>
    </row>
    <row r="12" spans="2:29" ht="13.35" customHeight="1" x14ac:dyDescent="0.25">
      <c r="C12" s="336">
        <v>91</v>
      </c>
      <c r="D12" s="6">
        <f t="shared" si="1"/>
        <v>9</v>
      </c>
      <c r="E12" s="6">
        <f t="shared" si="0"/>
        <v>8</v>
      </c>
      <c r="F12" s="6">
        <f t="shared" si="2"/>
        <v>7</v>
      </c>
      <c r="G12" s="6">
        <f t="shared" si="3"/>
        <v>6</v>
      </c>
      <c r="H12" s="6">
        <f t="shared" si="4"/>
        <v>5</v>
      </c>
      <c r="I12" s="6">
        <f t="shared" si="5"/>
        <v>4</v>
      </c>
      <c r="J12" s="6">
        <f t="shared" si="6"/>
        <v>3</v>
      </c>
      <c r="K12" s="6">
        <f t="shared" si="7"/>
        <v>2</v>
      </c>
      <c r="L12" s="6">
        <f t="shared" si="8"/>
        <v>1</v>
      </c>
      <c r="M12" s="6">
        <f t="shared" ref="M12:M37" si="9">(M$103-$C12)</f>
        <v>0</v>
      </c>
    </row>
    <row r="13" spans="2:29" ht="13.35" customHeight="1" x14ac:dyDescent="0.25">
      <c r="C13" s="336">
        <v>90</v>
      </c>
      <c r="D13" s="6">
        <f t="shared" si="1"/>
        <v>10</v>
      </c>
      <c r="E13" s="6">
        <f t="shared" si="0"/>
        <v>9</v>
      </c>
      <c r="F13" s="6">
        <f t="shared" si="2"/>
        <v>8</v>
      </c>
      <c r="G13" s="6">
        <f t="shared" si="3"/>
        <v>7</v>
      </c>
      <c r="H13" s="6">
        <f t="shared" si="4"/>
        <v>6</v>
      </c>
      <c r="I13" s="6">
        <f t="shared" si="5"/>
        <v>5</v>
      </c>
      <c r="J13" s="6">
        <f t="shared" si="6"/>
        <v>4</v>
      </c>
      <c r="K13" s="6">
        <f t="shared" si="7"/>
        <v>3</v>
      </c>
      <c r="L13" s="6">
        <f t="shared" si="8"/>
        <v>2</v>
      </c>
      <c r="M13" s="6">
        <f t="shared" si="9"/>
        <v>1</v>
      </c>
      <c r="N13" s="6">
        <f t="shared" ref="N13:N37" si="10">(N$103-$C13)</f>
        <v>0</v>
      </c>
    </row>
    <row r="14" spans="2:29" ht="13.35" customHeight="1" x14ac:dyDescent="0.25">
      <c r="C14" s="336">
        <v>89</v>
      </c>
      <c r="D14" s="6">
        <f t="shared" si="1"/>
        <v>11</v>
      </c>
      <c r="E14" s="6">
        <f t="shared" si="0"/>
        <v>10</v>
      </c>
      <c r="F14" s="6">
        <f t="shared" si="2"/>
        <v>9</v>
      </c>
      <c r="G14" s="6">
        <f t="shared" si="3"/>
        <v>8</v>
      </c>
      <c r="H14" s="6">
        <f t="shared" si="4"/>
        <v>7</v>
      </c>
      <c r="I14" s="6">
        <f t="shared" si="5"/>
        <v>6</v>
      </c>
      <c r="J14" s="6">
        <f t="shared" si="6"/>
        <v>5</v>
      </c>
      <c r="K14" s="6">
        <f t="shared" si="7"/>
        <v>4</v>
      </c>
      <c r="L14" s="6">
        <f t="shared" si="8"/>
        <v>3</v>
      </c>
      <c r="M14" s="6">
        <f t="shared" si="9"/>
        <v>2</v>
      </c>
      <c r="N14" s="6">
        <f t="shared" si="10"/>
        <v>1</v>
      </c>
      <c r="O14" s="6">
        <f t="shared" ref="O14:O37" si="11">(O$103-$C14)</f>
        <v>0</v>
      </c>
    </row>
    <row r="15" spans="2:29" ht="13.35" customHeight="1" x14ac:dyDescent="0.25">
      <c r="C15" s="336">
        <v>88</v>
      </c>
      <c r="D15" s="6">
        <f t="shared" si="1"/>
        <v>12</v>
      </c>
      <c r="E15" s="6">
        <f t="shared" si="0"/>
        <v>11</v>
      </c>
      <c r="F15" s="6">
        <f t="shared" si="2"/>
        <v>10</v>
      </c>
      <c r="G15" s="6">
        <f t="shared" si="3"/>
        <v>9</v>
      </c>
      <c r="H15" s="6">
        <f t="shared" si="4"/>
        <v>8</v>
      </c>
      <c r="I15" s="6">
        <f t="shared" si="5"/>
        <v>7</v>
      </c>
      <c r="J15" s="6">
        <f t="shared" si="6"/>
        <v>6</v>
      </c>
      <c r="K15" s="6">
        <f t="shared" si="7"/>
        <v>5</v>
      </c>
      <c r="L15" s="6">
        <f t="shared" si="8"/>
        <v>4</v>
      </c>
      <c r="M15" s="6">
        <f t="shared" si="9"/>
        <v>3</v>
      </c>
      <c r="N15" s="6">
        <f t="shared" si="10"/>
        <v>2</v>
      </c>
      <c r="O15" s="6">
        <f t="shared" si="11"/>
        <v>1</v>
      </c>
      <c r="P15" s="6">
        <f t="shared" ref="P15:P37" si="12">(P$103-$C15)</f>
        <v>0</v>
      </c>
    </row>
    <row r="16" spans="2:29" ht="13.35" customHeight="1" x14ac:dyDescent="0.25">
      <c r="C16" s="336">
        <v>87</v>
      </c>
      <c r="D16" s="6">
        <f t="shared" si="1"/>
        <v>13</v>
      </c>
      <c r="E16" s="6">
        <f t="shared" si="0"/>
        <v>12</v>
      </c>
      <c r="F16" s="6">
        <f t="shared" si="2"/>
        <v>11</v>
      </c>
      <c r="G16" s="6">
        <f t="shared" si="3"/>
        <v>10</v>
      </c>
      <c r="H16" s="6">
        <f t="shared" si="4"/>
        <v>9</v>
      </c>
      <c r="I16" s="6">
        <f t="shared" si="5"/>
        <v>8</v>
      </c>
      <c r="J16" s="6">
        <f t="shared" si="6"/>
        <v>7</v>
      </c>
      <c r="K16" s="6">
        <f t="shared" si="7"/>
        <v>6</v>
      </c>
      <c r="L16" s="6">
        <f t="shared" si="8"/>
        <v>5</v>
      </c>
      <c r="M16" s="6">
        <f t="shared" si="9"/>
        <v>4</v>
      </c>
      <c r="N16" s="6">
        <f t="shared" si="10"/>
        <v>3</v>
      </c>
      <c r="O16" s="6">
        <f t="shared" si="11"/>
        <v>2</v>
      </c>
      <c r="P16" s="6">
        <f t="shared" si="12"/>
        <v>1</v>
      </c>
      <c r="Q16" s="6">
        <f t="shared" ref="Q16:Q37" si="13">(Q$103-$C16)</f>
        <v>0</v>
      </c>
    </row>
    <row r="17" spans="3:33" ht="13.35" customHeight="1" x14ac:dyDescent="0.25">
      <c r="C17" s="336">
        <v>86</v>
      </c>
      <c r="D17" s="6">
        <f t="shared" si="1"/>
        <v>14</v>
      </c>
      <c r="E17" s="6">
        <f t="shared" si="0"/>
        <v>13</v>
      </c>
      <c r="F17" s="6">
        <f t="shared" si="2"/>
        <v>12</v>
      </c>
      <c r="G17" s="6">
        <f t="shared" si="3"/>
        <v>11</v>
      </c>
      <c r="H17" s="6">
        <f t="shared" si="4"/>
        <v>10</v>
      </c>
      <c r="I17" s="6">
        <f t="shared" si="5"/>
        <v>9</v>
      </c>
      <c r="J17" s="6">
        <f t="shared" si="6"/>
        <v>8</v>
      </c>
      <c r="K17" s="6">
        <f t="shared" si="7"/>
        <v>7</v>
      </c>
      <c r="L17" s="6">
        <f t="shared" si="8"/>
        <v>6</v>
      </c>
      <c r="M17" s="6">
        <f t="shared" si="9"/>
        <v>5</v>
      </c>
      <c r="N17" s="6">
        <f t="shared" si="10"/>
        <v>4</v>
      </c>
      <c r="O17" s="6">
        <f t="shared" si="11"/>
        <v>3</v>
      </c>
      <c r="P17" s="6">
        <f t="shared" si="12"/>
        <v>2</v>
      </c>
      <c r="Q17" s="6">
        <f t="shared" si="13"/>
        <v>1</v>
      </c>
      <c r="R17" s="6">
        <f t="shared" ref="R17:R37" si="14">(R$103-$C17)</f>
        <v>0</v>
      </c>
    </row>
    <row r="18" spans="3:33" ht="13.35" customHeight="1" x14ac:dyDescent="0.25">
      <c r="C18" s="336">
        <v>85</v>
      </c>
      <c r="D18" s="6">
        <f t="shared" si="1"/>
        <v>15</v>
      </c>
      <c r="E18" s="6">
        <f t="shared" si="0"/>
        <v>14</v>
      </c>
      <c r="F18" s="6">
        <f t="shared" si="2"/>
        <v>13</v>
      </c>
      <c r="G18" s="6">
        <f t="shared" si="3"/>
        <v>12</v>
      </c>
      <c r="H18" s="6">
        <f t="shared" si="4"/>
        <v>11</v>
      </c>
      <c r="I18" s="6">
        <f t="shared" si="5"/>
        <v>10</v>
      </c>
      <c r="J18" s="6">
        <f t="shared" si="6"/>
        <v>9</v>
      </c>
      <c r="K18" s="6">
        <f t="shared" si="7"/>
        <v>8</v>
      </c>
      <c r="L18" s="6">
        <f t="shared" si="8"/>
        <v>7</v>
      </c>
      <c r="M18" s="6">
        <f t="shared" si="9"/>
        <v>6</v>
      </c>
      <c r="N18" s="6">
        <f t="shared" si="10"/>
        <v>5</v>
      </c>
      <c r="O18" s="6">
        <f t="shared" si="11"/>
        <v>4</v>
      </c>
      <c r="P18" s="6">
        <f t="shared" si="12"/>
        <v>3</v>
      </c>
      <c r="Q18" s="6">
        <f t="shared" si="13"/>
        <v>2</v>
      </c>
      <c r="R18" s="6">
        <f t="shared" si="14"/>
        <v>1</v>
      </c>
      <c r="S18" s="6">
        <f t="shared" ref="S18:S37" si="15">(S$103-$C18)</f>
        <v>0</v>
      </c>
    </row>
    <row r="19" spans="3:33" ht="13.35" customHeight="1" x14ac:dyDescent="0.25">
      <c r="C19" s="336">
        <v>84</v>
      </c>
      <c r="D19" s="6">
        <f t="shared" si="1"/>
        <v>16</v>
      </c>
      <c r="E19" s="6">
        <f t="shared" si="0"/>
        <v>15</v>
      </c>
      <c r="F19" s="6">
        <f t="shared" si="2"/>
        <v>14</v>
      </c>
      <c r="G19" s="6">
        <f t="shared" si="3"/>
        <v>13</v>
      </c>
      <c r="H19" s="6">
        <f t="shared" si="4"/>
        <v>12</v>
      </c>
      <c r="I19" s="6">
        <f t="shared" si="5"/>
        <v>11</v>
      </c>
      <c r="J19" s="6">
        <f t="shared" si="6"/>
        <v>10</v>
      </c>
      <c r="K19" s="6">
        <f t="shared" si="7"/>
        <v>9</v>
      </c>
      <c r="L19" s="6">
        <f t="shared" si="8"/>
        <v>8</v>
      </c>
      <c r="M19" s="6">
        <f t="shared" si="9"/>
        <v>7</v>
      </c>
      <c r="N19" s="6">
        <f t="shared" si="10"/>
        <v>6</v>
      </c>
      <c r="O19" s="6">
        <f t="shared" si="11"/>
        <v>5</v>
      </c>
      <c r="P19" s="6">
        <f t="shared" si="12"/>
        <v>4</v>
      </c>
      <c r="Q19" s="6">
        <f t="shared" si="13"/>
        <v>3</v>
      </c>
      <c r="R19" s="6">
        <f t="shared" si="14"/>
        <v>2</v>
      </c>
      <c r="S19" s="6">
        <f t="shared" si="15"/>
        <v>1</v>
      </c>
      <c r="T19" s="6">
        <f t="shared" ref="T19:T37" si="16">(T$103-$C19)</f>
        <v>0</v>
      </c>
    </row>
    <row r="20" spans="3:33" ht="13.35" customHeight="1" x14ac:dyDescent="0.25">
      <c r="C20" s="336">
        <v>83</v>
      </c>
      <c r="D20" s="6">
        <f t="shared" si="1"/>
        <v>17</v>
      </c>
      <c r="E20" s="6">
        <f t="shared" si="0"/>
        <v>16</v>
      </c>
      <c r="F20" s="6">
        <f t="shared" si="2"/>
        <v>15</v>
      </c>
      <c r="G20" s="6">
        <f t="shared" si="3"/>
        <v>14</v>
      </c>
      <c r="H20" s="6">
        <f t="shared" si="4"/>
        <v>13</v>
      </c>
      <c r="I20" s="6">
        <f t="shared" si="5"/>
        <v>12</v>
      </c>
      <c r="J20" s="6">
        <f t="shared" si="6"/>
        <v>11</v>
      </c>
      <c r="K20" s="6">
        <f t="shared" si="7"/>
        <v>10</v>
      </c>
      <c r="L20" s="6">
        <f t="shared" si="8"/>
        <v>9</v>
      </c>
      <c r="M20" s="6">
        <f t="shared" si="9"/>
        <v>8</v>
      </c>
      <c r="N20" s="6">
        <f t="shared" si="10"/>
        <v>7</v>
      </c>
      <c r="O20" s="6">
        <f t="shared" si="11"/>
        <v>6</v>
      </c>
      <c r="P20" s="6">
        <f t="shared" si="12"/>
        <v>5</v>
      </c>
      <c r="Q20" s="6">
        <f t="shared" si="13"/>
        <v>4</v>
      </c>
      <c r="R20" s="6">
        <f t="shared" si="14"/>
        <v>3</v>
      </c>
      <c r="S20" s="6">
        <f t="shared" si="15"/>
        <v>2</v>
      </c>
      <c r="T20" s="6">
        <f t="shared" si="16"/>
        <v>1</v>
      </c>
      <c r="U20" s="6">
        <f t="shared" ref="U20:U37" si="17">(U$103-$C20)</f>
        <v>0</v>
      </c>
    </row>
    <row r="21" spans="3:33" ht="13.35" customHeight="1" x14ac:dyDescent="0.25">
      <c r="C21" s="336">
        <v>82</v>
      </c>
      <c r="D21" s="6">
        <f t="shared" si="1"/>
        <v>18</v>
      </c>
      <c r="E21" s="6">
        <f t="shared" si="0"/>
        <v>17</v>
      </c>
      <c r="F21" s="6">
        <f t="shared" si="2"/>
        <v>16</v>
      </c>
      <c r="G21" s="6">
        <f t="shared" si="3"/>
        <v>15</v>
      </c>
      <c r="H21" s="6">
        <f t="shared" si="4"/>
        <v>14</v>
      </c>
      <c r="I21" s="6">
        <f t="shared" si="5"/>
        <v>13</v>
      </c>
      <c r="J21" s="6">
        <f t="shared" si="6"/>
        <v>12</v>
      </c>
      <c r="K21" s="6">
        <f t="shared" si="7"/>
        <v>11</v>
      </c>
      <c r="L21" s="6">
        <f t="shared" si="8"/>
        <v>10</v>
      </c>
      <c r="M21" s="6">
        <f t="shared" si="9"/>
        <v>9</v>
      </c>
      <c r="N21" s="6">
        <f t="shared" si="10"/>
        <v>8</v>
      </c>
      <c r="O21" s="6">
        <f t="shared" si="11"/>
        <v>7</v>
      </c>
      <c r="P21" s="6">
        <f t="shared" si="12"/>
        <v>6</v>
      </c>
      <c r="Q21" s="6">
        <f t="shared" si="13"/>
        <v>5</v>
      </c>
      <c r="R21" s="6">
        <f t="shared" si="14"/>
        <v>4</v>
      </c>
      <c r="S21" s="6">
        <f t="shared" si="15"/>
        <v>3</v>
      </c>
      <c r="T21" s="6">
        <f t="shared" si="16"/>
        <v>2</v>
      </c>
      <c r="U21" s="6">
        <f t="shared" si="17"/>
        <v>1</v>
      </c>
      <c r="V21" s="6">
        <f t="shared" ref="V21:V37" si="18">(V$103-$C21)</f>
        <v>0</v>
      </c>
    </row>
    <row r="22" spans="3:33" ht="13.35" customHeight="1" x14ac:dyDescent="0.25">
      <c r="C22" s="336">
        <v>81</v>
      </c>
      <c r="D22" s="6">
        <f t="shared" si="1"/>
        <v>19</v>
      </c>
      <c r="E22" s="6">
        <f t="shared" si="0"/>
        <v>18</v>
      </c>
      <c r="F22" s="6">
        <f t="shared" si="2"/>
        <v>17</v>
      </c>
      <c r="G22" s="6">
        <f t="shared" si="3"/>
        <v>16</v>
      </c>
      <c r="H22" s="6">
        <f t="shared" si="4"/>
        <v>15</v>
      </c>
      <c r="I22" s="6">
        <f t="shared" si="5"/>
        <v>14</v>
      </c>
      <c r="J22" s="6">
        <f t="shared" si="6"/>
        <v>13</v>
      </c>
      <c r="K22" s="6">
        <f t="shared" si="7"/>
        <v>12</v>
      </c>
      <c r="L22" s="6">
        <f t="shared" si="8"/>
        <v>11</v>
      </c>
      <c r="M22" s="6">
        <f t="shared" si="9"/>
        <v>10</v>
      </c>
      <c r="N22" s="6">
        <f t="shared" si="10"/>
        <v>9</v>
      </c>
      <c r="O22" s="6">
        <f t="shared" si="11"/>
        <v>8</v>
      </c>
      <c r="P22" s="6">
        <f t="shared" si="12"/>
        <v>7</v>
      </c>
      <c r="Q22" s="6">
        <f t="shared" si="13"/>
        <v>6</v>
      </c>
      <c r="R22" s="6">
        <f t="shared" si="14"/>
        <v>5</v>
      </c>
      <c r="S22" s="6">
        <f t="shared" si="15"/>
        <v>4</v>
      </c>
      <c r="T22" s="6">
        <f t="shared" si="16"/>
        <v>3</v>
      </c>
      <c r="U22" s="6">
        <f t="shared" si="17"/>
        <v>2</v>
      </c>
      <c r="V22" s="6">
        <f t="shared" si="18"/>
        <v>1</v>
      </c>
      <c r="W22" s="6">
        <f t="shared" ref="W22:W37" si="19">(W$103-$C22)</f>
        <v>0</v>
      </c>
    </row>
    <row r="23" spans="3:33" ht="13.35" customHeight="1" x14ac:dyDescent="0.25">
      <c r="C23" s="336">
        <v>80</v>
      </c>
      <c r="D23" s="6">
        <f t="shared" si="1"/>
        <v>20</v>
      </c>
      <c r="E23" s="6">
        <f t="shared" si="0"/>
        <v>19</v>
      </c>
      <c r="F23" s="6">
        <f t="shared" si="2"/>
        <v>18</v>
      </c>
      <c r="G23" s="6">
        <f t="shared" si="3"/>
        <v>17</v>
      </c>
      <c r="H23" s="6">
        <f t="shared" si="4"/>
        <v>16</v>
      </c>
      <c r="I23" s="6">
        <f t="shared" si="5"/>
        <v>15</v>
      </c>
      <c r="J23" s="6">
        <f t="shared" si="6"/>
        <v>14</v>
      </c>
      <c r="K23" s="6">
        <f t="shared" si="7"/>
        <v>13</v>
      </c>
      <c r="L23" s="6">
        <f t="shared" si="8"/>
        <v>12</v>
      </c>
      <c r="M23" s="6">
        <f t="shared" si="9"/>
        <v>11</v>
      </c>
      <c r="N23" s="6">
        <f t="shared" si="10"/>
        <v>10</v>
      </c>
      <c r="O23" s="6">
        <f t="shared" si="11"/>
        <v>9</v>
      </c>
      <c r="P23" s="6">
        <f t="shared" si="12"/>
        <v>8</v>
      </c>
      <c r="Q23" s="6">
        <f t="shared" si="13"/>
        <v>7</v>
      </c>
      <c r="R23" s="6">
        <f t="shared" si="14"/>
        <v>6</v>
      </c>
      <c r="S23" s="6">
        <f t="shared" si="15"/>
        <v>5</v>
      </c>
      <c r="T23" s="6">
        <f t="shared" si="16"/>
        <v>4</v>
      </c>
      <c r="U23" s="6">
        <f t="shared" si="17"/>
        <v>3</v>
      </c>
      <c r="V23" s="6">
        <f t="shared" si="18"/>
        <v>2</v>
      </c>
      <c r="W23" s="6">
        <f t="shared" si="19"/>
        <v>1</v>
      </c>
      <c r="X23" s="6">
        <f t="shared" ref="X23:X37" si="20">(X$103-$C23)</f>
        <v>0</v>
      </c>
    </row>
    <row r="24" spans="3:33" ht="13.35" customHeight="1" x14ac:dyDescent="0.25">
      <c r="C24" s="336">
        <v>79</v>
      </c>
      <c r="D24" s="6">
        <f t="shared" si="1"/>
        <v>21</v>
      </c>
      <c r="E24" s="6">
        <f t="shared" si="0"/>
        <v>20</v>
      </c>
      <c r="F24" s="6">
        <f t="shared" si="2"/>
        <v>19</v>
      </c>
      <c r="G24" s="6">
        <f t="shared" si="3"/>
        <v>18</v>
      </c>
      <c r="H24" s="6">
        <f t="shared" si="4"/>
        <v>17</v>
      </c>
      <c r="I24" s="6">
        <f t="shared" si="5"/>
        <v>16</v>
      </c>
      <c r="J24" s="6">
        <f t="shared" si="6"/>
        <v>15</v>
      </c>
      <c r="K24" s="6">
        <f t="shared" si="7"/>
        <v>14</v>
      </c>
      <c r="L24" s="6">
        <f t="shared" si="8"/>
        <v>13</v>
      </c>
      <c r="M24" s="6">
        <f t="shared" si="9"/>
        <v>12</v>
      </c>
      <c r="N24" s="6">
        <f t="shared" si="10"/>
        <v>11</v>
      </c>
      <c r="O24" s="6">
        <f t="shared" si="11"/>
        <v>10</v>
      </c>
      <c r="P24" s="6">
        <f t="shared" si="12"/>
        <v>9</v>
      </c>
      <c r="Q24" s="6">
        <f t="shared" si="13"/>
        <v>8</v>
      </c>
      <c r="R24" s="6">
        <f t="shared" si="14"/>
        <v>7</v>
      </c>
      <c r="S24" s="6">
        <f t="shared" si="15"/>
        <v>6</v>
      </c>
      <c r="T24" s="6">
        <f t="shared" si="16"/>
        <v>5</v>
      </c>
      <c r="U24" s="6">
        <f t="shared" si="17"/>
        <v>4</v>
      </c>
      <c r="V24" s="6">
        <f t="shared" si="18"/>
        <v>3</v>
      </c>
      <c r="W24" s="6">
        <f t="shared" si="19"/>
        <v>2</v>
      </c>
      <c r="X24" s="6">
        <f t="shared" si="20"/>
        <v>1</v>
      </c>
      <c r="Y24" s="6">
        <f t="shared" ref="Y24:Y37" si="21">(Y$103-$C24)</f>
        <v>0</v>
      </c>
    </row>
    <row r="25" spans="3:33" ht="13.35" customHeight="1" x14ac:dyDescent="0.25">
      <c r="C25" s="336">
        <v>78</v>
      </c>
      <c r="D25" s="6">
        <f t="shared" si="1"/>
        <v>22</v>
      </c>
      <c r="E25" s="6">
        <f t="shared" si="0"/>
        <v>21</v>
      </c>
      <c r="F25" s="6">
        <f t="shared" si="2"/>
        <v>20</v>
      </c>
      <c r="G25" s="6">
        <f t="shared" si="3"/>
        <v>19</v>
      </c>
      <c r="H25" s="6">
        <f t="shared" si="4"/>
        <v>18</v>
      </c>
      <c r="I25" s="6">
        <f t="shared" si="5"/>
        <v>17</v>
      </c>
      <c r="J25" s="6">
        <f t="shared" si="6"/>
        <v>16</v>
      </c>
      <c r="K25" s="6">
        <f t="shared" si="7"/>
        <v>15</v>
      </c>
      <c r="L25" s="6">
        <f t="shared" si="8"/>
        <v>14</v>
      </c>
      <c r="M25" s="6">
        <f t="shared" si="9"/>
        <v>13</v>
      </c>
      <c r="N25" s="6">
        <f t="shared" si="10"/>
        <v>12</v>
      </c>
      <c r="O25" s="6">
        <f t="shared" si="11"/>
        <v>11</v>
      </c>
      <c r="P25" s="6">
        <f t="shared" si="12"/>
        <v>10</v>
      </c>
      <c r="Q25" s="6">
        <f t="shared" si="13"/>
        <v>9</v>
      </c>
      <c r="R25" s="6">
        <f t="shared" si="14"/>
        <v>8</v>
      </c>
      <c r="S25" s="6">
        <f t="shared" si="15"/>
        <v>7</v>
      </c>
      <c r="T25" s="6">
        <f t="shared" si="16"/>
        <v>6</v>
      </c>
      <c r="U25" s="6">
        <f t="shared" si="17"/>
        <v>5</v>
      </c>
      <c r="V25" s="6">
        <f t="shared" si="18"/>
        <v>4</v>
      </c>
      <c r="W25" s="6">
        <f t="shared" si="19"/>
        <v>3</v>
      </c>
      <c r="X25" s="6">
        <f t="shared" si="20"/>
        <v>2</v>
      </c>
      <c r="Y25" s="6">
        <f t="shared" si="21"/>
        <v>1</v>
      </c>
      <c r="Z25" s="6">
        <f t="shared" ref="Z25:Z37" si="22">(Z$103-$C25)</f>
        <v>0</v>
      </c>
    </row>
    <row r="26" spans="3:33" ht="13.35" customHeight="1" x14ac:dyDescent="0.25">
      <c r="C26" s="336">
        <v>77</v>
      </c>
      <c r="D26" s="6">
        <f t="shared" si="1"/>
        <v>23</v>
      </c>
      <c r="E26" s="6">
        <f t="shared" si="0"/>
        <v>22</v>
      </c>
      <c r="F26" s="6">
        <f t="shared" si="2"/>
        <v>21</v>
      </c>
      <c r="G26" s="6">
        <f t="shared" si="3"/>
        <v>20</v>
      </c>
      <c r="H26" s="6">
        <f t="shared" si="4"/>
        <v>19</v>
      </c>
      <c r="I26" s="6">
        <f t="shared" si="5"/>
        <v>18</v>
      </c>
      <c r="J26" s="6">
        <f t="shared" si="6"/>
        <v>17</v>
      </c>
      <c r="K26" s="6">
        <f t="shared" si="7"/>
        <v>16</v>
      </c>
      <c r="L26" s="6">
        <f t="shared" si="8"/>
        <v>15</v>
      </c>
      <c r="M26" s="6">
        <f t="shared" si="9"/>
        <v>14</v>
      </c>
      <c r="N26" s="6">
        <f t="shared" si="10"/>
        <v>13</v>
      </c>
      <c r="O26" s="6">
        <f t="shared" si="11"/>
        <v>12</v>
      </c>
      <c r="P26" s="6">
        <f t="shared" si="12"/>
        <v>11</v>
      </c>
      <c r="Q26" s="6">
        <f t="shared" si="13"/>
        <v>10</v>
      </c>
      <c r="R26" s="6">
        <f t="shared" si="14"/>
        <v>9</v>
      </c>
      <c r="S26" s="6">
        <f t="shared" si="15"/>
        <v>8</v>
      </c>
      <c r="T26" s="6">
        <f t="shared" si="16"/>
        <v>7</v>
      </c>
      <c r="U26" s="6">
        <f t="shared" si="17"/>
        <v>6</v>
      </c>
      <c r="V26" s="6">
        <f t="shared" si="18"/>
        <v>5</v>
      </c>
      <c r="W26" s="6">
        <f t="shared" si="19"/>
        <v>4</v>
      </c>
      <c r="X26" s="6">
        <f t="shared" si="20"/>
        <v>3</v>
      </c>
      <c r="Y26" s="6">
        <f t="shared" si="21"/>
        <v>2</v>
      </c>
      <c r="Z26" s="6">
        <f t="shared" si="22"/>
        <v>1</v>
      </c>
      <c r="AA26" s="6">
        <f t="shared" ref="AA26:AA37" si="23">(AA$103-$C26)</f>
        <v>0</v>
      </c>
    </row>
    <row r="27" spans="3:33" ht="13.35" customHeight="1" x14ac:dyDescent="0.25">
      <c r="C27" s="336">
        <v>76</v>
      </c>
      <c r="D27" s="6">
        <f t="shared" si="1"/>
        <v>24</v>
      </c>
      <c r="E27" s="6">
        <f t="shared" si="0"/>
        <v>23</v>
      </c>
      <c r="F27" s="6">
        <f t="shared" si="2"/>
        <v>22</v>
      </c>
      <c r="G27" s="6">
        <f t="shared" si="3"/>
        <v>21</v>
      </c>
      <c r="H27" s="6">
        <f t="shared" si="4"/>
        <v>20</v>
      </c>
      <c r="I27" s="6">
        <f t="shared" si="5"/>
        <v>19</v>
      </c>
      <c r="J27" s="6">
        <f t="shared" si="6"/>
        <v>18</v>
      </c>
      <c r="K27" s="6">
        <f t="shared" si="7"/>
        <v>17</v>
      </c>
      <c r="L27" s="6">
        <f t="shared" si="8"/>
        <v>16</v>
      </c>
      <c r="M27" s="6">
        <f t="shared" si="9"/>
        <v>15</v>
      </c>
      <c r="N27" s="6">
        <f t="shared" si="10"/>
        <v>14</v>
      </c>
      <c r="O27" s="6">
        <f t="shared" si="11"/>
        <v>13</v>
      </c>
      <c r="P27" s="6">
        <f t="shared" si="12"/>
        <v>12</v>
      </c>
      <c r="Q27" s="6">
        <f t="shared" si="13"/>
        <v>11</v>
      </c>
      <c r="R27" s="6">
        <f t="shared" si="14"/>
        <v>10</v>
      </c>
      <c r="S27" s="6">
        <f t="shared" si="15"/>
        <v>9</v>
      </c>
      <c r="T27" s="6">
        <f t="shared" si="16"/>
        <v>8</v>
      </c>
      <c r="U27" s="6">
        <f t="shared" si="17"/>
        <v>7</v>
      </c>
      <c r="V27" s="6">
        <f t="shared" si="18"/>
        <v>6</v>
      </c>
      <c r="W27" s="6">
        <f t="shared" si="19"/>
        <v>5</v>
      </c>
      <c r="X27" s="6">
        <f t="shared" si="20"/>
        <v>4</v>
      </c>
      <c r="Y27" s="6">
        <f t="shared" si="21"/>
        <v>3</v>
      </c>
      <c r="Z27" s="6">
        <f t="shared" si="22"/>
        <v>2</v>
      </c>
      <c r="AA27" s="6">
        <f t="shared" si="23"/>
        <v>1</v>
      </c>
      <c r="AB27" s="6">
        <f t="shared" ref="AB27:AB37" si="24">(AB$103-$C27)</f>
        <v>0</v>
      </c>
    </row>
    <row r="28" spans="3:33" ht="13.35" customHeight="1" x14ac:dyDescent="0.25">
      <c r="C28" s="336">
        <v>75</v>
      </c>
      <c r="D28" s="6">
        <f t="shared" si="1"/>
        <v>25</v>
      </c>
      <c r="E28" s="6">
        <f t="shared" si="0"/>
        <v>24</v>
      </c>
      <c r="F28" s="6">
        <f t="shared" si="2"/>
        <v>23</v>
      </c>
      <c r="G28" s="6">
        <f t="shared" si="3"/>
        <v>22</v>
      </c>
      <c r="H28" s="6">
        <f t="shared" si="4"/>
        <v>21</v>
      </c>
      <c r="I28" s="6">
        <f t="shared" si="5"/>
        <v>20</v>
      </c>
      <c r="J28" s="6">
        <f t="shared" si="6"/>
        <v>19</v>
      </c>
      <c r="K28" s="6">
        <f t="shared" si="7"/>
        <v>18</v>
      </c>
      <c r="L28" s="6">
        <f t="shared" si="8"/>
        <v>17</v>
      </c>
      <c r="M28" s="6">
        <f t="shared" si="9"/>
        <v>16</v>
      </c>
      <c r="N28" s="6">
        <f t="shared" si="10"/>
        <v>15</v>
      </c>
      <c r="O28" s="6">
        <f t="shared" si="11"/>
        <v>14</v>
      </c>
      <c r="P28" s="6">
        <f t="shared" si="12"/>
        <v>13</v>
      </c>
      <c r="Q28" s="6">
        <f t="shared" si="13"/>
        <v>12</v>
      </c>
      <c r="R28" s="6">
        <f t="shared" si="14"/>
        <v>11</v>
      </c>
      <c r="S28" s="6">
        <f t="shared" si="15"/>
        <v>10</v>
      </c>
      <c r="T28" s="6">
        <f t="shared" si="16"/>
        <v>9</v>
      </c>
      <c r="U28" s="6">
        <f t="shared" si="17"/>
        <v>8</v>
      </c>
      <c r="V28" s="6">
        <f t="shared" si="18"/>
        <v>7</v>
      </c>
      <c r="W28" s="6">
        <f t="shared" si="19"/>
        <v>6</v>
      </c>
      <c r="X28" s="6">
        <f t="shared" si="20"/>
        <v>5</v>
      </c>
      <c r="Y28" s="6">
        <f t="shared" si="21"/>
        <v>4</v>
      </c>
      <c r="Z28" s="6">
        <f t="shared" si="22"/>
        <v>3</v>
      </c>
      <c r="AA28" s="6">
        <f t="shared" si="23"/>
        <v>2</v>
      </c>
      <c r="AB28" s="6">
        <f t="shared" si="24"/>
        <v>1</v>
      </c>
      <c r="AC28" s="6">
        <f t="shared" ref="AC28:AC37" si="25">(AC$103-$C28)</f>
        <v>0</v>
      </c>
    </row>
    <row r="29" spans="3:33" ht="13.35" customHeight="1" x14ac:dyDescent="0.25">
      <c r="C29" s="336">
        <v>74</v>
      </c>
      <c r="D29" s="6">
        <f t="shared" si="1"/>
        <v>26</v>
      </c>
      <c r="E29" s="6">
        <f t="shared" si="0"/>
        <v>25</v>
      </c>
      <c r="F29" s="6">
        <f t="shared" si="2"/>
        <v>24</v>
      </c>
      <c r="G29" s="6">
        <f t="shared" si="3"/>
        <v>23</v>
      </c>
      <c r="H29" s="6">
        <f t="shared" si="4"/>
        <v>22</v>
      </c>
      <c r="I29" s="6">
        <f t="shared" si="5"/>
        <v>21</v>
      </c>
      <c r="J29" s="6">
        <f t="shared" si="6"/>
        <v>20</v>
      </c>
      <c r="K29" s="6">
        <f t="shared" si="7"/>
        <v>19</v>
      </c>
      <c r="L29" s="6">
        <f t="shared" si="8"/>
        <v>18</v>
      </c>
      <c r="M29" s="6">
        <f t="shared" si="9"/>
        <v>17</v>
      </c>
      <c r="N29" s="6">
        <f t="shared" si="10"/>
        <v>16</v>
      </c>
      <c r="O29" s="6">
        <f t="shared" si="11"/>
        <v>15</v>
      </c>
      <c r="P29" s="6">
        <f t="shared" si="12"/>
        <v>14</v>
      </c>
      <c r="Q29" s="6">
        <f t="shared" si="13"/>
        <v>13</v>
      </c>
      <c r="R29" s="6">
        <f t="shared" si="14"/>
        <v>12</v>
      </c>
      <c r="S29" s="6">
        <f t="shared" si="15"/>
        <v>11</v>
      </c>
      <c r="T29" s="6">
        <f t="shared" si="16"/>
        <v>10</v>
      </c>
      <c r="U29" s="6">
        <f t="shared" si="17"/>
        <v>9</v>
      </c>
      <c r="V29" s="6">
        <f t="shared" si="18"/>
        <v>8</v>
      </c>
      <c r="W29" s="6">
        <f t="shared" si="19"/>
        <v>7</v>
      </c>
      <c r="X29" s="6">
        <f t="shared" si="20"/>
        <v>6</v>
      </c>
      <c r="Y29" s="6">
        <f t="shared" si="21"/>
        <v>5</v>
      </c>
      <c r="Z29" s="6">
        <f t="shared" si="22"/>
        <v>4</v>
      </c>
      <c r="AA29" s="6">
        <f t="shared" si="23"/>
        <v>3</v>
      </c>
      <c r="AB29" s="6">
        <f t="shared" si="24"/>
        <v>2</v>
      </c>
      <c r="AC29" s="6">
        <f t="shared" si="25"/>
        <v>1</v>
      </c>
      <c r="AD29" s="6">
        <f t="shared" ref="AD29:AD37" si="26">(AD$103-$C29)</f>
        <v>0</v>
      </c>
    </row>
    <row r="30" spans="3:33" ht="13.35" customHeight="1" x14ac:dyDescent="0.25">
      <c r="C30" s="336">
        <v>73</v>
      </c>
      <c r="D30" s="6">
        <f t="shared" si="1"/>
        <v>27</v>
      </c>
      <c r="E30" s="6">
        <f t="shared" si="0"/>
        <v>26</v>
      </c>
      <c r="F30" s="6">
        <f t="shared" si="2"/>
        <v>25</v>
      </c>
      <c r="G30" s="6">
        <f t="shared" si="3"/>
        <v>24</v>
      </c>
      <c r="H30" s="6">
        <f t="shared" si="4"/>
        <v>23</v>
      </c>
      <c r="I30" s="6">
        <f t="shared" si="5"/>
        <v>22</v>
      </c>
      <c r="J30" s="6">
        <f t="shared" si="6"/>
        <v>21</v>
      </c>
      <c r="K30" s="6">
        <f t="shared" si="7"/>
        <v>20</v>
      </c>
      <c r="L30" s="6">
        <f t="shared" si="8"/>
        <v>19</v>
      </c>
      <c r="M30" s="6">
        <f t="shared" si="9"/>
        <v>18</v>
      </c>
      <c r="N30" s="6">
        <f t="shared" si="10"/>
        <v>17</v>
      </c>
      <c r="O30" s="6">
        <f t="shared" si="11"/>
        <v>16</v>
      </c>
      <c r="P30" s="6">
        <f t="shared" si="12"/>
        <v>15</v>
      </c>
      <c r="Q30" s="6">
        <f t="shared" si="13"/>
        <v>14</v>
      </c>
      <c r="R30" s="6">
        <f t="shared" si="14"/>
        <v>13</v>
      </c>
      <c r="S30" s="6">
        <f t="shared" si="15"/>
        <v>12</v>
      </c>
      <c r="T30" s="6">
        <f t="shared" si="16"/>
        <v>11</v>
      </c>
      <c r="U30" s="6">
        <f t="shared" si="17"/>
        <v>10</v>
      </c>
      <c r="V30" s="6">
        <f t="shared" si="18"/>
        <v>9</v>
      </c>
      <c r="W30" s="6">
        <f t="shared" si="19"/>
        <v>8</v>
      </c>
      <c r="X30" s="6">
        <f t="shared" si="20"/>
        <v>7</v>
      </c>
      <c r="Y30" s="6">
        <f t="shared" si="21"/>
        <v>6</v>
      </c>
      <c r="Z30" s="6">
        <f t="shared" si="22"/>
        <v>5</v>
      </c>
      <c r="AA30" s="6">
        <f t="shared" si="23"/>
        <v>4</v>
      </c>
      <c r="AB30" s="6">
        <f t="shared" si="24"/>
        <v>3</v>
      </c>
      <c r="AC30" s="6">
        <f t="shared" si="25"/>
        <v>2</v>
      </c>
      <c r="AD30" s="6">
        <f t="shared" si="26"/>
        <v>1</v>
      </c>
      <c r="AE30" s="6">
        <f t="shared" ref="AE30:AE37" si="27">(AE$103-$C30)</f>
        <v>0</v>
      </c>
    </row>
    <row r="31" spans="3:33" ht="13.35" customHeight="1" x14ac:dyDescent="0.25">
      <c r="C31" s="336">
        <v>72</v>
      </c>
      <c r="D31" s="6">
        <f t="shared" si="1"/>
        <v>28</v>
      </c>
      <c r="E31" s="6">
        <f t="shared" si="0"/>
        <v>27</v>
      </c>
      <c r="F31" s="6">
        <f t="shared" si="2"/>
        <v>26</v>
      </c>
      <c r="G31" s="6">
        <f t="shared" si="3"/>
        <v>25</v>
      </c>
      <c r="H31" s="6">
        <f t="shared" si="4"/>
        <v>24</v>
      </c>
      <c r="I31" s="6">
        <f t="shared" si="5"/>
        <v>23</v>
      </c>
      <c r="J31" s="6">
        <f t="shared" si="6"/>
        <v>22</v>
      </c>
      <c r="K31" s="6">
        <f t="shared" si="7"/>
        <v>21</v>
      </c>
      <c r="L31" s="6">
        <f t="shared" si="8"/>
        <v>20</v>
      </c>
      <c r="M31" s="6">
        <f t="shared" si="9"/>
        <v>19</v>
      </c>
      <c r="N31" s="6">
        <f t="shared" si="10"/>
        <v>18</v>
      </c>
      <c r="O31" s="6">
        <f t="shared" si="11"/>
        <v>17</v>
      </c>
      <c r="P31" s="6">
        <f t="shared" si="12"/>
        <v>16</v>
      </c>
      <c r="Q31" s="6">
        <f t="shared" si="13"/>
        <v>15</v>
      </c>
      <c r="R31" s="6">
        <f t="shared" si="14"/>
        <v>14</v>
      </c>
      <c r="S31" s="6">
        <f t="shared" si="15"/>
        <v>13</v>
      </c>
      <c r="T31" s="6">
        <f t="shared" si="16"/>
        <v>12</v>
      </c>
      <c r="U31" s="6">
        <f t="shared" si="17"/>
        <v>11</v>
      </c>
      <c r="V31" s="6">
        <f t="shared" si="18"/>
        <v>10</v>
      </c>
      <c r="W31" s="6">
        <f t="shared" si="19"/>
        <v>9</v>
      </c>
      <c r="X31" s="6">
        <f t="shared" si="20"/>
        <v>8</v>
      </c>
      <c r="Y31" s="6">
        <f t="shared" si="21"/>
        <v>7</v>
      </c>
      <c r="Z31" s="6">
        <f t="shared" si="22"/>
        <v>6</v>
      </c>
      <c r="AA31" s="6">
        <f t="shared" si="23"/>
        <v>5</v>
      </c>
      <c r="AB31" s="6">
        <f t="shared" si="24"/>
        <v>4</v>
      </c>
      <c r="AC31" s="6">
        <f t="shared" si="25"/>
        <v>3</v>
      </c>
      <c r="AD31" s="6">
        <f t="shared" si="26"/>
        <v>2</v>
      </c>
      <c r="AE31" s="6">
        <f t="shared" si="27"/>
        <v>1</v>
      </c>
      <c r="AF31" s="6">
        <f t="shared" ref="AF31:AF37" si="28">(AF$103-$C31)</f>
        <v>0</v>
      </c>
    </row>
    <row r="32" spans="3:33" ht="13.35" customHeight="1" x14ac:dyDescent="0.25">
      <c r="C32" s="336">
        <v>71</v>
      </c>
      <c r="D32" s="6">
        <f t="shared" si="1"/>
        <v>29</v>
      </c>
      <c r="E32" s="6">
        <f t="shared" si="0"/>
        <v>28</v>
      </c>
      <c r="F32" s="6">
        <f t="shared" si="2"/>
        <v>27</v>
      </c>
      <c r="G32" s="6">
        <f t="shared" si="3"/>
        <v>26</v>
      </c>
      <c r="H32" s="6">
        <f t="shared" si="4"/>
        <v>25</v>
      </c>
      <c r="I32" s="6">
        <f t="shared" si="5"/>
        <v>24</v>
      </c>
      <c r="J32" s="6">
        <f t="shared" si="6"/>
        <v>23</v>
      </c>
      <c r="K32" s="6">
        <f t="shared" si="7"/>
        <v>22</v>
      </c>
      <c r="L32" s="6">
        <f t="shared" si="8"/>
        <v>21</v>
      </c>
      <c r="M32" s="6">
        <f t="shared" si="9"/>
        <v>20</v>
      </c>
      <c r="N32" s="6">
        <f t="shared" si="10"/>
        <v>19</v>
      </c>
      <c r="O32" s="6">
        <f t="shared" si="11"/>
        <v>18</v>
      </c>
      <c r="P32" s="6">
        <f t="shared" si="12"/>
        <v>17</v>
      </c>
      <c r="Q32" s="6">
        <f t="shared" si="13"/>
        <v>16</v>
      </c>
      <c r="R32" s="6">
        <f t="shared" si="14"/>
        <v>15</v>
      </c>
      <c r="S32" s="6">
        <f t="shared" si="15"/>
        <v>14</v>
      </c>
      <c r="T32" s="6">
        <f t="shared" si="16"/>
        <v>13</v>
      </c>
      <c r="U32" s="6">
        <f t="shared" si="17"/>
        <v>12</v>
      </c>
      <c r="V32" s="6">
        <f t="shared" si="18"/>
        <v>11</v>
      </c>
      <c r="W32" s="6">
        <f t="shared" si="19"/>
        <v>10</v>
      </c>
      <c r="X32" s="6">
        <f t="shared" si="20"/>
        <v>9</v>
      </c>
      <c r="Y32" s="6">
        <f t="shared" si="21"/>
        <v>8</v>
      </c>
      <c r="Z32" s="6">
        <f t="shared" si="22"/>
        <v>7</v>
      </c>
      <c r="AA32" s="6">
        <f t="shared" si="23"/>
        <v>6</v>
      </c>
      <c r="AB32" s="6">
        <f t="shared" si="24"/>
        <v>5</v>
      </c>
      <c r="AC32" s="6">
        <f t="shared" si="25"/>
        <v>4</v>
      </c>
      <c r="AD32" s="6">
        <f t="shared" si="26"/>
        <v>3</v>
      </c>
      <c r="AE32" s="6">
        <f t="shared" si="27"/>
        <v>2</v>
      </c>
      <c r="AF32" s="6">
        <f t="shared" si="28"/>
        <v>1</v>
      </c>
      <c r="AG32" s="6">
        <f t="shared" ref="AG32:AG37" si="29">(AG$103-$C32)</f>
        <v>0</v>
      </c>
    </row>
    <row r="33" spans="3:49" ht="13.35" customHeight="1" x14ac:dyDescent="0.25">
      <c r="C33" s="336">
        <v>70</v>
      </c>
      <c r="D33" s="6">
        <f t="shared" si="1"/>
        <v>30</v>
      </c>
      <c r="E33" s="6">
        <f t="shared" si="0"/>
        <v>29</v>
      </c>
      <c r="F33" s="6">
        <f t="shared" si="2"/>
        <v>28</v>
      </c>
      <c r="G33" s="6">
        <f t="shared" si="3"/>
        <v>27</v>
      </c>
      <c r="H33" s="6">
        <f t="shared" si="4"/>
        <v>26</v>
      </c>
      <c r="I33" s="6">
        <f t="shared" si="5"/>
        <v>25</v>
      </c>
      <c r="J33" s="6">
        <f t="shared" si="6"/>
        <v>24</v>
      </c>
      <c r="K33" s="6">
        <f t="shared" si="7"/>
        <v>23</v>
      </c>
      <c r="L33" s="6">
        <f t="shared" si="8"/>
        <v>22</v>
      </c>
      <c r="M33" s="6">
        <f t="shared" si="9"/>
        <v>21</v>
      </c>
      <c r="N33" s="6">
        <f t="shared" si="10"/>
        <v>20</v>
      </c>
      <c r="O33" s="6">
        <f t="shared" si="11"/>
        <v>19</v>
      </c>
      <c r="P33" s="6">
        <f t="shared" si="12"/>
        <v>18</v>
      </c>
      <c r="Q33" s="6">
        <f t="shared" si="13"/>
        <v>17</v>
      </c>
      <c r="R33" s="6">
        <f t="shared" si="14"/>
        <v>16</v>
      </c>
      <c r="S33" s="6">
        <f t="shared" si="15"/>
        <v>15</v>
      </c>
      <c r="T33" s="6">
        <f t="shared" si="16"/>
        <v>14</v>
      </c>
      <c r="U33" s="6">
        <f t="shared" si="17"/>
        <v>13</v>
      </c>
      <c r="V33" s="6">
        <f t="shared" si="18"/>
        <v>12</v>
      </c>
      <c r="W33" s="6">
        <f t="shared" si="19"/>
        <v>11</v>
      </c>
      <c r="X33" s="6">
        <f t="shared" si="20"/>
        <v>10</v>
      </c>
      <c r="Y33" s="6">
        <f t="shared" si="21"/>
        <v>9</v>
      </c>
      <c r="Z33" s="6">
        <f t="shared" si="22"/>
        <v>8</v>
      </c>
      <c r="AA33" s="6">
        <f t="shared" si="23"/>
        <v>7</v>
      </c>
      <c r="AB33" s="6">
        <f t="shared" si="24"/>
        <v>6</v>
      </c>
      <c r="AC33" s="6">
        <f t="shared" si="25"/>
        <v>5</v>
      </c>
      <c r="AD33" s="6">
        <f t="shared" si="26"/>
        <v>4</v>
      </c>
      <c r="AE33" s="6">
        <f t="shared" si="27"/>
        <v>3</v>
      </c>
      <c r="AF33" s="6">
        <f t="shared" si="28"/>
        <v>2</v>
      </c>
      <c r="AG33" s="6">
        <f t="shared" si="29"/>
        <v>1</v>
      </c>
      <c r="AH33" s="6">
        <f>(AH$103-$C33)</f>
        <v>0</v>
      </c>
    </row>
    <row r="34" spans="3:49" ht="13.35" customHeight="1" x14ac:dyDescent="0.25">
      <c r="C34" s="336">
        <v>69</v>
      </c>
      <c r="D34" s="6">
        <f t="shared" si="1"/>
        <v>31</v>
      </c>
      <c r="E34" s="6">
        <f t="shared" si="0"/>
        <v>30</v>
      </c>
      <c r="F34" s="6">
        <f t="shared" si="2"/>
        <v>29</v>
      </c>
      <c r="G34" s="6">
        <f t="shared" si="3"/>
        <v>28</v>
      </c>
      <c r="H34" s="6">
        <f t="shared" si="4"/>
        <v>27</v>
      </c>
      <c r="I34" s="6">
        <f t="shared" si="5"/>
        <v>26</v>
      </c>
      <c r="J34" s="6">
        <f t="shared" si="6"/>
        <v>25</v>
      </c>
      <c r="K34" s="6">
        <f t="shared" si="7"/>
        <v>24</v>
      </c>
      <c r="L34" s="6">
        <f t="shared" si="8"/>
        <v>23</v>
      </c>
      <c r="M34" s="6">
        <f t="shared" si="9"/>
        <v>22</v>
      </c>
      <c r="N34" s="6">
        <f t="shared" si="10"/>
        <v>21</v>
      </c>
      <c r="O34" s="6">
        <f t="shared" si="11"/>
        <v>20</v>
      </c>
      <c r="P34" s="6">
        <f t="shared" si="12"/>
        <v>19</v>
      </c>
      <c r="Q34" s="6">
        <f t="shared" si="13"/>
        <v>18</v>
      </c>
      <c r="R34" s="6">
        <f t="shared" si="14"/>
        <v>17</v>
      </c>
      <c r="S34" s="6">
        <f t="shared" si="15"/>
        <v>16</v>
      </c>
      <c r="T34" s="6">
        <f t="shared" si="16"/>
        <v>15</v>
      </c>
      <c r="U34" s="6">
        <f t="shared" si="17"/>
        <v>14</v>
      </c>
      <c r="V34" s="6">
        <f t="shared" si="18"/>
        <v>13</v>
      </c>
      <c r="W34" s="6">
        <f t="shared" si="19"/>
        <v>12</v>
      </c>
      <c r="X34" s="6">
        <f t="shared" si="20"/>
        <v>11</v>
      </c>
      <c r="Y34" s="6">
        <f t="shared" si="21"/>
        <v>10</v>
      </c>
      <c r="Z34" s="6">
        <f t="shared" si="22"/>
        <v>9</v>
      </c>
      <c r="AA34" s="6">
        <f t="shared" si="23"/>
        <v>8</v>
      </c>
      <c r="AB34" s="6">
        <f t="shared" si="24"/>
        <v>7</v>
      </c>
      <c r="AC34" s="6">
        <f t="shared" si="25"/>
        <v>6</v>
      </c>
      <c r="AD34" s="6">
        <f t="shared" si="26"/>
        <v>5</v>
      </c>
      <c r="AE34" s="6">
        <f t="shared" si="27"/>
        <v>4</v>
      </c>
      <c r="AF34" s="6">
        <f t="shared" si="28"/>
        <v>3</v>
      </c>
      <c r="AG34" s="6">
        <f t="shared" si="29"/>
        <v>2</v>
      </c>
      <c r="AH34" s="6">
        <f>(AH$103-$C34)</f>
        <v>1</v>
      </c>
      <c r="AI34" s="6">
        <f>(AI$103-$C34)</f>
        <v>0</v>
      </c>
    </row>
    <row r="35" spans="3:49" ht="13.35" customHeight="1" x14ac:dyDescent="0.25">
      <c r="C35" s="336">
        <v>68</v>
      </c>
      <c r="D35" s="6">
        <f t="shared" si="1"/>
        <v>32</v>
      </c>
      <c r="E35" s="6">
        <f t="shared" si="0"/>
        <v>31</v>
      </c>
      <c r="F35" s="6">
        <f t="shared" si="2"/>
        <v>30</v>
      </c>
      <c r="G35" s="6">
        <f t="shared" si="3"/>
        <v>29</v>
      </c>
      <c r="H35" s="6">
        <f t="shared" si="4"/>
        <v>28</v>
      </c>
      <c r="I35" s="6">
        <f t="shared" si="5"/>
        <v>27</v>
      </c>
      <c r="J35" s="6">
        <f t="shared" si="6"/>
        <v>26</v>
      </c>
      <c r="K35" s="6">
        <f t="shared" si="7"/>
        <v>25</v>
      </c>
      <c r="L35" s="6">
        <f t="shared" si="8"/>
        <v>24</v>
      </c>
      <c r="M35" s="6">
        <f t="shared" si="9"/>
        <v>23</v>
      </c>
      <c r="N35" s="6">
        <f t="shared" si="10"/>
        <v>22</v>
      </c>
      <c r="O35" s="6">
        <f t="shared" si="11"/>
        <v>21</v>
      </c>
      <c r="P35" s="6">
        <f t="shared" si="12"/>
        <v>20</v>
      </c>
      <c r="Q35" s="6">
        <f t="shared" si="13"/>
        <v>19</v>
      </c>
      <c r="R35" s="6">
        <f t="shared" si="14"/>
        <v>18</v>
      </c>
      <c r="S35" s="6">
        <f t="shared" si="15"/>
        <v>17</v>
      </c>
      <c r="T35" s="6">
        <f t="shared" si="16"/>
        <v>16</v>
      </c>
      <c r="U35" s="6">
        <f t="shared" si="17"/>
        <v>15</v>
      </c>
      <c r="V35" s="6">
        <f t="shared" si="18"/>
        <v>14</v>
      </c>
      <c r="W35" s="6">
        <f t="shared" si="19"/>
        <v>13</v>
      </c>
      <c r="X35" s="6">
        <f t="shared" si="20"/>
        <v>12</v>
      </c>
      <c r="Y35" s="6">
        <f t="shared" si="21"/>
        <v>11</v>
      </c>
      <c r="Z35" s="6">
        <f t="shared" si="22"/>
        <v>10</v>
      </c>
      <c r="AA35" s="6">
        <f t="shared" si="23"/>
        <v>9</v>
      </c>
      <c r="AB35" s="6">
        <f t="shared" si="24"/>
        <v>8</v>
      </c>
      <c r="AC35" s="6">
        <f t="shared" si="25"/>
        <v>7</v>
      </c>
      <c r="AD35" s="6">
        <f t="shared" si="26"/>
        <v>6</v>
      </c>
      <c r="AE35" s="6">
        <f t="shared" si="27"/>
        <v>5</v>
      </c>
      <c r="AF35" s="6">
        <f t="shared" si="28"/>
        <v>4</v>
      </c>
      <c r="AG35" s="6">
        <f t="shared" si="29"/>
        <v>3</v>
      </c>
      <c r="AH35" s="6">
        <f>(AH$103-$C35)</f>
        <v>2</v>
      </c>
      <c r="AI35" s="6">
        <f>(AI$103-$C35)</f>
        <v>1</v>
      </c>
      <c r="AJ35" s="6">
        <f>(AJ$103-$C35)</f>
        <v>0</v>
      </c>
    </row>
    <row r="36" spans="3:49" ht="13.35" customHeight="1" x14ac:dyDescent="0.25">
      <c r="C36" s="336">
        <v>67</v>
      </c>
      <c r="D36" s="6">
        <f t="shared" si="1"/>
        <v>33</v>
      </c>
      <c r="E36" s="6">
        <f t="shared" ref="E36:E67" si="30">(E$103-$C36)</f>
        <v>32</v>
      </c>
      <c r="F36" s="6">
        <f t="shared" si="2"/>
        <v>31</v>
      </c>
      <c r="G36" s="6">
        <f t="shared" si="3"/>
        <v>30</v>
      </c>
      <c r="H36" s="6">
        <f t="shared" si="4"/>
        <v>29</v>
      </c>
      <c r="I36" s="6">
        <f t="shared" si="5"/>
        <v>28</v>
      </c>
      <c r="J36" s="6">
        <f t="shared" si="6"/>
        <v>27</v>
      </c>
      <c r="K36" s="6">
        <f t="shared" si="7"/>
        <v>26</v>
      </c>
      <c r="L36" s="6">
        <f t="shared" si="8"/>
        <v>25</v>
      </c>
      <c r="M36" s="6">
        <f t="shared" si="9"/>
        <v>24</v>
      </c>
      <c r="N36" s="6">
        <f t="shared" si="10"/>
        <v>23</v>
      </c>
      <c r="O36" s="6">
        <f t="shared" si="11"/>
        <v>22</v>
      </c>
      <c r="P36" s="6">
        <f t="shared" si="12"/>
        <v>21</v>
      </c>
      <c r="Q36" s="6">
        <f t="shared" si="13"/>
        <v>20</v>
      </c>
      <c r="R36" s="6">
        <f t="shared" si="14"/>
        <v>19</v>
      </c>
      <c r="S36" s="6">
        <f t="shared" si="15"/>
        <v>18</v>
      </c>
      <c r="T36" s="6">
        <f t="shared" si="16"/>
        <v>17</v>
      </c>
      <c r="U36" s="6">
        <f t="shared" si="17"/>
        <v>16</v>
      </c>
      <c r="V36" s="6">
        <f t="shared" si="18"/>
        <v>15</v>
      </c>
      <c r="W36" s="6">
        <f t="shared" si="19"/>
        <v>14</v>
      </c>
      <c r="X36" s="6">
        <f t="shared" si="20"/>
        <v>13</v>
      </c>
      <c r="Y36" s="6">
        <f t="shared" si="21"/>
        <v>12</v>
      </c>
      <c r="Z36" s="6">
        <f t="shared" si="22"/>
        <v>11</v>
      </c>
      <c r="AA36" s="6">
        <f t="shared" si="23"/>
        <v>10</v>
      </c>
      <c r="AB36" s="6">
        <f t="shared" si="24"/>
        <v>9</v>
      </c>
      <c r="AC36" s="6">
        <f t="shared" si="25"/>
        <v>8</v>
      </c>
      <c r="AD36" s="6">
        <f t="shared" si="26"/>
        <v>7</v>
      </c>
      <c r="AE36" s="6">
        <f t="shared" si="27"/>
        <v>6</v>
      </c>
      <c r="AF36" s="6">
        <f t="shared" si="28"/>
        <v>5</v>
      </c>
      <c r="AG36" s="6">
        <f t="shared" si="29"/>
        <v>4</v>
      </c>
      <c r="AH36" s="6">
        <f>(AH$103-$C36)</f>
        <v>3</v>
      </c>
      <c r="AI36" s="6">
        <f>(AI$103-$C36)</f>
        <v>2</v>
      </c>
      <c r="AJ36" s="6">
        <f>(AJ$103-$C36)</f>
        <v>1</v>
      </c>
      <c r="AK36" s="6">
        <f>(AK$103-$C36)</f>
        <v>0</v>
      </c>
    </row>
    <row r="37" spans="3:49" ht="13.35" customHeight="1" x14ac:dyDescent="0.25">
      <c r="C37" s="336">
        <v>66</v>
      </c>
      <c r="D37" s="6">
        <f t="shared" si="1"/>
        <v>34</v>
      </c>
      <c r="E37" s="6">
        <f t="shared" si="30"/>
        <v>33</v>
      </c>
      <c r="F37" s="6">
        <f t="shared" ref="F37:F68" si="31">(F$103-$C37)</f>
        <v>32</v>
      </c>
      <c r="G37" s="6">
        <f t="shared" si="3"/>
        <v>31</v>
      </c>
      <c r="H37" s="6">
        <f t="shared" si="4"/>
        <v>30</v>
      </c>
      <c r="I37" s="6">
        <f t="shared" si="5"/>
        <v>29</v>
      </c>
      <c r="J37" s="6">
        <f t="shared" si="6"/>
        <v>28</v>
      </c>
      <c r="K37" s="6">
        <f t="shared" si="7"/>
        <v>27</v>
      </c>
      <c r="L37" s="6">
        <f t="shared" si="8"/>
        <v>26</v>
      </c>
      <c r="M37" s="6">
        <f t="shared" si="9"/>
        <v>25</v>
      </c>
      <c r="N37" s="6">
        <f t="shared" si="10"/>
        <v>24</v>
      </c>
      <c r="O37" s="6">
        <f t="shared" si="11"/>
        <v>23</v>
      </c>
      <c r="P37" s="6">
        <f t="shared" si="12"/>
        <v>22</v>
      </c>
      <c r="Q37" s="6">
        <f t="shared" si="13"/>
        <v>21</v>
      </c>
      <c r="R37" s="6">
        <f t="shared" si="14"/>
        <v>20</v>
      </c>
      <c r="S37" s="6">
        <f t="shared" si="15"/>
        <v>19</v>
      </c>
      <c r="T37" s="6">
        <f t="shared" si="16"/>
        <v>18</v>
      </c>
      <c r="U37" s="6">
        <f t="shared" si="17"/>
        <v>17</v>
      </c>
      <c r="V37" s="6">
        <f t="shared" si="18"/>
        <v>16</v>
      </c>
      <c r="W37" s="6">
        <f t="shared" si="19"/>
        <v>15</v>
      </c>
      <c r="X37" s="6">
        <f t="shared" si="20"/>
        <v>14</v>
      </c>
      <c r="Y37" s="6">
        <f t="shared" si="21"/>
        <v>13</v>
      </c>
      <c r="Z37" s="6">
        <f t="shared" si="22"/>
        <v>12</v>
      </c>
      <c r="AA37" s="6">
        <f t="shared" si="23"/>
        <v>11</v>
      </c>
      <c r="AB37" s="6">
        <f t="shared" si="24"/>
        <v>10</v>
      </c>
      <c r="AC37" s="6">
        <f t="shared" si="25"/>
        <v>9</v>
      </c>
      <c r="AD37" s="6">
        <f t="shared" si="26"/>
        <v>8</v>
      </c>
      <c r="AE37" s="6">
        <f t="shared" si="27"/>
        <v>7</v>
      </c>
      <c r="AF37" s="6">
        <f t="shared" si="28"/>
        <v>6</v>
      </c>
      <c r="AG37" s="6">
        <f t="shared" si="29"/>
        <v>5</v>
      </c>
      <c r="AH37" s="6">
        <f>(AH$103-$C37)</f>
        <v>4</v>
      </c>
      <c r="AI37" s="6">
        <f>(AI$103-$C37)</f>
        <v>3</v>
      </c>
      <c r="AJ37" s="6">
        <f>(AJ$103-$C37)</f>
        <v>2</v>
      </c>
      <c r="AK37" s="6">
        <f>(AK$103-$C37)</f>
        <v>1</v>
      </c>
      <c r="AL37" s="6">
        <f>(AL$103-$C37)</f>
        <v>0</v>
      </c>
    </row>
    <row r="38" spans="3:49" ht="13.35" customHeight="1" x14ac:dyDescent="0.25">
      <c r="C38" s="336">
        <v>65</v>
      </c>
      <c r="D38" s="6">
        <f t="shared" si="1"/>
        <v>35</v>
      </c>
      <c r="E38" s="6">
        <f t="shared" si="30"/>
        <v>34</v>
      </c>
      <c r="F38" s="6">
        <f t="shared" si="31"/>
        <v>33</v>
      </c>
      <c r="G38" s="6">
        <f t="shared" ref="G38:AP41" si="32">(G$103-$C38)</f>
        <v>32</v>
      </c>
      <c r="H38" s="6">
        <f t="shared" si="32"/>
        <v>31</v>
      </c>
      <c r="I38" s="6">
        <f t="shared" si="32"/>
        <v>30</v>
      </c>
      <c r="J38" s="6">
        <f t="shared" si="32"/>
        <v>29</v>
      </c>
      <c r="K38" s="6">
        <f t="shared" si="32"/>
        <v>28</v>
      </c>
      <c r="L38" s="6">
        <f t="shared" si="32"/>
        <v>27</v>
      </c>
      <c r="M38" s="6">
        <f t="shared" si="32"/>
        <v>26</v>
      </c>
      <c r="N38" s="6">
        <f t="shared" si="32"/>
        <v>25</v>
      </c>
      <c r="O38" s="6">
        <f t="shared" si="32"/>
        <v>24</v>
      </c>
      <c r="P38" s="6">
        <f t="shared" si="32"/>
        <v>23</v>
      </c>
      <c r="Q38" s="6">
        <f t="shared" si="32"/>
        <v>22</v>
      </c>
      <c r="R38" s="6">
        <f t="shared" si="32"/>
        <v>21</v>
      </c>
      <c r="S38" s="6">
        <f t="shared" si="32"/>
        <v>20</v>
      </c>
      <c r="T38" s="6">
        <f t="shared" si="32"/>
        <v>19</v>
      </c>
      <c r="U38" s="6">
        <f t="shared" si="32"/>
        <v>18</v>
      </c>
      <c r="V38" s="6">
        <f t="shared" si="32"/>
        <v>17</v>
      </c>
      <c r="W38" s="6">
        <f t="shared" si="32"/>
        <v>16</v>
      </c>
      <c r="X38" s="6">
        <f t="shared" si="32"/>
        <v>15</v>
      </c>
      <c r="Y38" s="6">
        <f t="shared" si="32"/>
        <v>14</v>
      </c>
      <c r="Z38" s="6">
        <f t="shared" si="32"/>
        <v>13</v>
      </c>
      <c r="AA38" s="6">
        <f t="shared" si="32"/>
        <v>12</v>
      </c>
      <c r="AB38" s="6">
        <f t="shared" si="32"/>
        <v>11</v>
      </c>
      <c r="AC38" s="6">
        <f t="shared" si="32"/>
        <v>10</v>
      </c>
      <c r="AD38" s="6">
        <f t="shared" si="32"/>
        <v>9</v>
      </c>
      <c r="AE38" s="6">
        <f t="shared" si="32"/>
        <v>8</v>
      </c>
      <c r="AF38" s="6">
        <f t="shared" si="32"/>
        <v>7</v>
      </c>
      <c r="AG38" s="6">
        <f t="shared" si="32"/>
        <v>6</v>
      </c>
      <c r="AH38" s="6">
        <f t="shared" si="32"/>
        <v>5</v>
      </c>
      <c r="AI38" s="6">
        <f t="shared" si="32"/>
        <v>4</v>
      </c>
      <c r="AJ38" s="6">
        <f t="shared" si="32"/>
        <v>3</v>
      </c>
      <c r="AK38" s="6">
        <f t="shared" si="32"/>
        <v>2</v>
      </c>
      <c r="AL38" s="6">
        <f t="shared" si="32"/>
        <v>1</v>
      </c>
      <c r="AM38" s="6">
        <f t="shared" si="32"/>
        <v>0</v>
      </c>
    </row>
    <row r="39" spans="3:49" ht="13.35" customHeight="1" x14ac:dyDescent="0.25">
      <c r="C39" s="336">
        <v>64</v>
      </c>
      <c r="D39" s="6">
        <f t="shared" si="1"/>
        <v>36</v>
      </c>
      <c r="E39" s="6">
        <f t="shared" si="30"/>
        <v>35</v>
      </c>
      <c r="F39" s="6">
        <f t="shared" si="31"/>
        <v>34</v>
      </c>
      <c r="G39" s="6">
        <f t="shared" si="32"/>
        <v>33</v>
      </c>
      <c r="H39" s="6">
        <f t="shared" si="32"/>
        <v>32</v>
      </c>
      <c r="I39" s="6">
        <f t="shared" si="32"/>
        <v>31</v>
      </c>
      <c r="J39" s="6">
        <f t="shared" si="32"/>
        <v>30</v>
      </c>
      <c r="K39" s="6">
        <f t="shared" si="32"/>
        <v>29</v>
      </c>
      <c r="L39" s="6">
        <f t="shared" si="32"/>
        <v>28</v>
      </c>
      <c r="M39" s="6">
        <f t="shared" si="32"/>
        <v>27</v>
      </c>
      <c r="N39" s="6">
        <f t="shared" si="32"/>
        <v>26</v>
      </c>
      <c r="O39" s="6">
        <f t="shared" si="32"/>
        <v>25</v>
      </c>
      <c r="P39" s="6">
        <f t="shared" si="32"/>
        <v>24</v>
      </c>
      <c r="Q39" s="6">
        <f t="shared" si="32"/>
        <v>23</v>
      </c>
      <c r="R39" s="6">
        <f t="shared" si="32"/>
        <v>22</v>
      </c>
      <c r="S39" s="6">
        <f t="shared" si="32"/>
        <v>21</v>
      </c>
      <c r="T39" s="6">
        <f t="shared" si="32"/>
        <v>20</v>
      </c>
      <c r="U39" s="6">
        <f t="shared" si="32"/>
        <v>19</v>
      </c>
      <c r="V39" s="6">
        <f t="shared" si="32"/>
        <v>18</v>
      </c>
      <c r="W39" s="6">
        <f t="shared" si="32"/>
        <v>17</v>
      </c>
      <c r="X39" s="6">
        <f t="shared" si="32"/>
        <v>16</v>
      </c>
      <c r="Y39" s="6">
        <f t="shared" si="32"/>
        <v>15</v>
      </c>
      <c r="Z39" s="6">
        <f t="shared" si="32"/>
        <v>14</v>
      </c>
      <c r="AA39" s="6">
        <f t="shared" si="32"/>
        <v>13</v>
      </c>
      <c r="AB39" s="6">
        <f t="shared" si="32"/>
        <v>12</v>
      </c>
      <c r="AC39" s="6">
        <f t="shared" si="32"/>
        <v>11</v>
      </c>
      <c r="AD39" s="6">
        <f t="shared" si="32"/>
        <v>10</v>
      </c>
      <c r="AE39" s="6">
        <f t="shared" si="32"/>
        <v>9</v>
      </c>
      <c r="AF39" s="6">
        <f t="shared" si="32"/>
        <v>8</v>
      </c>
      <c r="AG39" s="6">
        <f t="shared" si="32"/>
        <v>7</v>
      </c>
      <c r="AH39" s="6">
        <f t="shared" si="32"/>
        <v>6</v>
      </c>
      <c r="AI39" s="6">
        <f t="shared" si="32"/>
        <v>5</v>
      </c>
      <c r="AJ39" s="6">
        <f t="shared" si="32"/>
        <v>4</v>
      </c>
      <c r="AK39" s="6">
        <f t="shared" si="32"/>
        <v>3</v>
      </c>
      <c r="AL39" s="6">
        <f t="shared" si="32"/>
        <v>2</v>
      </c>
      <c r="AM39" s="6">
        <f t="shared" si="32"/>
        <v>1</v>
      </c>
      <c r="AN39" s="6">
        <f t="shared" si="32"/>
        <v>0</v>
      </c>
    </row>
    <row r="40" spans="3:49" ht="13.35" customHeight="1" x14ac:dyDescent="0.25">
      <c r="C40" s="336">
        <v>63</v>
      </c>
      <c r="D40" s="6">
        <f t="shared" si="1"/>
        <v>37</v>
      </c>
      <c r="E40" s="6">
        <f t="shared" si="30"/>
        <v>36</v>
      </c>
      <c r="F40" s="6">
        <f t="shared" si="31"/>
        <v>35</v>
      </c>
      <c r="G40" s="6">
        <f t="shared" si="32"/>
        <v>34</v>
      </c>
      <c r="H40" s="6">
        <f t="shared" si="32"/>
        <v>33</v>
      </c>
      <c r="I40" s="6">
        <f t="shared" si="32"/>
        <v>32</v>
      </c>
      <c r="J40" s="6">
        <f t="shared" si="32"/>
        <v>31</v>
      </c>
      <c r="K40" s="6">
        <f t="shared" si="32"/>
        <v>30</v>
      </c>
      <c r="L40" s="6">
        <f t="shared" si="32"/>
        <v>29</v>
      </c>
      <c r="M40" s="6">
        <f t="shared" si="32"/>
        <v>28</v>
      </c>
      <c r="N40" s="6">
        <f t="shared" si="32"/>
        <v>27</v>
      </c>
      <c r="O40" s="6">
        <f t="shared" si="32"/>
        <v>26</v>
      </c>
      <c r="P40" s="6">
        <f t="shared" si="32"/>
        <v>25</v>
      </c>
      <c r="Q40" s="6">
        <f t="shared" si="32"/>
        <v>24</v>
      </c>
      <c r="R40" s="6">
        <f t="shared" si="32"/>
        <v>23</v>
      </c>
      <c r="S40" s="6">
        <f t="shared" si="32"/>
        <v>22</v>
      </c>
      <c r="T40" s="6">
        <f t="shared" si="32"/>
        <v>21</v>
      </c>
      <c r="U40" s="6">
        <f t="shared" si="32"/>
        <v>20</v>
      </c>
      <c r="V40" s="6">
        <f t="shared" si="32"/>
        <v>19</v>
      </c>
      <c r="W40" s="6">
        <f t="shared" si="32"/>
        <v>18</v>
      </c>
      <c r="X40" s="6">
        <f t="shared" si="32"/>
        <v>17</v>
      </c>
      <c r="Y40" s="6">
        <f t="shared" si="32"/>
        <v>16</v>
      </c>
      <c r="Z40" s="6">
        <f t="shared" si="32"/>
        <v>15</v>
      </c>
      <c r="AA40" s="6">
        <f t="shared" si="32"/>
        <v>14</v>
      </c>
      <c r="AB40" s="6">
        <f t="shared" si="32"/>
        <v>13</v>
      </c>
      <c r="AC40" s="6">
        <f t="shared" si="32"/>
        <v>12</v>
      </c>
      <c r="AD40" s="6">
        <f t="shared" si="32"/>
        <v>11</v>
      </c>
      <c r="AE40" s="6">
        <f t="shared" si="32"/>
        <v>10</v>
      </c>
      <c r="AF40" s="6">
        <f t="shared" si="32"/>
        <v>9</v>
      </c>
      <c r="AG40" s="6">
        <f t="shared" si="32"/>
        <v>8</v>
      </c>
      <c r="AH40" s="6">
        <f t="shared" si="32"/>
        <v>7</v>
      </c>
      <c r="AI40" s="6">
        <f t="shared" si="32"/>
        <v>6</v>
      </c>
      <c r="AJ40" s="6">
        <f t="shared" si="32"/>
        <v>5</v>
      </c>
      <c r="AK40" s="6">
        <f t="shared" si="32"/>
        <v>4</v>
      </c>
      <c r="AL40" s="6">
        <f t="shared" si="32"/>
        <v>3</v>
      </c>
      <c r="AM40" s="6">
        <f t="shared" si="32"/>
        <v>2</v>
      </c>
      <c r="AN40" s="6">
        <f t="shared" si="32"/>
        <v>1</v>
      </c>
      <c r="AO40" s="6">
        <f t="shared" si="32"/>
        <v>0</v>
      </c>
    </row>
    <row r="41" spans="3:49" ht="13.35" customHeight="1" x14ac:dyDescent="0.25">
      <c r="C41" s="336">
        <v>62</v>
      </c>
      <c r="D41" s="6">
        <f t="shared" si="1"/>
        <v>38</v>
      </c>
      <c r="E41" s="6">
        <f t="shared" si="30"/>
        <v>37</v>
      </c>
      <c r="F41" s="6">
        <f t="shared" si="31"/>
        <v>36</v>
      </c>
      <c r="G41" s="6">
        <f t="shared" si="32"/>
        <v>35</v>
      </c>
      <c r="H41" s="6">
        <f t="shared" si="32"/>
        <v>34</v>
      </c>
      <c r="I41" s="6">
        <f t="shared" si="32"/>
        <v>33</v>
      </c>
      <c r="J41" s="6">
        <f t="shared" si="32"/>
        <v>32</v>
      </c>
      <c r="K41" s="6">
        <f t="shared" si="32"/>
        <v>31</v>
      </c>
      <c r="L41" s="6">
        <f t="shared" si="32"/>
        <v>30</v>
      </c>
      <c r="M41" s="6">
        <f t="shared" si="32"/>
        <v>29</v>
      </c>
      <c r="N41" s="6">
        <f t="shared" si="32"/>
        <v>28</v>
      </c>
      <c r="O41" s="6">
        <f t="shared" si="32"/>
        <v>27</v>
      </c>
      <c r="P41" s="6">
        <f t="shared" si="32"/>
        <v>26</v>
      </c>
      <c r="Q41" s="6">
        <f t="shared" si="32"/>
        <v>25</v>
      </c>
      <c r="R41" s="6">
        <f t="shared" si="32"/>
        <v>24</v>
      </c>
      <c r="S41" s="6">
        <f t="shared" si="32"/>
        <v>23</v>
      </c>
      <c r="T41" s="6">
        <f t="shared" si="32"/>
        <v>22</v>
      </c>
      <c r="U41" s="6">
        <f t="shared" si="32"/>
        <v>21</v>
      </c>
      <c r="V41" s="6">
        <f t="shared" si="32"/>
        <v>20</v>
      </c>
      <c r="W41" s="6">
        <f t="shared" si="32"/>
        <v>19</v>
      </c>
      <c r="X41" s="6">
        <f t="shared" si="32"/>
        <v>18</v>
      </c>
      <c r="Y41" s="6">
        <f t="shared" si="32"/>
        <v>17</v>
      </c>
      <c r="Z41" s="6">
        <f t="shared" si="32"/>
        <v>16</v>
      </c>
      <c r="AA41" s="6">
        <f t="shared" si="32"/>
        <v>15</v>
      </c>
      <c r="AB41" s="6">
        <f t="shared" si="32"/>
        <v>14</v>
      </c>
      <c r="AC41" s="6">
        <f t="shared" si="32"/>
        <v>13</v>
      </c>
      <c r="AD41" s="6">
        <f t="shared" si="32"/>
        <v>12</v>
      </c>
      <c r="AE41" s="6">
        <f t="shared" si="32"/>
        <v>11</v>
      </c>
      <c r="AF41" s="6">
        <f t="shared" si="32"/>
        <v>10</v>
      </c>
      <c r="AG41" s="6">
        <f t="shared" si="32"/>
        <v>9</v>
      </c>
      <c r="AH41" s="6">
        <f t="shared" si="32"/>
        <v>8</v>
      </c>
      <c r="AI41" s="6">
        <f t="shared" si="32"/>
        <v>7</v>
      </c>
      <c r="AJ41" s="6">
        <f t="shared" si="32"/>
        <v>6</v>
      </c>
      <c r="AK41" s="6">
        <f t="shared" si="32"/>
        <v>5</v>
      </c>
      <c r="AL41" s="6">
        <f t="shared" si="32"/>
        <v>4</v>
      </c>
      <c r="AM41" s="6">
        <f t="shared" si="32"/>
        <v>3</v>
      </c>
      <c r="AN41" s="6">
        <f t="shared" si="32"/>
        <v>2</v>
      </c>
      <c r="AO41" s="6">
        <f t="shared" si="32"/>
        <v>1</v>
      </c>
      <c r="AP41" s="6">
        <f t="shared" si="32"/>
        <v>0</v>
      </c>
    </row>
    <row r="42" spans="3:49" ht="13.35" customHeight="1" x14ac:dyDescent="0.25">
      <c r="C42" s="336">
        <v>61</v>
      </c>
      <c r="D42" s="6">
        <f t="shared" si="1"/>
        <v>39</v>
      </c>
      <c r="E42" s="6">
        <f t="shared" si="30"/>
        <v>38</v>
      </c>
      <c r="F42" s="6">
        <f t="shared" si="31"/>
        <v>37</v>
      </c>
      <c r="G42" s="6">
        <f t="shared" ref="G42:AT45" si="33">(G$103-$C42)</f>
        <v>36</v>
      </c>
      <c r="H42" s="6">
        <f t="shared" si="33"/>
        <v>35</v>
      </c>
      <c r="I42" s="6">
        <f t="shared" si="33"/>
        <v>34</v>
      </c>
      <c r="J42" s="6">
        <f t="shared" si="33"/>
        <v>33</v>
      </c>
      <c r="K42" s="6">
        <f t="shared" si="33"/>
        <v>32</v>
      </c>
      <c r="L42" s="6">
        <f t="shared" si="33"/>
        <v>31</v>
      </c>
      <c r="M42" s="6">
        <f t="shared" si="33"/>
        <v>30</v>
      </c>
      <c r="N42" s="6">
        <f t="shared" si="33"/>
        <v>29</v>
      </c>
      <c r="O42" s="6">
        <f t="shared" si="33"/>
        <v>28</v>
      </c>
      <c r="P42" s="6">
        <f t="shared" si="33"/>
        <v>27</v>
      </c>
      <c r="Q42" s="6">
        <f t="shared" si="33"/>
        <v>26</v>
      </c>
      <c r="R42" s="6">
        <f t="shared" si="33"/>
        <v>25</v>
      </c>
      <c r="S42" s="6">
        <f t="shared" si="33"/>
        <v>24</v>
      </c>
      <c r="T42" s="6">
        <f t="shared" si="33"/>
        <v>23</v>
      </c>
      <c r="U42" s="6">
        <f t="shared" si="33"/>
        <v>22</v>
      </c>
      <c r="V42" s="6">
        <f t="shared" si="33"/>
        <v>21</v>
      </c>
      <c r="W42" s="6">
        <f t="shared" si="33"/>
        <v>20</v>
      </c>
      <c r="X42" s="6">
        <f t="shared" si="33"/>
        <v>19</v>
      </c>
      <c r="Y42" s="6">
        <f t="shared" si="33"/>
        <v>18</v>
      </c>
      <c r="Z42" s="6">
        <f t="shared" si="33"/>
        <v>17</v>
      </c>
      <c r="AA42" s="6">
        <f t="shared" si="33"/>
        <v>16</v>
      </c>
      <c r="AB42" s="6">
        <f t="shared" si="33"/>
        <v>15</v>
      </c>
      <c r="AC42" s="6">
        <f t="shared" si="33"/>
        <v>14</v>
      </c>
      <c r="AD42" s="6">
        <f t="shared" si="33"/>
        <v>13</v>
      </c>
      <c r="AE42" s="6">
        <f t="shared" si="33"/>
        <v>12</v>
      </c>
      <c r="AF42" s="6">
        <f t="shared" si="33"/>
        <v>11</v>
      </c>
      <c r="AG42" s="6">
        <f t="shared" si="33"/>
        <v>10</v>
      </c>
      <c r="AH42" s="6">
        <f t="shared" si="33"/>
        <v>9</v>
      </c>
      <c r="AI42" s="6">
        <f t="shared" si="33"/>
        <v>8</v>
      </c>
      <c r="AJ42" s="6">
        <f t="shared" si="33"/>
        <v>7</v>
      </c>
      <c r="AK42" s="6">
        <f t="shared" si="33"/>
        <v>6</v>
      </c>
      <c r="AL42" s="6">
        <f t="shared" si="33"/>
        <v>5</v>
      </c>
      <c r="AM42" s="6">
        <f t="shared" si="33"/>
        <v>4</v>
      </c>
      <c r="AN42" s="6">
        <f t="shared" si="33"/>
        <v>3</v>
      </c>
      <c r="AO42" s="6">
        <f t="shared" si="33"/>
        <v>2</v>
      </c>
      <c r="AP42" s="6">
        <f t="shared" si="33"/>
        <v>1</v>
      </c>
      <c r="AQ42" s="6">
        <f t="shared" si="33"/>
        <v>0</v>
      </c>
    </row>
    <row r="43" spans="3:49" ht="13.35" customHeight="1" x14ac:dyDescent="0.25">
      <c r="C43" s="336">
        <v>60</v>
      </c>
      <c r="D43" s="9">
        <f t="shared" si="1"/>
        <v>40</v>
      </c>
      <c r="E43" s="6">
        <f t="shared" si="30"/>
        <v>39</v>
      </c>
      <c r="F43" s="6">
        <f t="shared" si="31"/>
        <v>38</v>
      </c>
      <c r="G43" s="6">
        <f t="shared" si="33"/>
        <v>37</v>
      </c>
      <c r="H43" s="6">
        <f t="shared" si="33"/>
        <v>36</v>
      </c>
      <c r="I43" s="6">
        <f t="shared" si="33"/>
        <v>35</v>
      </c>
      <c r="J43" s="6">
        <f t="shared" si="33"/>
        <v>34</v>
      </c>
      <c r="K43" s="6">
        <f t="shared" si="33"/>
        <v>33</v>
      </c>
      <c r="L43" s="6">
        <f t="shared" si="33"/>
        <v>32</v>
      </c>
      <c r="M43" s="6">
        <f t="shared" si="33"/>
        <v>31</v>
      </c>
      <c r="N43" s="6">
        <f t="shared" si="33"/>
        <v>30</v>
      </c>
      <c r="O43" s="6">
        <f t="shared" si="33"/>
        <v>29</v>
      </c>
      <c r="P43" s="6">
        <f t="shared" si="33"/>
        <v>28</v>
      </c>
      <c r="Q43" s="6">
        <f t="shared" si="33"/>
        <v>27</v>
      </c>
      <c r="R43" s="6">
        <f t="shared" si="33"/>
        <v>26</v>
      </c>
      <c r="S43" s="6">
        <f t="shared" si="33"/>
        <v>25</v>
      </c>
      <c r="T43" s="6">
        <f t="shared" si="33"/>
        <v>24</v>
      </c>
      <c r="U43" s="6">
        <f t="shared" si="33"/>
        <v>23</v>
      </c>
      <c r="V43" s="6">
        <f t="shared" si="33"/>
        <v>22</v>
      </c>
      <c r="W43" s="6">
        <f t="shared" si="33"/>
        <v>21</v>
      </c>
      <c r="X43" s="6">
        <f t="shared" si="33"/>
        <v>20</v>
      </c>
      <c r="Y43" s="6">
        <f t="shared" si="33"/>
        <v>19</v>
      </c>
      <c r="Z43" s="6">
        <f t="shared" si="33"/>
        <v>18</v>
      </c>
      <c r="AA43" s="6">
        <f t="shared" si="33"/>
        <v>17</v>
      </c>
      <c r="AB43" s="6">
        <f t="shared" si="33"/>
        <v>16</v>
      </c>
      <c r="AC43" s="6">
        <f t="shared" si="33"/>
        <v>15</v>
      </c>
      <c r="AD43" s="6">
        <f t="shared" si="33"/>
        <v>14</v>
      </c>
      <c r="AE43" s="6">
        <f t="shared" si="33"/>
        <v>13</v>
      </c>
      <c r="AF43" s="6">
        <f t="shared" si="33"/>
        <v>12</v>
      </c>
      <c r="AG43" s="6">
        <f t="shared" si="33"/>
        <v>11</v>
      </c>
      <c r="AH43" s="6">
        <f t="shared" si="33"/>
        <v>10</v>
      </c>
      <c r="AI43" s="6">
        <f t="shared" si="33"/>
        <v>9</v>
      </c>
      <c r="AJ43" s="6">
        <f t="shared" si="33"/>
        <v>8</v>
      </c>
      <c r="AK43" s="6">
        <f t="shared" si="33"/>
        <v>7</v>
      </c>
      <c r="AL43" s="6">
        <f t="shared" si="33"/>
        <v>6</v>
      </c>
      <c r="AM43" s="6">
        <f t="shared" si="33"/>
        <v>5</v>
      </c>
      <c r="AN43" s="6">
        <f t="shared" si="33"/>
        <v>4</v>
      </c>
      <c r="AO43" s="6">
        <f t="shared" si="33"/>
        <v>3</v>
      </c>
      <c r="AP43" s="6">
        <f t="shared" si="33"/>
        <v>2</v>
      </c>
      <c r="AQ43" s="6">
        <f t="shared" si="33"/>
        <v>1</v>
      </c>
      <c r="AR43" s="6">
        <f t="shared" si="33"/>
        <v>0</v>
      </c>
    </row>
    <row r="44" spans="3:49" ht="13.35" customHeight="1" x14ac:dyDescent="0.25">
      <c r="C44" s="336">
        <v>59</v>
      </c>
      <c r="D44" s="9">
        <f t="shared" si="1"/>
        <v>41</v>
      </c>
      <c r="E44" s="9">
        <f t="shared" si="30"/>
        <v>40</v>
      </c>
      <c r="F44" s="6">
        <f t="shared" si="31"/>
        <v>39</v>
      </c>
      <c r="G44" s="6">
        <f t="shared" si="33"/>
        <v>38</v>
      </c>
      <c r="H44" s="6">
        <f t="shared" si="33"/>
        <v>37</v>
      </c>
      <c r="I44" s="6">
        <f t="shared" si="33"/>
        <v>36</v>
      </c>
      <c r="J44" s="6">
        <f t="shared" si="33"/>
        <v>35</v>
      </c>
      <c r="K44" s="6">
        <f t="shared" si="33"/>
        <v>34</v>
      </c>
      <c r="L44" s="6">
        <f t="shared" si="33"/>
        <v>33</v>
      </c>
      <c r="M44" s="6">
        <f t="shared" si="33"/>
        <v>32</v>
      </c>
      <c r="N44" s="6">
        <f t="shared" si="33"/>
        <v>31</v>
      </c>
      <c r="O44" s="6">
        <f t="shared" si="33"/>
        <v>30</v>
      </c>
      <c r="P44" s="6">
        <f t="shared" si="33"/>
        <v>29</v>
      </c>
      <c r="Q44" s="6">
        <f t="shared" si="33"/>
        <v>28</v>
      </c>
      <c r="R44" s="6">
        <f t="shared" si="33"/>
        <v>27</v>
      </c>
      <c r="S44" s="6">
        <f t="shared" si="33"/>
        <v>26</v>
      </c>
      <c r="T44" s="6">
        <f t="shared" si="33"/>
        <v>25</v>
      </c>
      <c r="U44" s="6">
        <f t="shared" si="33"/>
        <v>24</v>
      </c>
      <c r="V44" s="6">
        <f t="shared" si="33"/>
        <v>23</v>
      </c>
      <c r="W44" s="6">
        <f t="shared" si="33"/>
        <v>22</v>
      </c>
      <c r="X44" s="6">
        <f t="shared" si="33"/>
        <v>21</v>
      </c>
      <c r="Y44" s="6">
        <f t="shared" si="33"/>
        <v>20</v>
      </c>
      <c r="Z44" s="6">
        <f t="shared" si="33"/>
        <v>19</v>
      </c>
      <c r="AA44" s="6">
        <f t="shared" si="33"/>
        <v>18</v>
      </c>
      <c r="AB44" s="6">
        <f t="shared" si="33"/>
        <v>17</v>
      </c>
      <c r="AC44" s="6">
        <f t="shared" si="33"/>
        <v>16</v>
      </c>
      <c r="AD44" s="6">
        <f t="shared" si="33"/>
        <v>15</v>
      </c>
      <c r="AE44" s="6">
        <f t="shared" si="33"/>
        <v>14</v>
      </c>
      <c r="AF44" s="6">
        <f t="shared" si="33"/>
        <v>13</v>
      </c>
      <c r="AG44" s="6">
        <f t="shared" si="33"/>
        <v>12</v>
      </c>
      <c r="AH44" s="6">
        <f t="shared" si="33"/>
        <v>11</v>
      </c>
      <c r="AI44" s="6">
        <f t="shared" si="33"/>
        <v>10</v>
      </c>
      <c r="AJ44" s="6">
        <f t="shared" si="33"/>
        <v>9</v>
      </c>
      <c r="AK44" s="6">
        <f t="shared" si="33"/>
        <v>8</v>
      </c>
      <c r="AL44" s="6">
        <f t="shared" si="33"/>
        <v>7</v>
      </c>
      <c r="AM44" s="6">
        <f t="shared" si="33"/>
        <v>6</v>
      </c>
      <c r="AN44" s="6">
        <f t="shared" si="33"/>
        <v>5</v>
      </c>
      <c r="AO44" s="6">
        <f t="shared" si="33"/>
        <v>4</v>
      </c>
      <c r="AP44" s="6">
        <f t="shared" si="33"/>
        <v>3</v>
      </c>
      <c r="AQ44" s="6">
        <f t="shared" si="33"/>
        <v>2</v>
      </c>
      <c r="AR44" s="6">
        <f t="shared" si="33"/>
        <v>1</v>
      </c>
      <c r="AS44" s="6">
        <f t="shared" si="33"/>
        <v>0</v>
      </c>
    </row>
    <row r="45" spans="3:49" ht="13.35" customHeight="1" x14ac:dyDescent="0.25">
      <c r="C45" s="336">
        <v>58</v>
      </c>
      <c r="D45" s="9">
        <f t="shared" si="1"/>
        <v>42</v>
      </c>
      <c r="E45" s="9">
        <f t="shared" si="30"/>
        <v>41</v>
      </c>
      <c r="F45" s="9">
        <f t="shared" si="31"/>
        <v>40</v>
      </c>
      <c r="G45" s="6">
        <f t="shared" si="33"/>
        <v>39</v>
      </c>
      <c r="H45" s="6">
        <f t="shared" si="33"/>
        <v>38</v>
      </c>
      <c r="I45" s="6">
        <f t="shared" si="33"/>
        <v>37</v>
      </c>
      <c r="J45" s="6">
        <f t="shared" si="33"/>
        <v>36</v>
      </c>
      <c r="K45" s="6">
        <f t="shared" si="33"/>
        <v>35</v>
      </c>
      <c r="L45" s="6">
        <f t="shared" si="33"/>
        <v>34</v>
      </c>
      <c r="M45" s="6">
        <f t="shared" si="33"/>
        <v>33</v>
      </c>
      <c r="N45" s="6">
        <f t="shared" si="33"/>
        <v>32</v>
      </c>
      <c r="O45" s="6">
        <f t="shared" si="33"/>
        <v>31</v>
      </c>
      <c r="P45" s="6">
        <f t="shared" si="33"/>
        <v>30</v>
      </c>
      <c r="Q45" s="6">
        <f t="shared" si="33"/>
        <v>29</v>
      </c>
      <c r="R45" s="6">
        <f t="shared" si="33"/>
        <v>28</v>
      </c>
      <c r="S45" s="6">
        <f t="shared" si="33"/>
        <v>27</v>
      </c>
      <c r="T45" s="6">
        <f t="shared" si="33"/>
        <v>26</v>
      </c>
      <c r="U45" s="6">
        <f t="shared" si="33"/>
        <v>25</v>
      </c>
      <c r="V45" s="6">
        <f t="shared" si="33"/>
        <v>24</v>
      </c>
      <c r="W45" s="6">
        <f t="shared" si="33"/>
        <v>23</v>
      </c>
      <c r="X45" s="6">
        <f t="shared" si="33"/>
        <v>22</v>
      </c>
      <c r="Y45" s="6">
        <f t="shared" si="33"/>
        <v>21</v>
      </c>
      <c r="Z45" s="6">
        <f t="shared" si="33"/>
        <v>20</v>
      </c>
      <c r="AA45" s="6">
        <f t="shared" si="33"/>
        <v>19</v>
      </c>
      <c r="AB45" s="6">
        <f t="shared" si="33"/>
        <v>18</v>
      </c>
      <c r="AC45" s="6">
        <f t="shared" si="33"/>
        <v>17</v>
      </c>
      <c r="AD45" s="6">
        <f t="shared" si="33"/>
        <v>16</v>
      </c>
      <c r="AE45" s="6">
        <f t="shared" si="33"/>
        <v>15</v>
      </c>
      <c r="AF45" s="6">
        <f t="shared" si="33"/>
        <v>14</v>
      </c>
      <c r="AG45" s="6">
        <f t="shared" si="33"/>
        <v>13</v>
      </c>
      <c r="AH45" s="6">
        <f t="shared" si="33"/>
        <v>12</v>
      </c>
      <c r="AI45" s="6">
        <f t="shared" si="33"/>
        <v>11</v>
      </c>
      <c r="AJ45" s="6">
        <f t="shared" si="33"/>
        <v>10</v>
      </c>
      <c r="AK45" s="6">
        <f t="shared" si="33"/>
        <v>9</v>
      </c>
      <c r="AL45" s="6">
        <f t="shared" si="33"/>
        <v>8</v>
      </c>
      <c r="AM45" s="6">
        <f t="shared" si="33"/>
        <v>7</v>
      </c>
      <c r="AN45" s="6">
        <f t="shared" si="33"/>
        <v>6</v>
      </c>
      <c r="AO45" s="6">
        <f t="shared" si="33"/>
        <v>5</v>
      </c>
      <c r="AP45" s="6">
        <f t="shared" si="33"/>
        <v>4</v>
      </c>
      <c r="AQ45" s="6">
        <f t="shared" si="33"/>
        <v>3</v>
      </c>
      <c r="AR45" s="6">
        <f t="shared" si="33"/>
        <v>2</v>
      </c>
      <c r="AS45" s="6">
        <f t="shared" si="33"/>
        <v>1</v>
      </c>
      <c r="AT45" s="6">
        <f t="shared" si="33"/>
        <v>0</v>
      </c>
    </row>
    <row r="46" spans="3:49" ht="13.35" customHeight="1" x14ac:dyDescent="0.25">
      <c r="C46" s="336">
        <v>57</v>
      </c>
      <c r="D46" s="9">
        <f t="shared" si="1"/>
        <v>43</v>
      </c>
      <c r="E46" s="9">
        <f t="shared" si="30"/>
        <v>42</v>
      </c>
      <c r="F46" s="9">
        <f t="shared" si="31"/>
        <v>41</v>
      </c>
      <c r="G46" s="9">
        <f t="shared" ref="G46:AX49" si="34">(G$103-$C46)</f>
        <v>40</v>
      </c>
      <c r="H46" s="6">
        <f t="shared" si="34"/>
        <v>39</v>
      </c>
      <c r="I46" s="6">
        <f t="shared" si="34"/>
        <v>38</v>
      </c>
      <c r="J46" s="6">
        <f t="shared" si="34"/>
        <v>37</v>
      </c>
      <c r="K46" s="6">
        <f t="shared" si="34"/>
        <v>36</v>
      </c>
      <c r="L46" s="6">
        <f t="shared" si="34"/>
        <v>35</v>
      </c>
      <c r="M46" s="6">
        <f t="shared" si="34"/>
        <v>34</v>
      </c>
      <c r="N46" s="6">
        <f t="shared" si="34"/>
        <v>33</v>
      </c>
      <c r="O46" s="6">
        <f t="shared" si="34"/>
        <v>32</v>
      </c>
      <c r="P46" s="6">
        <f t="shared" si="34"/>
        <v>31</v>
      </c>
      <c r="Q46" s="6">
        <f t="shared" si="34"/>
        <v>30</v>
      </c>
      <c r="R46" s="6">
        <f t="shared" si="34"/>
        <v>29</v>
      </c>
      <c r="S46" s="6">
        <f t="shared" si="34"/>
        <v>28</v>
      </c>
      <c r="T46" s="6">
        <f t="shared" si="34"/>
        <v>27</v>
      </c>
      <c r="U46" s="6">
        <f t="shared" si="34"/>
        <v>26</v>
      </c>
      <c r="V46" s="6">
        <f t="shared" si="34"/>
        <v>25</v>
      </c>
      <c r="W46" s="6">
        <f t="shared" si="34"/>
        <v>24</v>
      </c>
      <c r="X46" s="6">
        <f t="shared" si="34"/>
        <v>23</v>
      </c>
      <c r="Y46" s="6">
        <f t="shared" si="34"/>
        <v>22</v>
      </c>
      <c r="Z46" s="6">
        <f t="shared" si="34"/>
        <v>21</v>
      </c>
      <c r="AA46" s="6">
        <f t="shared" si="34"/>
        <v>20</v>
      </c>
      <c r="AB46" s="6">
        <f t="shared" si="34"/>
        <v>19</v>
      </c>
      <c r="AC46" s="6">
        <f t="shared" si="34"/>
        <v>18</v>
      </c>
      <c r="AD46" s="6">
        <f t="shared" si="34"/>
        <v>17</v>
      </c>
      <c r="AE46" s="6">
        <f t="shared" si="34"/>
        <v>16</v>
      </c>
      <c r="AF46" s="6">
        <f t="shared" si="34"/>
        <v>15</v>
      </c>
      <c r="AG46" s="6">
        <f t="shared" si="34"/>
        <v>14</v>
      </c>
      <c r="AH46" s="6">
        <f t="shared" si="34"/>
        <v>13</v>
      </c>
      <c r="AI46" s="6">
        <f t="shared" si="34"/>
        <v>12</v>
      </c>
      <c r="AJ46" s="6">
        <f t="shared" si="34"/>
        <v>11</v>
      </c>
      <c r="AK46" s="6">
        <f t="shared" si="34"/>
        <v>10</v>
      </c>
      <c r="AL46" s="6">
        <f t="shared" si="34"/>
        <v>9</v>
      </c>
      <c r="AM46" s="6">
        <f t="shared" si="34"/>
        <v>8</v>
      </c>
      <c r="AN46" s="6">
        <f t="shared" si="34"/>
        <v>7</v>
      </c>
      <c r="AO46" s="6">
        <f t="shared" si="34"/>
        <v>6</v>
      </c>
      <c r="AP46" s="6">
        <f t="shared" si="34"/>
        <v>5</v>
      </c>
      <c r="AQ46" s="6">
        <f t="shared" si="34"/>
        <v>4</v>
      </c>
      <c r="AR46" s="6">
        <f t="shared" si="34"/>
        <v>3</v>
      </c>
      <c r="AS46" s="6">
        <f t="shared" si="34"/>
        <v>2</v>
      </c>
      <c r="AT46" s="6">
        <f t="shared" si="34"/>
        <v>1</v>
      </c>
      <c r="AU46" s="6">
        <f t="shared" si="34"/>
        <v>0</v>
      </c>
    </row>
    <row r="47" spans="3:49" ht="13.35" customHeight="1" x14ac:dyDescent="0.25">
      <c r="C47" s="336">
        <v>56</v>
      </c>
      <c r="D47" s="9">
        <f t="shared" si="1"/>
        <v>44</v>
      </c>
      <c r="E47" s="9">
        <f t="shared" si="30"/>
        <v>43</v>
      </c>
      <c r="F47" s="9">
        <f t="shared" si="31"/>
        <v>42</v>
      </c>
      <c r="G47" s="9">
        <f t="shared" si="34"/>
        <v>41</v>
      </c>
      <c r="H47" s="9">
        <f t="shared" si="34"/>
        <v>40</v>
      </c>
      <c r="I47" s="6">
        <f t="shared" si="34"/>
        <v>39</v>
      </c>
      <c r="J47" s="6">
        <f t="shared" si="34"/>
        <v>38</v>
      </c>
      <c r="K47" s="6">
        <f t="shared" si="34"/>
        <v>37</v>
      </c>
      <c r="L47" s="6">
        <f t="shared" si="34"/>
        <v>36</v>
      </c>
      <c r="M47" s="6">
        <f t="shared" si="34"/>
        <v>35</v>
      </c>
      <c r="N47" s="6">
        <f t="shared" si="34"/>
        <v>34</v>
      </c>
      <c r="O47" s="6">
        <f t="shared" si="34"/>
        <v>33</v>
      </c>
      <c r="P47" s="6">
        <f t="shared" si="34"/>
        <v>32</v>
      </c>
      <c r="Q47" s="6">
        <f t="shared" si="34"/>
        <v>31</v>
      </c>
      <c r="R47" s="6">
        <f t="shared" si="34"/>
        <v>30</v>
      </c>
      <c r="S47" s="6">
        <f t="shared" si="34"/>
        <v>29</v>
      </c>
      <c r="T47" s="6">
        <f t="shared" si="34"/>
        <v>28</v>
      </c>
      <c r="U47" s="6">
        <f t="shared" si="34"/>
        <v>27</v>
      </c>
      <c r="V47" s="6">
        <f t="shared" si="34"/>
        <v>26</v>
      </c>
      <c r="W47" s="6">
        <f t="shared" si="34"/>
        <v>25</v>
      </c>
      <c r="X47" s="6">
        <f t="shared" si="34"/>
        <v>24</v>
      </c>
      <c r="Y47" s="6">
        <f t="shared" si="34"/>
        <v>23</v>
      </c>
      <c r="Z47" s="6">
        <f t="shared" si="34"/>
        <v>22</v>
      </c>
      <c r="AA47" s="6">
        <f t="shared" si="34"/>
        <v>21</v>
      </c>
      <c r="AB47" s="6">
        <f t="shared" si="34"/>
        <v>20</v>
      </c>
      <c r="AC47" s="6">
        <f t="shared" si="34"/>
        <v>19</v>
      </c>
      <c r="AD47" s="6">
        <f t="shared" si="34"/>
        <v>18</v>
      </c>
      <c r="AE47" s="6">
        <f t="shared" si="34"/>
        <v>17</v>
      </c>
      <c r="AF47" s="6">
        <f t="shared" si="34"/>
        <v>16</v>
      </c>
      <c r="AG47" s="6">
        <f t="shared" si="34"/>
        <v>15</v>
      </c>
      <c r="AH47" s="6">
        <f t="shared" si="34"/>
        <v>14</v>
      </c>
      <c r="AI47" s="6">
        <f t="shared" si="34"/>
        <v>13</v>
      </c>
      <c r="AJ47" s="6">
        <f t="shared" si="34"/>
        <v>12</v>
      </c>
      <c r="AK47" s="6">
        <f t="shared" si="34"/>
        <v>11</v>
      </c>
      <c r="AL47" s="6">
        <f t="shared" si="34"/>
        <v>10</v>
      </c>
      <c r="AM47" s="6">
        <f t="shared" si="34"/>
        <v>9</v>
      </c>
      <c r="AN47" s="6">
        <f t="shared" si="34"/>
        <v>8</v>
      </c>
      <c r="AO47" s="6">
        <f t="shared" si="34"/>
        <v>7</v>
      </c>
      <c r="AP47" s="6">
        <f t="shared" si="34"/>
        <v>6</v>
      </c>
      <c r="AQ47" s="6">
        <f t="shared" si="34"/>
        <v>5</v>
      </c>
      <c r="AR47" s="6">
        <f t="shared" si="34"/>
        <v>4</v>
      </c>
      <c r="AS47" s="6">
        <f t="shared" si="34"/>
        <v>3</v>
      </c>
      <c r="AT47" s="6">
        <f t="shared" si="34"/>
        <v>2</v>
      </c>
      <c r="AU47" s="6">
        <f t="shared" si="34"/>
        <v>1</v>
      </c>
      <c r="AV47" s="6">
        <f t="shared" si="34"/>
        <v>0</v>
      </c>
    </row>
    <row r="48" spans="3:49" ht="13.35" customHeight="1" x14ac:dyDescent="0.25">
      <c r="C48" s="336">
        <v>55</v>
      </c>
      <c r="D48" s="9">
        <f t="shared" si="1"/>
        <v>45</v>
      </c>
      <c r="E48" s="9">
        <f t="shared" si="30"/>
        <v>44</v>
      </c>
      <c r="F48" s="9">
        <f t="shared" si="31"/>
        <v>43</v>
      </c>
      <c r="G48" s="9">
        <f t="shared" si="34"/>
        <v>42</v>
      </c>
      <c r="H48" s="9">
        <f t="shared" si="34"/>
        <v>41</v>
      </c>
      <c r="I48" s="9">
        <f t="shared" si="34"/>
        <v>40</v>
      </c>
      <c r="J48" s="6">
        <f t="shared" si="34"/>
        <v>39</v>
      </c>
      <c r="K48" s="6">
        <f t="shared" si="34"/>
        <v>38</v>
      </c>
      <c r="L48" s="6">
        <f t="shared" si="34"/>
        <v>37</v>
      </c>
      <c r="M48" s="6">
        <f t="shared" si="34"/>
        <v>36</v>
      </c>
      <c r="N48" s="6">
        <f t="shared" si="34"/>
        <v>35</v>
      </c>
      <c r="O48" s="6">
        <f t="shared" si="34"/>
        <v>34</v>
      </c>
      <c r="P48" s="6">
        <f t="shared" si="34"/>
        <v>33</v>
      </c>
      <c r="Q48" s="6">
        <f t="shared" si="34"/>
        <v>32</v>
      </c>
      <c r="R48" s="6">
        <f t="shared" si="34"/>
        <v>31</v>
      </c>
      <c r="S48" s="6">
        <f t="shared" si="34"/>
        <v>30</v>
      </c>
      <c r="T48" s="6">
        <f t="shared" si="34"/>
        <v>29</v>
      </c>
      <c r="U48" s="6">
        <f t="shared" si="34"/>
        <v>28</v>
      </c>
      <c r="V48" s="6">
        <f t="shared" si="34"/>
        <v>27</v>
      </c>
      <c r="W48" s="6">
        <f t="shared" si="34"/>
        <v>26</v>
      </c>
      <c r="X48" s="6">
        <f t="shared" si="34"/>
        <v>25</v>
      </c>
      <c r="Y48" s="6">
        <f t="shared" si="34"/>
        <v>24</v>
      </c>
      <c r="Z48" s="6">
        <f t="shared" si="34"/>
        <v>23</v>
      </c>
      <c r="AA48" s="6">
        <f t="shared" si="34"/>
        <v>22</v>
      </c>
      <c r="AB48" s="6">
        <f t="shared" si="34"/>
        <v>21</v>
      </c>
      <c r="AC48" s="6">
        <f t="shared" si="34"/>
        <v>20</v>
      </c>
      <c r="AD48" s="6">
        <f t="shared" si="34"/>
        <v>19</v>
      </c>
      <c r="AE48" s="6">
        <f t="shared" si="34"/>
        <v>18</v>
      </c>
      <c r="AF48" s="6">
        <f t="shared" si="34"/>
        <v>17</v>
      </c>
      <c r="AG48" s="6">
        <f t="shared" si="34"/>
        <v>16</v>
      </c>
      <c r="AH48" s="6">
        <f t="shared" si="34"/>
        <v>15</v>
      </c>
      <c r="AI48" s="6">
        <f t="shared" si="34"/>
        <v>14</v>
      </c>
      <c r="AJ48" s="6">
        <f t="shared" si="34"/>
        <v>13</v>
      </c>
      <c r="AK48" s="6">
        <f t="shared" si="34"/>
        <v>12</v>
      </c>
      <c r="AL48" s="6">
        <f t="shared" si="34"/>
        <v>11</v>
      </c>
      <c r="AM48" s="6">
        <f t="shared" si="34"/>
        <v>10</v>
      </c>
      <c r="AN48" s="6">
        <f t="shared" si="34"/>
        <v>9</v>
      </c>
      <c r="AO48" s="6">
        <f t="shared" si="34"/>
        <v>8</v>
      </c>
      <c r="AP48" s="6">
        <f t="shared" si="34"/>
        <v>7</v>
      </c>
      <c r="AQ48" s="6">
        <f t="shared" si="34"/>
        <v>6</v>
      </c>
      <c r="AR48" s="6">
        <f t="shared" si="34"/>
        <v>5</v>
      </c>
      <c r="AS48" s="6">
        <f t="shared" si="34"/>
        <v>4</v>
      </c>
      <c r="AT48" s="6">
        <f t="shared" si="34"/>
        <v>3</v>
      </c>
      <c r="AU48" s="6">
        <f t="shared" si="34"/>
        <v>2</v>
      </c>
      <c r="AV48" s="6">
        <f t="shared" si="34"/>
        <v>1</v>
      </c>
      <c r="AW48" s="6">
        <f t="shared" si="34"/>
        <v>0</v>
      </c>
    </row>
    <row r="49" spans="3:65" ht="13.35" customHeight="1" x14ac:dyDescent="0.25">
      <c r="C49" s="336">
        <v>54</v>
      </c>
      <c r="D49" s="9">
        <f t="shared" si="1"/>
        <v>46</v>
      </c>
      <c r="E49" s="9">
        <f t="shared" si="30"/>
        <v>45</v>
      </c>
      <c r="F49" s="9">
        <f t="shared" si="31"/>
        <v>44</v>
      </c>
      <c r="G49" s="9">
        <f t="shared" si="34"/>
        <v>43</v>
      </c>
      <c r="H49" s="9">
        <f t="shared" si="34"/>
        <v>42</v>
      </c>
      <c r="I49" s="9">
        <f t="shared" si="34"/>
        <v>41</v>
      </c>
      <c r="J49" s="9">
        <f t="shared" si="34"/>
        <v>40</v>
      </c>
      <c r="K49" s="6">
        <f t="shared" si="34"/>
        <v>39</v>
      </c>
      <c r="L49" s="6">
        <f t="shared" si="34"/>
        <v>38</v>
      </c>
      <c r="M49" s="6">
        <f t="shared" si="34"/>
        <v>37</v>
      </c>
      <c r="N49" s="6">
        <f t="shared" si="34"/>
        <v>36</v>
      </c>
      <c r="O49" s="6">
        <f t="shared" si="34"/>
        <v>35</v>
      </c>
      <c r="P49" s="6">
        <f t="shared" si="34"/>
        <v>34</v>
      </c>
      <c r="Q49" s="6">
        <f t="shared" si="34"/>
        <v>33</v>
      </c>
      <c r="R49" s="6">
        <f t="shared" si="34"/>
        <v>32</v>
      </c>
      <c r="S49" s="6">
        <f t="shared" si="34"/>
        <v>31</v>
      </c>
      <c r="T49" s="6">
        <f t="shared" si="34"/>
        <v>30</v>
      </c>
      <c r="U49" s="6">
        <f t="shared" si="34"/>
        <v>29</v>
      </c>
      <c r="V49" s="6">
        <f t="shared" si="34"/>
        <v>28</v>
      </c>
      <c r="W49" s="6">
        <f t="shared" si="34"/>
        <v>27</v>
      </c>
      <c r="X49" s="6">
        <f t="shared" si="34"/>
        <v>26</v>
      </c>
      <c r="Y49" s="6">
        <f t="shared" si="34"/>
        <v>25</v>
      </c>
      <c r="Z49" s="6">
        <f t="shared" si="34"/>
        <v>24</v>
      </c>
      <c r="AA49" s="6">
        <f t="shared" si="34"/>
        <v>23</v>
      </c>
      <c r="AB49" s="6">
        <f t="shared" si="34"/>
        <v>22</v>
      </c>
      <c r="AC49" s="6">
        <f t="shared" si="34"/>
        <v>21</v>
      </c>
      <c r="AD49" s="6">
        <f t="shared" si="34"/>
        <v>20</v>
      </c>
      <c r="AE49" s="6">
        <f t="shared" si="34"/>
        <v>19</v>
      </c>
      <c r="AF49" s="6">
        <f t="shared" si="34"/>
        <v>18</v>
      </c>
      <c r="AG49" s="6">
        <f t="shared" si="34"/>
        <v>17</v>
      </c>
      <c r="AH49" s="6">
        <f t="shared" si="34"/>
        <v>16</v>
      </c>
      <c r="AI49" s="6">
        <f t="shared" si="34"/>
        <v>15</v>
      </c>
      <c r="AJ49" s="6">
        <f t="shared" si="34"/>
        <v>14</v>
      </c>
      <c r="AK49" s="6">
        <f t="shared" si="34"/>
        <v>13</v>
      </c>
      <c r="AL49" s="6">
        <f t="shared" si="34"/>
        <v>12</v>
      </c>
      <c r="AM49" s="6">
        <f t="shared" si="34"/>
        <v>11</v>
      </c>
      <c r="AN49" s="6">
        <f t="shared" si="34"/>
        <v>10</v>
      </c>
      <c r="AO49" s="6">
        <f t="shared" si="34"/>
        <v>9</v>
      </c>
      <c r="AP49" s="6">
        <f t="shared" si="34"/>
        <v>8</v>
      </c>
      <c r="AQ49" s="6">
        <f t="shared" si="34"/>
        <v>7</v>
      </c>
      <c r="AR49" s="6">
        <f t="shared" si="34"/>
        <v>6</v>
      </c>
      <c r="AS49" s="6">
        <f t="shared" si="34"/>
        <v>5</v>
      </c>
      <c r="AT49" s="6">
        <f t="shared" si="34"/>
        <v>4</v>
      </c>
      <c r="AU49" s="6">
        <f t="shared" si="34"/>
        <v>3</v>
      </c>
      <c r="AV49" s="6">
        <f t="shared" si="34"/>
        <v>2</v>
      </c>
      <c r="AW49" s="6">
        <f t="shared" si="34"/>
        <v>1</v>
      </c>
      <c r="AX49" s="1">
        <f t="shared" si="34"/>
        <v>0</v>
      </c>
    </row>
    <row r="50" spans="3:65" ht="13.35" customHeight="1" x14ac:dyDescent="0.25">
      <c r="C50" s="336">
        <v>53</v>
      </c>
      <c r="D50" s="9">
        <f t="shared" si="1"/>
        <v>47</v>
      </c>
      <c r="E50" s="9">
        <f t="shared" si="30"/>
        <v>46</v>
      </c>
      <c r="F50" s="9">
        <f t="shared" si="31"/>
        <v>45</v>
      </c>
      <c r="G50" s="9">
        <f t="shared" ref="G50:BB53" si="35">(G$103-$C50)</f>
        <v>44</v>
      </c>
      <c r="H50" s="9">
        <f t="shared" si="35"/>
        <v>43</v>
      </c>
      <c r="I50" s="9">
        <f t="shared" si="35"/>
        <v>42</v>
      </c>
      <c r="J50" s="9">
        <f t="shared" si="35"/>
        <v>41</v>
      </c>
      <c r="K50" s="9">
        <f t="shared" si="35"/>
        <v>40</v>
      </c>
      <c r="L50" s="6">
        <f t="shared" si="35"/>
        <v>39</v>
      </c>
      <c r="M50" s="6">
        <f t="shared" si="35"/>
        <v>38</v>
      </c>
      <c r="N50" s="6">
        <f t="shared" si="35"/>
        <v>37</v>
      </c>
      <c r="O50" s="6">
        <f t="shared" si="35"/>
        <v>36</v>
      </c>
      <c r="P50" s="6">
        <f t="shared" si="35"/>
        <v>35</v>
      </c>
      <c r="Q50" s="6">
        <f t="shared" si="35"/>
        <v>34</v>
      </c>
      <c r="R50" s="6">
        <f t="shared" si="35"/>
        <v>33</v>
      </c>
      <c r="S50" s="6">
        <f t="shared" si="35"/>
        <v>32</v>
      </c>
      <c r="T50" s="6">
        <f t="shared" si="35"/>
        <v>31</v>
      </c>
      <c r="U50" s="6">
        <f t="shared" si="35"/>
        <v>30</v>
      </c>
      <c r="V50" s="6">
        <f t="shared" si="35"/>
        <v>29</v>
      </c>
      <c r="W50" s="6">
        <f t="shared" si="35"/>
        <v>28</v>
      </c>
      <c r="X50" s="6">
        <f t="shared" si="35"/>
        <v>27</v>
      </c>
      <c r="Y50" s="6">
        <f t="shared" si="35"/>
        <v>26</v>
      </c>
      <c r="Z50" s="6">
        <f t="shared" si="35"/>
        <v>25</v>
      </c>
      <c r="AA50" s="6">
        <f t="shared" si="35"/>
        <v>24</v>
      </c>
      <c r="AB50" s="6">
        <f t="shared" si="35"/>
        <v>23</v>
      </c>
      <c r="AC50" s="6">
        <f t="shared" si="35"/>
        <v>22</v>
      </c>
      <c r="AD50" s="6">
        <f t="shared" si="35"/>
        <v>21</v>
      </c>
      <c r="AE50" s="6">
        <f t="shared" si="35"/>
        <v>20</v>
      </c>
      <c r="AF50" s="6">
        <f t="shared" si="35"/>
        <v>19</v>
      </c>
      <c r="AG50" s="6">
        <f t="shared" si="35"/>
        <v>18</v>
      </c>
      <c r="AH50" s="6">
        <f t="shared" si="35"/>
        <v>17</v>
      </c>
      <c r="AI50" s="6">
        <f t="shared" si="35"/>
        <v>16</v>
      </c>
      <c r="AJ50" s="6">
        <f t="shared" si="35"/>
        <v>15</v>
      </c>
      <c r="AK50" s="6">
        <f t="shared" si="35"/>
        <v>14</v>
      </c>
      <c r="AL50" s="6">
        <f t="shared" si="35"/>
        <v>13</v>
      </c>
      <c r="AM50" s="6">
        <f t="shared" si="35"/>
        <v>12</v>
      </c>
      <c r="AN50" s="6">
        <f t="shared" si="35"/>
        <v>11</v>
      </c>
      <c r="AO50" s="6">
        <f t="shared" si="35"/>
        <v>10</v>
      </c>
      <c r="AP50" s="6">
        <f t="shared" si="35"/>
        <v>9</v>
      </c>
      <c r="AQ50" s="6">
        <f t="shared" si="35"/>
        <v>8</v>
      </c>
      <c r="AR50" s="6">
        <f t="shared" si="35"/>
        <v>7</v>
      </c>
      <c r="AS50" s="6">
        <f t="shared" si="35"/>
        <v>6</v>
      </c>
      <c r="AT50" s="6">
        <f t="shared" si="35"/>
        <v>5</v>
      </c>
      <c r="AU50" s="6">
        <f t="shared" si="35"/>
        <v>4</v>
      </c>
      <c r="AV50" s="6">
        <f t="shared" si="35"/>
        <v>3</v>
      </c>
      <c r="AW50" s="6">
        <f t="shared" si="35"/>
        <v>2</v>
      </c>
      <c r="AX50" s="1">
        <f t="shared" si="35"/>
        <v>1</v>
      </c>
      <c r="AY50" s="1">
        <f t="shared" si="35"/>
        <v>0</v>
      </c>
    </row>
    <row r="51" spans="3:65" ht="13.35" customHeight="1" x14ac:dyDescent="0.25">
      <c r="C51" s="336">
        <v>52</v>
      </c>
      <c r="D51" s="9">
        <f t="shared" si="1"/>
        <v>48</v>
      </c>
      <c r="E51" s="9">
        <f t="shared" si="30"/>
        <v>47</v>
      </c>
      <c r="F51" s="9">
        <f t="shared" si="31"/>
        <v>46</v>
      </c>
      <c r="G51" s="9">
        <f t="shared" si="35"/>
        <v>45</v>
      </c>
      <c r="H51" s="9">
        <f t="shared" si="35"/>
        <v>44</v>
      </c>
      <c r="I51" s="9">
        <f t="shared" si="35"/>
        <v>43</v>
      </c>
      <c r="J51" s="9">
        <f t="shared" si="35"/>
        <v>42</v>
      </c>
      <c r="K51" s="9">
        <f t="shared" si="35"/>
        <v>41</v>
      </c>
      <c r="L51" s="9">
        <f t="shared" si="35"/>
        <v>40</v>
      </c>
      <c r="M51" s="6">
        <f t="shared" si="35"/>
        <v>39</v>
      </c>
      <c r="N51" s="6">
        <f t="shared" si="35"/>
        <v>38</v>
      </c>
      <c r="O51" s="6">
        <f t="shared" si="35"/>
        <v>37</v>
      </c>
      <c r="P51" s="6">
        <f t="shared" si="35"/>
        <v>36</v>
      </c>
      <c r="Q51" s="6">
        <f t="shared" si="35"/>
        <v>35</v>
      </c>
      <c r="R51" s="6">
        <f t="shared" si="35"/>
        <v>34</v>
      </c>
      <c r="S51" s="6">
        <f t="shared" si="35"/>
        <v>33</v>
      </c>
      <c r="T51" s="6">
        <f t="shared" si="35"/>
        <v>32</v>
      </c>
      <c r="U51" s="6">
        <f t="shared" si="35"/>
        <v>31</v>
      </c>
      <c r="V51" s="6">
        <f t="shared" si="35"/>
        <v>30</v>
      </c>
      <c r="W51" s="6">
        <f t="shared" si="35"/>
        <v>29</v>
      </c>
      <c r="X51" s="6">
        <f t="shared" si="35"/>
        <v>28</v>
      </c>
      <c r="Y51" s="6">
        <f t="shared" si="35"/>
        <v>27</v>
      </c>
      <c r="Z51" s="6">
        <f t="shared" si="35"/>
        <v>26</v>
      </c>
      <c r="AA51" s="6">
        <f t="shared" si="35"/>
        <v>25</v>
      </c>
      <c r="AB51" s="6">
        <f t="shared" si="35"/>
        <v>24</v>
      </c>
      <c r="AC51" s="6">
        <f t="shared" si="35"/>
        <v>23</v>
      </c>
      <c r="AD51" s="6">
        <f t="shared" si="35"/>
        <v>22</v>
      </c>
      <c r="AE51" s="6">
        <f t="shared" si="35"/>
        <v>21</v>
      </c>
      <c r="AF51" s="6">
        <f t="shared" si="35"/>
        <v>20</v>
      </c>
      <c r="AG51" s="6">
        <f t="shared" si="35"/>
        <v>19</v>
      </c>
      <c r="AH51" s="6">
        <f t="shared" si="35"/>
        <v>18</v>
      </c>
      <c r="AI51" s="6">
        <f t="shared" si="35"/>
        <v>17</v>
      </c>
      <c r="AJ51" s="6">
        <f t="shared" si="35"/>
        <v>16</v>
      </c>
      <c r="AK51" s="6">
        <f t="shared" si="35"/>
        <v>15</v>
      </c>
      <c r="AL51" s="6">
        <f t="shared" si="35"/>
        <v>14</v>
      </c>
      <c r="AM51" s="6">
        <f t="shared" si="35"/>
        <v>13</v>
      </c>
      <c r="AN51" s="6">
        <f t="shared" si="35"/>
        <v>12</v>
      </c>
      <c r="AO51" s="6">
        <f t="shared" si="35"/>
        <v>11</v>
      </c>
      <c r="AP51" s="6">
        <f t="shared" si="35"/>
        <v>10</v>
      </c>
      <c r="AQ51" s="6">
        <f t="shared" si="35"/>
        <v>9</v>
      </c>
      <c r="AR51" s="6">
        <f t="shared" si="35"/>
        <v>8</v>
      </c>
      <c r="AS51" s="6">
        <f t="shared" si="35"/>
        <v>7</v>
      </c>
      <c r="AT51" s="6">
        <f t="shared" si="35"/>
        <v>6</v>
      </c>
      <c r="AU51" s="6">
        <f t="shared" si="35"/>
        <v>5</v>
      </c>
      <c r="AV51" s="6">
        <f t="shared" si="35"/>
        <v>4</v>
      </c>
      <c r="AW51" s="6">
        <f t="shared" si="35"/>
        <v>3</v>
      </c>
      <c r="AX51" s="1">
        <f t="shared" si="35"/>
        <v>2</v>
      </c>
      <c r="AY51" s="1">
        <f t="shared" si="35"/>
        <v>1</v>
      </c>
      <c r="AZ51" s="1">
        <f t="shared" si="35"/>
        <v>0</v>
      </c>
    </row>
    <row r="52" spans="3:65" ht="13.35" customHeight="1" x14ac:dyDescent="0.25">
      <c r="C52" s="336">
        <v>51</v>
      </c>
      <c r="D52" s="9">
        <f t="shared" si="1"/>
        <v>49</v>
      </c>
      <c r="E52" s="9">
        <f t="shared" si="30"/>
        <v>48</v>
      </c>
      <c r="F52" s="9">
        <f t="shared" si="31"/>
        <v>47</v>
      </c>
      <c r="G52" s="9">
        <f t="shared" si="35"/>
        <v>46</v>
      </c>
      <c r="H52" s="9">
        <f t="shared" si="35"/>
        <v>45</v>
      </c>
      <c r="I52" s="9">
        <f t="shared" si="35"/>
        <v>44</v>
      </c>
      <c r="J52" s="9">
        <f t="shared" si="35"/>
        <v>43</v>
      </c>
      <c r="K52" s="9">
        <f t="shared" si="35"/>
        <v>42</v>
      </c>
      <c r="L52" s="9">
        <f t="shared" si="35"/>
        <v>41</v>
      </c>
      <c r="M52" s="9">
        <f t="shared" si="35"/>
        <v>40</v>
      </c>
      <c r="N52" s="6">
        <f t="shared" si="35"/>
        <v>39</v>
      </c>
      <c r="O52" s="6">
        <f t="shared" si="35"/>
        <v>38</v>
      </c>
      <c r="P52" s="6">
        <f t="shared" si="35"/>
        <v>37</v>
      </c>
      <c r="Q52" s="6">
        <f t="shared" si="35"/>
        <v>36</v>
      </c>
      <c r="R52" s="6">
        <f t="shared" si="35"/>
        <v>35</v>
      </c>
      <c r="S52" s="6">
        <f t="shared" si="35"/>
        <v>34</v>
      </c>
      <c r="T52" s="6">
        <f t="shared" si="35"/>
        <v>33</v>
      </c>
      <c r="U52" s="6">
        <f t="shared" si="35"/>
        <v>32</v>
      </c>
      <c r="V52" s="6">
        <f t="shared" si="35"/>
        <v>31</v>
      </c>
      <c r="W52" s="6">
        <f t="shared" si="35"/>
        <v>30</v>
      </c>
      <c r="X52" s="6">
        <f t="shared" si="35"/>
        <v>29</v>
      </c>
      <c r="Y52" s="6">
        <f t="shared" si="35"/>
        <v>28</v>
      </c>
      <c r="Z52" s="6">
        <f t="shared" si="35"/>
        <v>27</v>
      </c>
      <c r="AA52" s="6">
        <f t="shared" si="35"/>
        <v>26</v>
      </c>
      <c r="AB52" s="6">
        <f t="shared" si="35"/>
        <v>25</v>
      </c>
      <c r="AC52" s="6">
        <f t="shared" si="35"/>
        <v>24</v>
      </c>
      <c r="AD52" s="6">
        <f t="shared" si="35"/>
        <v>23</v>
      </c>
      <c r="AE52" s="6">
        <f t="shared" si="35"/>
        <v>22</v>
      </c>
      <c r="AF52" s="6">
        <f t="shared" si="35"/>
        <v>21</v>
      </c>
      <c r="AG52" s="6">
        <f t="shared" si="35"/>
        <v>20</v>
      </c>
      <c r="AH52" s="6">
        <f t="shared" si="35"/>
        <v>19</v>
      </c>
      <c r="AI52" s="6">
        <f t="shared" si="35"/>
        <v>18</v>
      </c>
      <c r="AJ52" s="6">
        <f t="shared" si="35"/>
        <v>17</v>
      </c>
      <c r="AK52" s="6">
        <f t="shared" si="35"/>
        <v>16</v>
      </c>
      <c r="AL52" s="6">
        <f t="shared" si="35"/>
        <v>15</v>
      </c>
      <c r="AM52" s="6">
        <f t="shared" si="35"/>
        <v>14</v>
      </c>
      <c r="AN52" s="6">
        <f t="shared" si="35"/>
        <v>13</v>
      </c>
      <c r="AO52" s="6">
        <f t="shared" si="35"/>
        <v>12</v>
      </c>
      <c r="AP52" s="6">
        <f t="shared" si="35"/>
        <v>11</v>
      </c>
      <c r="AQ52" s="6">
        <f t="shared" si="35"/>
        <v>10</v>
      </c>
      <c r="AR52" s="6">
        <f t="shared" si="35"/>
        <v>9</v>
      </c>
      <c r="AS52" s="6">
        <f t="shared" si="35"/>
        <v>8</v>
      </c>
      <c r="AT52" s="6">
        <f t="shared" si="35"/>
        <v>7</v>
      </c>
      <c r="AU52" s="6">
        <f t="shared" si="35"/>
        <v>6</v>
      </c>
      <c r="AV52" s="6">
        <f t="shared" si="35"/>
        <v>5</v>
      </c>
      <c r="AW52" s="6">
        <f t="shared" si="35"/>
        <v>4</v>
      </c>
      <c r="AX52" s="1">
        <f t="shared" si="35"/>
        <v>3</v>
      </c>
      <c r="AY52" s="1">
        <f t="shared" si="35"/>
        <v>2</v>
      </c>
      <c r="AZ52" s="1">
        <f t="shared" si="35"/>
        <v>1</v>
      </c>
      <c r="BA52" s="1">
        <f t="shared" si="35"/>
        <v>0</v>
      </c>
    </row>
    <row r="53" spans="3:65" ht="13.35" customHeight="1" x14ac:dyDescent="0.25">
      <c r="C53" s="336">
        <v>50</v>
      </c>
      <c r="D53" s="9">
        <f t="shared" si="1"/>
        <v>50</v>
      </c>
      <c r="E53" s="9">
        <f t="shared" si="30"/>
        <v>49</v>
      </c>
      <c r="F53" s="9">
        <f t="shared" si="31"/>
        <v>48</v>
      </c>
      <c r="G53" s="9">
        <f t="shared" si="35"/>
        <v>47</v>
      </c>
      <c r="H53" s="9">
        <f t="shared" si="35"/>
        <v>46</v>
      </c>
      <c r="I53" s="9">
        <f t="shared" si="35"/>
        <v>45</v>
      </c>
      <c r="J53" s="9">
        <f t="shared" si="35"/>
        <v>44</v>
      </c>
      <c r="K53" s="9">
        <f t="shared" si="35"/>
        <v>43</v>
      </c>
      <c r="L53" s="9">
        <f t="shared" si="35"/>
        <v>42</v>
      </c>
      <c r="M53" s="9">
        <f t="shared" si="35"/>
        <v>41</v>
      </c>
      <c r="N53" s="9">
        <f t="shared" si="35"/>
        <v>40</v>
      </c>
      <c r="O53" s="6">
        <f t="shared" si="35"/>
        <v>39</v>
      </c>
      <c r="P53" s="6">
        <f t="shared" si="35"/>
        <v>38</v>
      </c>
      <c r="Q53" s="6">
        <f t="shared" si="35"/>
        <v>37</v>
      </c>
      <c r="R53" s="6">
        <f t="shared" si="35"/>
        <v>36</v>
      </c>
      <c r="S53" s="6">
        <f t="shared" si="35"/>
        <v>35</v>
      </c>
      <c r="T53" s="6">
        <f t="shared" si="35"/>
        <v>34</v>
      </c>
      <c r="U53" s="6">
        <f t="shared" si="35"/>
        <v>33</v>
      </c>
      <c r="V53" s="6">
        <f t="shared" si="35"/>
        <v>32</v>
      </c>
      <c r="W53" s="6">
        <f t="shared" si="35"/>
        <v>31</v>
      </c>
      <c r="X53" s="6">
        <f t="shared" si="35"/>
        <v>30</v>
      </c>
      <c r="Y53" s="6">
        <f t="shared" si="35"/>
        <v>29</v>
      </c>
      <c r="Z53" s="6">
        <f t="shared" si="35"/>
        <v>28</v>
      </c>
      <c r="AA53" s="6">
        <f t="shared" si="35"/>
        <v>27</v>
      </c>
      <c r="AB53" s="6">
        <f t="shared" si="35"/>
        <v>26</v>
      </c>
      <c r="AC53" s="6">
        <f t="shared" si="35"/>
        <v>25</v>
      </c>
      <c r="AD53" s="6">
        <f t="shared" si="35"/>
        <v>24</v>
      </c>
      <c r="AE53" s="6">
        <f t="shared" si="35"/>
        <v>23</v>
      </c>
      <c r="AF53" s="6">
        <f t="shared" si="35"/>
        <v>22</v>
      </c>
      <c r="AG53" s="6">
        <f t="shared" si="35"/>
        <v>21</v>
      </c>
      <c r="AH53" s="6">
        <f t="shared" si="35"/>
        <v>20</v>
      </c>
      <c r="AI53" s="6">
        <f t="shared" si="35"/>
        <v>19</v>
      </c>
      <c r="AJ53" s="6">
        <f t="shared" si="35"/>
        <v>18</v>
      </c>
      <c r="AK53" s="6">
        <f t="shared" si="35"/>
        <v>17</v>
      </c>
      <c r="AL53" s="6">
        <f t="shared" si="35"/>
        <v>16</v>
      </c>
      <c r="AM53" s="6">
        <f t="shared" si="35"/>
        <v>15</v>
      </c>
      <c r="AN53" s="6">
        <f t="shared" si="35"/>
        <v>14</v>
      </c>
      <c r="AO53" s="6">
        <f t="shared" si="35"/>
        <v>13</v>
      </c>
      <c r="AP53" s="6">
        <f t="shared" si="35"/>
        <v>12</v>
      </c>
      <c r="AQ53" s="6">
        <f t="shared" si="35"/>
        <v>11</v>
      </c>
      <c r="AR53" s="6">
        <f t="shared" si="35"/>
        <v>10</v>
      </c>
      <c r="AS53" s="6">
        <f t="shared" si="35"/>
        <v>9</v>
      </c>
      <c r="AT53" s="6">
        <f t="shared" si="35"/>
        <v>8</v>
      </c>
      <c r="AU53" s="6">
        <f t="shared" si="35"/>
        <v>7</v>
      </c>
      <c r="AV53" s="6">
        <f t="shared" si="35"/>
        <v>6</v>
      </c>
      <c r="AW53" s="6">
        <f t="shared" si="35"/>
        <v>5</v>
      </c>
      <c r="AX53" s="1">
        <f t="shared" si="35"/>
        <v>4</v>
      </c>
      <c r="AY53" s="1">
        <f t="shared" si="35"/>
        <v>3</v>
      </c>
      <c r="AZ53" s="1">
        <f t="shared" si="35"/>
        <v>2</v>
      </c>
      <c r="BA53" s="1">
        <f t="shared" si="35"/>
        <v>1</v>
      </c>
      <c r="BB53" s="1">
        <f t="shared" si="35"/>
        <v>0</v>
      </c>
    </row>
    <row r="54" spans="3:65" ht="13.35" customHeight="1" x14ac:dyDescent="0.25">
      <c r="C54" s="336">
        <v>49</v>
      </c>
      <c r="D54" s="9">
        <f t="shared" si="1"/>
        <v>51</v>
      </c>
      <c r="E54" s="9">
        <f t="shared" si="30"/>
        <v>50</v>
      </c>
      <c r="F54" s="9">
        <f t="shared" si="31"/>
        <v>49</v>
      </c>
      <c r="G54" s="9">
        <f t="shared" ref="G54:BF57" si="36">(G$103-$C54)</f>
        <v>48</v>
      </c>
      <c r="H54" s="9">
        <f t="shared" si="36"/>
        <v>47</v>
      </c>
      <c r="I54" s="9">
        <f t="shared" si="36"/>
        <v>46</v>
      </c>
      <c r="J54" s="9">
        <f t="shared" si="36"/>
        <v>45</v>
      </c>
      <c r="K54" s="9">
        <f t="shared" si="36"/>
        <v>44</v>
      </c>
      <c r="L54" s="9">
        <f t="shared" si="36"/>
        <v>43</v>
      </c>
      <c r="M54" s="9">
        <f t="shared" si="36"/>
        <v>42</v>
      </c>
      <c r="N54" s="9">
        <f t="shared" si="36"/>
        <v>41</v>
      </c>
      <c r="O54" s="9">
        <f t="shared" si="36"/>
        <v>40</v>
      </c>
      <c r="P54" s="6">
        <f t="shared" si="36"/>
        <v>39</v>
      </c>
      <c r="Q54" s="6">
        <f t="shared" si="36"/>
        <v>38</v>
      </c>
      <c r="R54" s="6">
        <f t="shared" si="36"/>
        <v>37</v>
      </c>
      <c r="S54" s="6">
        <f t="shared" si="36"/>
        <v>36</v>
      </c>
      <c r="T54" s="6">
        <f t="shared" si="36"/>
        <v>35</v>
      </c>
      <c r="U54" s="6">
        <f t="shared" si="36"/>
        <v>34</v>
      </c>
      <c r="V54" s="6">
        <f t="shared" si="36"/>
        <v>33</v>
      </c>
      <c r="W54" s="6">
        <f t="shared" si="36"/>
        <v>32</v>
      </c>
      <c r="X54" s="6">
        <f t="shared" si="36"/>
        <v>31</v>
      </c>
      <c r="Y54" s="6">
        <f t="shared" si="36"/>
        <v>30</v>
      </c>
      <c r="Z54" s="6">
        <f t="shared" si="36"/>
        <v>29</v>
      </c>
      <c r="AA54" s="6">
        <f t="shared" si="36"/>
        <v>28</v>
      </c>
      <c r="AB54" s="6">
        <f t="shared" si="36"/>
        <v>27</v>
      </c>
      <c r="AC54" s="6">
        <f t="shared" si="36"/>
        <v>26</v>
      </c>
      <c r="AD54" s="6">
        <f t="shared" si="36"/>
        <v>25</v>
      </c>
      <c r="AE54" s="6">
        <f t="shared" si="36"/>
        <v>24</v>
      </c>
      <c r="AF54" s="6">
        <f t="shared" si="36"/>
        <v>23</v>
      </c>
      <c r="AG54" s="6">
        <f t="shared" si="36"/>
        <v>22</v>
      </c>
      <c r="AH54" s="6">
        <f t="shared" si="36"/>
        <v>21</v>
      </c>
      <c r="AI54" s="6">
        <f t="shared" si="36"/>
        <v>20</v>
      </c>
      <c r="AJ54" s="6">
        <f t="shared" si="36"/>
        <v>19</v>
      </c>
      <c r="AK54" s="6">
        <f t="shared" si="36"/>
        <v>18</v>
      </c>
      <c r="AL54" s="6">
        <f t="shared" si="36"/>
        <v>17</v>
      </c>
      <c r="AM54" s="6">
        <f t="shared" si="36"/>
        <v>16</v>
      </c>
      <c r="AN54" s="6">
        <f t="shared" si="36"/>
        <v>15</v>
      </c>
      <c r="AO54" s="6">
        <f t="shared" si="36"/>
        <v>14</v>
      </c>
      <c r="AP54" s="6">
        <f t="shared" si="36"/>
        <v>13</v>
      </c>
      <c r="AQ54" s="6">
        <f t="shared" si="36"/>
        <v>12</v>
      </c>
      <c r="AR54" s="6">
        <f t="shared" si="36"/>
        <v>11</v>
      </c>
      <c r="AS54" s="6">
        <f t="shared" si="36"/>
        <v>10</v>
      </c>
      <c r="AT54" s="6">
        <f t="shared" si="36"/>
        <v>9</v>
      </c>
      <c r="AU54" s="6">
        <f t="shared" si="36"/>
        <v>8</v>
      </c>
      <c r="AV54" s="6">
        <f t="shared" si="36"/>
        <v>7</v>
      </c>
      <c r="AW54" s="6">
        <f t="shared" si="36"/>
        <v>6</v>
      </c>
      <c r="AX54" s="1">
        <f t="shared" si="36"/>
        <v>5</v>
      </c>
      <c r="AY54" s="1">
        <f t="shared" si="36"/>
        <v>4</v>
      </c>
      <c r="AZ54" s="1">
        <f t="shared" si="36"/>
        <v>3</v>
      </c>
      <c r="BA54" s="1">
        <f t="shared" si="36"/>
        <v>2</v>
      </c>
      <c r="BB54" s="1">
        <f t="shared" si="36"/>
        <v>1</v>
      </c>
      <c r="BC54" s="1">
        <f t="shared" si="36"/>
        <v>0</v>
      </c>
    </row>
    <row r="55" spans="3:65" ht="13.35" customHeight="1" x14ac:dyDescent="0.25">
      <c r="C55" s="336">
        <v>48</v>
      </c>
      <c r="D55" s="9">
        <f t="shared" si="1"/>
        <v>52</v>
      </c>
      <c r="E55" s="9">
        <f t="shared" si="30"/>
        <v>51</v>
      </c>
      <c r="F55" s="9">
        <f t="shared" si="31"/>
        <v>50</v>
      </c>
      <c r="G55" s="9">
        <f t="shared" si="36"/>
        <v>49</v>
      </c>
      <c r="H55" s="9">
        <f t="shared" si="36"/>
        <v>48</v>
      </c>
      <c r="I55" s="9">
        <f t="shared" si="36"/>
        <v>47</v>
      </c>
      <c r="J55" s="9">
        <f t="shared" si="36"/>
        <v>46</v>
      </c>
      <c r="K55" s="9">
        <f t="shared" si="36"/>
        <v>45</v>
      </c>
      <c r="L55" s="9">
        <f t="shared" si="36"/>
        <v>44</v>
      </c>
      <c r="M55" s="9">
        <f t="shared" si="36"/>
        <v>43</v>
      </c>
      <c r="N55" s="9">
        <f t="shared" si="36"/>
        <v>42</v>
      </c>
      <c r="O55" s="9">
        <f t="shared" si="36"/>
        <v>41</v>
      </c>
      <c r="P55" s="9">
        <f t="shared" si="36"/>
        <v>40</v>
      </c>
      <c r="Q55" s="6">
        <f t="shared" si="36"/>
        <v>39</v>
      </c>
      <c r="R55" s="6">
        <f t="shared" si="36"/>
        <v>38</v>
      </c>
      <c r="S55" s="6">
        <f t="shared" si="36"/>
        <v>37</v>
      </c>
      <c r="T55" s="6">
        <f t="shared" si="36"/>
        <v>36</v>
      </c>
      <c r="U55" s="6">
        <f t="shared" si="36"/>
        <v>35</v>
      </c>
      <c r="V55" s="6">
        <f t="shared" si="36"/>
        <v>34</v>
      </c>
      <c r="W55" s="6">
        <f t="shared" si="36"/>
        <v>33</v>
      </c>
      <c r="X55" s="6">
        <f t="shared" si="36"/>
        <v>32</v>
      </c>
      <c r="Y55" s="6">
        <f t="shared" si="36"/>
        <v>31</v>
      </c>
      <c r="Z55" s="6">
        <f t="shared" si="36"/>
        <v>30</v>
      </c>
      <c r="AA55" s="6">
        <f t="shared" si="36"/>
        <v>29</v>
      </c>
      <c r="AB55" s="6">
        <f t="shared" si="36"/>
        <v>28</v>
      </c>
      <c r="AC55" s="6">
        <f t="shared" si="36"/>
        <v>27</v>
      </c>
      <c r="AD55" s="6">
        <f t="shared" si="36"/>
        <v>26</v>
      </c>
      <c r="AE55" s="6">
        <f t="shared" si="36"/>
        <v>25</v>
      </c>
      <c r="AF55" s="6">
        <f t="shared" si="36"/>
        <v>24</v>
      </c>
      <c r="AG55" s="6">
        <f t="shared" si="36"/>
        <v>23</v>
      </c>
      <c r="AH55" s="6">
        <f t="shared" si="36"/>
        <v>22</v>
      </c>
      <c r="AI55" s="6">
        <f t="shared" si="36"/>
        <v>21</v>
      </c>
      <c r="AJ55" s="6">
        <f t="shared" si="36"/>
        <v>20</v>
      </c>
      <c r="AK55" s="6">
        <f t="shared" si="36"/>
        <v>19</v>
      </c>
      <c r="AL55" s="6">
        <f t="shared" si="36"/>
        <v>18</v>
      </c>
      <c r="AM55" s="6">
        <f t="shared" si="36"/>
        <v>17</v>
      </c>
      <c r="AN55" s="6">
        <f t="shared" si="36"/>
        <v>16</v>
      </c>
      <c r="AO55" s="6">
        <f t="shared" si="36"/>
        <v>15</v>
      </c>
      <c r="AP55" s="6">
        <f t="shared" si="36"/>
        <v>14</v>
      </c>
      <c r="AQ55" s="6">
        <f t="shared" si="36"/>
        <v>13</v>
      </c>
      <c r="AR55" s="6">
        <f t="shared" si="36"/>
        <v>12</v>
      </c>
      <c r="AS55" s="6">
        <f t="shared" si="36"/>
        <v>11</v>
      </c>
      <c r="AT55" s="6">
        <f t="shared" si="36"/>
        <v>10</v>
      </c>
      <c r="AU55" s="6">
        <f t="shared" si="36"/>
        <v>9</v>
      </c>
      <c r="AV55" s="6">
        <f t="shared" si="36"/>
        <v>8</v>
      </c>
      <c r="AW55" s="6">
        <f t="shared" si="36"/>
        <v>7</v>
      </c>
      <c r="AX55" s="1">
        <f t="shared" si="36"/>
        <v>6</v>
      </c>
      <c r="AY55" s="1">
        <f t="shared" si="36"/>
        <v>5</v>
      </c>
      <c r="AZ55" s="1">
        <f t="shared" si="36"/>
        <v>4</v>
      </c>
      <c r="BA55" s="1">
        <f t="shared" si="36"/>
        <v>3</v>
      </c>
      <c r="BB55" s="1">
        <f t="shared" si="36"/>
        <v>2</v>
      </c>
      <c r="BC55" s="1">
        <f t="shared" si="36"/>
        <v>1</v>
      </c>
      <c r="BD55" s="1">
        <f t="shared" si="36"/>
        <v>0</v>
      </c>
    </row>
    <row r="56" spans="3:65" ht="13.35" customHeight="1" x14ac:dyDescent="0.25">
      <c r="C56" s="336">
        <v>47</v>
      </c>
      <c r="D56" s="9">
        <f t="shared" si="1"/>
        <v>53</v>
      </c>
      <c r="E56" s="9">
        <f t="shared" si="30"/>
        <v>52</v>
      </c>
      <c r="F56" s="9">
        <f t="shared" si="31"/>
        <v>51</v>
      </c>
      <c r="G56" s="9">
        <f t="shared" si="36"/>
        <v>50</v>
      </c>
      <c r="H56" s="9">
        <f t="shared" si="36"/>
        <v>49</v>
      </c>
      <c r="I56" s="9">
        <f t="shared" si="36"/>
        <v>48</v>
      </c>
      <c r="J56" s="9">
        <f t="shared" si="36"/>
        <v>47</v>
      </c>
      <c r="K56" s="9">
        <f t="shared" si="36"/>
        <v>46</v>
      </c>
      <c r="L56" s="9">
        <f t="shared" si="36"/>
        <v>45</v>
      </c>
      <c r="M56" s="9">
        <f t="shared" si="36"/>
        <v>44</v>
      </c>
      <c r="N56" s="9">
        <f t="shared" si="36"/>
        <v>43</v>
      </c>
      <c r="O56" s="9">
        <f t="shared" si="36"/>
        <v>42</v>
      </c>
      <c r="P56" s="9">
        <f t="shared" si="36"/>
        <v>41</v>
      </c>
      <c r="Q56" s="9">
        <f t="shared" si="36"/>
        <v>40</v>
      </c>
      <c r="R56" s="6">
        <f t="shared" si="36"/>
        <v>39</v>
      </c>
      <c r="S56" s="6">
        <f t="shared" si="36"/>
        <v>38</v>
      </c>
      <c r="T56" s="6">
        <f t="shared" si="36"/>
        <v>37</v>
      </c>
      <c r="U56" s="6">
        <f t="shared" si="36"/>
        <v>36</v>
      </c>
      <c r="V56" s="6">
        <f t="shared" si="36"/>
        <v>35</v>
      </c>
      <c r="W56" s="6">
        <f t="shared" si="36"/>
        <v>34</v>
      </c>
      <c r="X56" s="6">
        <f t="shared" si="36"/>
        <v>33</v>
      </c>
      <c r="Y56" s="6">
        <f t="shared" si="36"/>
        <v>32</v>
      </c>
      <c r="Z56" s="6">
        <f t="shared" si="36"/>
        <v>31</v>
      </c>
      <c r="AA56" s="6">
        <f t="shared" si="36"/>
        <v>30</v>
      </c>
      <c r="AB56" s="6">
        <f t="shared" si="36"/>
        <v>29</v>
      </c>
      <c r="AC56" s="6">
        <f t="shared" si="36"/>
        <v>28</v>
      </c>
      <c r="AD56" s="6">
        <f t="shared" si="36"/>
        <v>27</v>
      </c>
      <c r="AE56" s="6">
        <f t="shared" si="36"/>
        <v>26</v>
      </c>
      <c r="AF56" s="6">
        <f t="shared" si="36"/>
        <v>25</v>
      </c>
      <c r="AG56" s="6">
        <f t="shared" si="36"/>
        <v>24</v>
      </c>
      <c r="AH56" s="6">
        <f t="shared" si="36"/>
        <v>23</v>
      </c>
      <c r="AI56" s="6">
        <f t="shared" si="36"/>
        <v>22</v>
      </c>
      <c r="AJ56" s="6">
        <f t="shared" si="36"/>
        <v>21</v>
      </c>
      <c r="AK56" s="6">
        <f t="shared" si="36"/>
        <v>20</v>
      </c>
      <c r="AL56" s="6">
        <f t="shared" si="36"/>
        <v>19</v>
      </c>
      <c r="AM56" s="6">
        <f t="shared" si="36"/>
        <v>18</v>
      </c>
      <c r="AN56" s="6">
        <f t="shared" si="36"/>
        <v>17</v>
      </c>
      <c r="AO56" s="6">
        <f t="shared" si="36"/>
        <v>16</v>
      </c>
      <c r="AP56" s="6">
        <f t="shared" si="36"/>
        <v>15</v>
      </c>
      <c r="AQ56" s="6">
        <f t="shared" si="36"/>
        <v>14</v>
      </c>
      <c r="AR56" s="6">
        <f t="shared" si="36"/>
        <v>13</v>
      </c>
      <c r="AS56" s="6">
        <f t="shared" si="36"/>
        <v>12</v>
      </c>
      <c r="AT56" s="6">
        <f t="shared" si="36"/>
        <v>11</v>
      </c>
      <c r="AU56" s="6">
        <f t="shared" si="36"/>
        <v>10</v>
      </c>
      <c r="AV56" s="6">
        <f t="shared" si="36"/>
        <v>9</v>
      </c>
      <c r="AW56" s="6">
        <f t="shared" si="36"/>
        <v>8</v>
      </c>
      <c r="AX56" s="1">
        <f t="shared" si="36"/>
        <v>7</v>
      </c>
      <c r="AY56" s="1">
        <f t="shared" si="36"/>
        <v>6</v>
      </c>
      <c r="AZ56" s="1">
        <f t="shared" si="36"/>
        <v>5</v>
      </c>
      <c r="BA56" s="1">
        <f t="shared" si="36"/>
        <v>4</v>
      </c>
      <c r="BB56" s="1">
        <f t="shared" si="36"/>
        <v>3</v>
      </c>
      <c r="BC56" s="1">
        <f t="shared" si="36"/>
        <v>2</v>
      </c>
      <c r="BD56" s="1">
        <f t="shared" si="36"/>
        <v>1</v>
      </c>
      <c r="BE56" s="1">
        <f t="shared" si="36"/>
        <v>0</v>
      </c>
    </row>
    <row r="57" spans="3:65" ht="13.35" customHeight="1" x14ac:dyDescent="0.25">
      <c r="C57" s="336">
        <v>46</v>
      </c>
      <c r="D57" s="9">
        <f t="shared" si="1"/>
        <v>54</v>
      </c>
      <c r="E57" s="9">
        <f t="shared" si="30"/>
        <v>53</v>
      </c>
      <c r="F57" s="9">
        <f t="shared" si="31"/>
        <v>52</v>
      </c>
      <c r="G57" s="9">
        <f t="shared" si="36"/>
        <v>51</v>
      </c>
      <c r="H57" s="9">
        <f t="shared" si="36"/>
        <v>50</v>
      </c>
      <c r="I57" s="9">
        <f t="shared" si="36"/>
        <v>49</v>
      </c>
      <c r="J57" s="9">
        <f t="shared" si="36"/>
        <v>48</v>
      </c>
      <c r="K57" s="9">
        <f t="shared" si="36"/>
        <v>47</v>
      </c>
      <c r="L57" s="9">
        <f t="shared" si="36"/>
        <v>46</v>
      </c>
      <c r="M57" s="9">
        <f t="shared" si="36"/>
        <v>45</v>
      </c>
      <c r="N57" s="9">
        <f t="shared" si="36"/>
        <v>44</v>
      </c>
      <c r="O57" s="9">
        <f t="shared" si="36"/>
        <v>43</v>
      </c>
      <c r="P57" s="9">
        <f t="shared" si="36"/>
        <v>42</v>
      </c>
      <c r="Q57" s="9">
        <f t="shared" si="36"/>
        <v>41</v>
      </c>
      <c r="R57" s="9">
        <f t="shared" si="36"/>
        <v>40</v>
      </c>
      <c r="S57" s="6">
        <f t="shared" si="36"/>
        <v>39</v>
      </c>
      <c r="T57" s="6">
        <f t="shared" si="36"/>
        <v>38</v>
      </c>
      <c r="U57" s="6">
        <f t="shared" si="36"/>
        <v>37</v>
      </c>
      <c r="V57" s="6">
        <f t="shared" si="36"/>
        <v>36</v>
      </c>
      <c r="W57" s="6">
        <f t="shared" si="36"/>
        <v>35</v>
      </c>
      <c r="X57" s="6">
        <f t="shared" si="36"/>
        <v>34</v>
      </c>
      <c r="Y57" s="6">
        <f t="shared" si="36"/>
        <v>33</v>
      </c>
      <c r="Z57" s="6">
        <f t="shared" si="36"/>
        <v>32</v>
      </c>
      <c r="AA57" s="6">
        <f t="shared" si="36"/>
        <v>31</v>
      </c>
      <c r="AB57" s="6">
        <f t="shared" si="36"/>
        <v>30</v>
      </c>
      <c r="AC57" s="6">
        <f t="shared" si="36"/>
        <v>29</v>
      </c>
      <c r="AD57" s="6">
        <f t="shared" si="36"/>
        <v>28</v>
      </c>
      <c r="AE57" s="6">
        <f t="shared" si="36"/>
        <v>27</v>
      </c>
      <c r="AF57" s="6">
        <f t="shared" si="36"/>
        <v>26</v>
      </c>
      <c r="AG57" s="6">
        <f t="shared" si="36"/>
        <v>25</v>
      </c>
      <c r="AH57" s="6">
        <f t="shared" si="36"/>
        <v>24</v>
      </c>
      <c r="AI57" s="6">
        <f t="shared" si="36"/>
        <v>23</v>
      </c>
      <c r="AJ57" s="6">
        <f t="shared" si="36"/>
        <v>22</v>
      </c>
      <c r="AK57" s="6">
        <f t="shared" si="36"/>
        <v>21</v>
      </c>
      <c r="AL57" s="6">
        <f t="shared" si="36"/>
        <v>20</v>
      </c>
      <c r="AM57" s="6">
        <f t="shared" si="36"/>
        <v>19</v>
      </c>
      <c r="AN57" s="6">
        <f t="shared" si="36"/>
        <v>18</v>
      </c>
      <c r="AO57" s="6">
        <f t="shared" si="36"/>
        <v>17</v>
      </c>
      <c r="AP57" s="6">
        <f t="shared" si="36"/>
        <v>16</v>
      </c>
      <c r="AQ57" s="6">
        <f t="shared" si="36"/>
        <v>15</v>
      </c>
      <c r="AR57" s="6">
        <f t="shared" si="36"/>
        <v>14</v>
      </c>
      <c r="AS57" s="6">
        <f t="shared" si="36"/>
        <v>13</v>
      </c>
      <c r="AT57" s="6">
        <f t="shared" si="36"/>
        <v>12</v>
      </c>
      <c r="AU57" s="6">
        <f t="shared" si="36"/>
        <v>11</v>
      </c>
      <c r="AV57" s="6">
        <f t="shared" si="36"/>
        <v>10</v>
      </c>
      <c r="AW57" s="6">
        <f t="shared" si="36"/>
        <v>9</v>
      </c>
      <c r="AX57" s="1">
        <f t="shared" si="36"/>
        <v>8</v>
      </c>
      <c r="AY57" s="1">
        <f t="shared" si="36"/>
        <v>7</v>
      </c>
      <c r="AZ57" s="1">
        <f t="shared" si="36"/>
        <v>6</v>
      </c>
      <c r="BA57" s="1">
        <f t="shared" si="36"/>
        <v>5</v>
      </c>
      <c r="BB57" s="1">
        <f t="shared" si="36"/>
        <v>4</v>
      </c>
      <c r="BC57" s="1">
        <f t="shared" si="36"/>
        <v>3</v>
      </c>
      <c r="BD57" s="1">
        <f t="shared" si="36"/>
        <v>2</v>
      </c>
      <c r="BE57" s="1">
        <f t="shared" si="36"/>
        <v>1</v>
      </c>
      <c r="BF57" s="1">
        <f t="shared" si="36"/>
        <v>0</v>
      </c>
    </row>
    <row r="58" spans="3:65" ht="13.35" customHeight="1" x14ac:dyDescent="0.25">
      <c r="C58" s="336">
        <v>45</v>
      </c>
      <c r="D58" s="9">
        <f t="shared" si="1"/>
        <v>55</v>
      </c>
      <c r="E58" s="9">
        <f t="shared" si="30"/>
        <v>54</v>
      </c>
      <c r="F58" s="9">
        <f t="shared" si="31"/>
        <v>53</v>
      </c>
      <c r="G58" s="9">
        <f t="shared" ref="G58:BJ61" si="37">(G$103-$C58)</f>
        <v>52</v>
      </c>
      <c r="H58" s="9">
        <f t="shared" si="37"/>
        <v>51</v>
      </c>
      <c r="I58" s="9">
        <f t="shared" si="37"/>
        <v>50</v>
      </c>
      <c r="J58" s="9">
        <f t="shared" si="37"/>
        <v>49</v>
      </c>
      <c r="K58" s="9">
        <f t="shared" si="37"/>
        <v>48</v>
      </c>
      <c r="L58" s="9">
        <f t="shared" si="37"/>
        <v>47</v>
      </c>
      <c r="M58" s="9">
        <f t="shared" si="37"/>
        <v>46</v>
      </c>
      <c r="N58" s="9">
        <f t="shared" si="37"/>
        <v>45</v>
      </c>
      <c r="O58" s="9">
        <f t="shared" si="37"/>
        <v>44</v>
      </c>
      <c r="P58" s="9">
        <f t="shared" si="37"/>
        <v>43</v>
      </c>
      <c r="Q58" s="9">
        <f t="shared" si="37"/>
        <v>42</v>
      </c>
      <c r="R58" s="9">
        <f t="shared" si="37"/>
        <v>41</v>
      </c>
      <c r="S58" s="9">
        <f t="shared" si="37"/>
        <v>40</v>
      </c>
      <c r="T58" s="6">
        <f t="shared" si="37"/>
        <v>39</v>
      </c>
      <c r="U58" s="6">
        <f t="shared" si="37"/>
        <v>38</v>
      </c>
      <c r="V58" s="6">
        <f t="shared" si="37"/>
        <v>37</v>
      </c>
      <c r="W58" s="6">
        <f t="shared" si="37"/>
        <v>36</v>
      </c>
      <c r="X58" s="6">
        <f t="shared" si="37"/>
        <v>35</v>
      </c>
      <c r="Y58" s="6">
        <f t="shared" si="37"/>
        <v>34</v>
      </c>
      <c r="Z58" s="6">
        <f t="shared" si="37"/>
        <v>33</v>
      </c>
      <c r="AA58" s="6">
        <f t="shared" si="37"/>
        <v>32</v>
      </c>
      <c r="AB58" s="6">
        <f t="shared" si="37"/>
        <v>31</v>
      </c>
      <c r="AC58" s="6">
        <f t="shared" si="37"/>
        <v>30</v>
      </c>
      <c r="AD58" s="6">
        <f t="shared" si="37"/>
        <v>29</v>
      </c>
      <c r="AE58" s="6">
        <f t="shared" si="37"/>
        <v>28</v>
      </c>
      <c r="AF58" s="6">
        <f t="shared" si="37"/>
        <v>27</v>
      </c>
      <c r="AG58" s="6">
        <f t="shared" si="37"/>
        <v>26</v>
      </c>
      <c r="AH58" s="6">
        <f t="shared" si="37"/>
        <v>25</v>
      </c>
      <c r="AI58" s="6">
        <f t="shared" si="37"/>
        <v>24</v>
      </c>
      <c r="AJ58" s="6">
        <f t="shared" si="37"/>
        <v>23</v>
      </c>
      <c r="AK58" s="6">
        <f t="shared" si="37"/>
        <v>22</v>
      </c>
      <c r="AL58" s="6">
        <f t="shared" si="37"/>
        <v>21</v>
      </c>
      <c r="AM58" s="6">
        <f t="shared" si="37"/>
        <v>20</v>
      </c>
      <c r="AN58" s="6">
        <f t="shared" si="37"/>
        <v>19</v>
      </c>
      <c r="AO58" s="6">
        <f t="shared" si="37"/>
        <v>18</v>
      </c>
      <c r="AP58" s="6">
        <f t="shared" si="37"/>
        <v>17</v>
      </c>
      <c r="AQ58" s="6">
        <f t="shared" si="37"/>
        <v>16</v>
      </c>
      <c r="AR58" s="6">
        <f t="shared" si="37"/>
        <v>15</v>
      </c>
      <c r="AS58" s="6">
        <f t="shared" si="37"/>
        <v>14</v>
      </c>
      <c r="AT58" s="6">
        <f t="shared" si="37"/>
        <v>13</v>
      </c>
      <c r="AU58" s="6">
        <f t="shared" si="37"/>
        <v>12</v>
      </c>
      <c r="AV58" s="6">
        <f t="shared" si="37"/>
        <v>11</v>
      </c>
      <c r="AW58" s="6">
        <f t="shared" si="37"/>
        <v>10</v>
      </c>
      <c r="AX58" s="1">
        <f t="shared" si="37"/>
        <v>9</v>
      </c>
      <c r="AY58" s="1">
        <f t="shared" si="37"/>
        <v>8</v>
      </c>
      <c r="AZ58" s="1">
        <f t="shared" si="37"/>
        <v>7</v>
      </c>
      <c r="BA58" s="1">
        <f t="shared" si="37"/>
        <v>6</v>
      </c>
      <c r="BB58" s="1">
        <f t="shared" si="37"/>
        <v>5</v>
      </c>
      <c r="BC58" s="1">
        <f t="shared" si="37"/>
        <v>4</v>
      </c>
      <c r="BD58" s="1">
        <f t="shared" si="37"/>
        <v>3</v>
      </c>
      <c r="BE58" s="1">
        <f t="shared" si="37"/>
        <v>2</v>
      </c>
      <c r="BF58" s="1">
        <f t="shared" si="37"/>
        <v>1</v>
      </c>
      <c r="BG58" s="1">
        <f t="shared" si="37"/>
        <v>0</v>
      </c>
    </row>
    <row r="59" spans="3:65" ht="13.35" customHeight="1" x14ac:dyDescent="0.25">
      <c r="C59" s="336">
        <v>44</v>
      </c>
      <c r="D59" s="9">
        <f t="shared" si="1"/>
        <v>56</v>
      </c>
      <c r="E59" s="9">
        <f t="shared" si="30"/>
        <v>55</v>
      </c>
      <c r="F59" s="9">
        <f t="shared" si="31"/>
        <v>54</v>
      </c>
      <c r="G59" s="9">
        <f t="shared" si="37"/>
        <v>53</v>
      </c>
      <c r="H59" s="9">
        <f t="shared" si="37"/>
        <v>52</v>
      </c>
      <c r="I59" s="9">
        <f t="shared" si="37"/>
        <v>51</v>
      </c>
      <c r="J59" s="9">
        <f t="shared" si="37"/>
        <v>50</v>
      </c>
      <c r="K59" s="9">
        <f t="shared" si="37"/>
        <v>49</v>
      </c>
      <c r="L59" s="9">
        <f t="shared" si="37"/>
        <v>48</v>
      </c>
      <c r="M59" s="9">
        <f t="shared" si="37"/>
        <v>47</v>
      </c>
      <c r="N59" s="9">
        <f t="shared" si="37"/>
        <v>46</v>
      </c>
      <c r="O59" s="9">
        <f t="shared" si="37"/>
        <v>45</v>
      </c>
      <c r="P59" s="9">
        <f t="shared" si="37"/>
        <v>44</v>
      </c>
      <c r="Q59" s="9">
        <f t="shared" si="37"/>
        <v>43</v>
      </c>
      <c r="R59" s="9">
        <f t="shared" si="37"/>
        <v>42</v>
      </c>
      <c r="S59" s="9">
        <f t="shared" si="37"/>
        <v>41</v>
      </c>
      <c r="T59" s="9">
        <f t="shared" si="37"/>
        <v>40</v>
      </c>
      <c r="U59" s="6">
        <f t="shared" si="37"/>
        <v>39</v>
      </c>
      <c r="V59" s="6">
        <f t="shared" si="37"/>
        <v>38</v>
      </c>
      <c r="W59" s="6">
        <f t="shared" si="37"/>
        <v>37</v>
      </c>
      <c r="X59" s="6">
        <f t="shared" si="37"/>
        <v>36</v>
      </c>
      <c r="Y59" s="6">
        <f t="shared" si="37"/>
        <v>35</v>
      </c>
      <c r="Z59" s="6">
        <f t="shared" si="37"/>
        <v>34</v>
      </c>
      <c r="AA59" s="6">
        <f t="shared" si="37"/>
        <v>33</v>
      </c>
      <c r="AB59" s="6">
        <f t="shared" si="37"/>
        <v>32</v>
      </c>
      <c r="AC59" s="6">
        <f t="shared" si="37"/>
        <v>31</v>
      </c>
      <c r="AD59" s="6">
        <f t="shared" si="37"/>
        <v>30</v>
      </c>
      <c r="AE59" s="6">
        <f t="shared" si="37"/>
        <v>29</v>
      </c>
      <c r="AF59" s="6">
        <f t="shared" si="37"/>
        <v>28</v>
      </c>
      <c r="AG59" s="6">
        <f t="shared" si="37"/>
        <v>27</v>
      </c>
      <c r="AH59" s="6">
        <f t="shared" si="37"/>
        <v>26</v>
      </c>
      <c r="AI59" s="6">
        <f t="shared" si="37"/>
        <v>25</v>
      </c>
      <c r="AJ59" s="6">
        <f t="shared" si="37"/>
        <v>24</v>
      </c>
      <c r="AK59" s="6">
        <f t="shared" si="37"/>
        <v>23</v>
      </c>
      <c r="AL59" s="6">
        <f t="shared" si="37"/>
        <v>22</v>
      </c>
      <c r="AM59" s="6">
        <f t="shared" si="37"/>
        <v>21</v>
      </c>
      <c r="AN59" s="6">
        <f t="shared" si="37"/>
        <v>20</v>
      </c>
      <c r="AO59" s="6">
        <f t="shared" si="37"/>
        <v>19</v>
      </c>
      <c r="AP59" s="6">
        <f t="shared" si="37"/>
        <v>18</v>
      </c>
      <c r="AQ59" s="6">
        <f t="shared" si="37"/>
        <v>17</v>
      </c>
      <c r="AR59" s="6">
        <f t="shared" si="37"/>
        <v>16</v>
      </c>
      <c r="AS59" s="6">
        <f t="shared" si="37"/>
        <v>15</v>
      </c>
      <c r="AT59" s="6">
        <f t="shared" si="37"/>
        <v>14</v>
      </c>
      <c r="AU59" s="6">
        <f t="shared" si="37"/>
        <v>13</v>
      </c>
      <c r="AV59" s="6">
        <f t="shared" si="37"/>
        <v>12</v>
      </c>
      <c r="AW59" s="6">
        <f t="shared" si="37"/>
        <v>11</v>
      </c>
      <c r="AX59" s="1">
        <f t="shared" si="37"/>
        <v>10</v>
      </c>
      <c r="AY59" s="1">
        <f t="shared" si="37"/>
        <v>9</v>
      </c>
      <c r="AZ59" s="1">
        <f t="shared" si="37"/>
        <v>8</v>
      </c>
      <c r="BA59" s="1">
        <f t="shared" si="37"/>
        <v>7</v>
      </c>
      <c r="BB59" s="1">
        <f t="shared" si="37"/>
        <v>6</v>
      </c>
      <c r="BC59" s="1">
        <f t="shared" si="37"/>
        <v>5</v>
      </c>
      <c r="BD59" s="1">
        <f t="shared" si="37"/>
        <v>4</v>
      </c>
      <c r="BE59" s="1">
        <f t="shared" si="37"/>
        <v>3</v>
      </c>
      <c r="BF59" s="1">
        <f t="shared" si="37"/>
        <v>2</v>
      </c>
      <c r="BG59" s="1">
        <f t="shared" si="37"/>
        <v>1</v>
      </c>
      <c r="BH59" s="1">
        <f t="shared" si="37"/>
        <v>0</v>
      </c>
    </row>
    <row r="60" spans="3:65" ht="13.35" customHeight="1" x14ac:dyDescent="0.25">
      <c r="C60" s="336">
        <v>43</v>
      </c>
      <c r="D60" s="9">
        <f t="shared" si="1"/>
        <v>57</v>
      </c>
      <c r="E60" s="9">
        <f t="shared" si="30"/>
        <v>56</v>
      </c>
      <c r="F60" s="9">
        <f t="shared" si="31"/>
        <v>55</v>
      </c>
      <c r="G60" s="9">
        <f t="shared" si="37"/>
        <v>54</v>
      </c>
      <c r="H60" s="9">
        <f t="shared" si="37"/>
        <v>53</v>
      </c>
      <c r="I60" s="9">
        <f t="shared" si="37"/>
        <v>52</v>
      </c>
      <c r="J60" s="9">
        <f t="shared" si="37"/>
        <v>51</v>
      </c>
      <c r="K60" s="9">
        <f t="shared" si="37"/>
        <v>50</v>
      </c>
      <c r="L60" s="9">
        <f t="shared" si="37"/>
        <v>49</v>
      </c>
      <c r="M60" s="9">
        <f t="shared" si="37"/>
        <v>48</v>
      </c>
      <c r="N60" s="9">
        <f t="shared" si="37"/>
        <v>47</v>
      </c>
      <c r="O60" s="9">
        <f t="shared" si="37"/>
        <v>46</v>
      </c>
      <c r="P60" s="9">
        <f t="shared" si="37"/>
        <v>45</v>
      </c>
      <c r="Q60" s="9">
        <f t="shared" si="37"/>
        <v>44</v>
      </c>
      <c r="R60" s="9">
        <f t="shared" si="37"/>
        <v>43</v>
      </c>
      <c r="S60" s="9">
        <f t="shared" si="37"/>
        <v>42</v>
      </c>
      <c r="T60" s="9">
        <f t="shared" si="37"/>
        <v>41</v>
      </c>
      <c r="U60" s="9">
        <f t="shared" si="37"/>
        <v>40</v>
      </c>
      <c r="V60" s="6">
        <f t="shared" si="37"/>
        <v>39</v>
      </c>
      <c r="W60" s="6">
        <f t="shared" si="37"/>
        <v>38</v>
      </c>
      <c r="X60" s="6">
        <f t="shared" si="37"/>
        <v>37</v>
      </c>
      <c r="Y60" s="6">
        <f t="shared" si="37"/>
        <v>36</v>
      </c>
      <c r="Z60" s="6">
        <f t="shared" si="37"/>
        <v>35</v>
      </c>
      <c r="AA60" s="6">
        <f t="shared" si="37"/>
        <v>34</v>
      </c>
      <c r="AB60" s="6">
        <f t="shared" si="37"/>
        <v>33</v>
      </c>
      <c r="AC60" s="6">
        <f t="shared" si="37"/>
        <v>32</v>
      </c>
      <c r="AD60" s="6">
        <f t="shared" si="37"/>
        <v>31</v>
      </c>
      <c r="AE60" s="6">
        <f t="shared" si="37"/>
        <v>30</v>
      </c>
      <c r="AF60" s="6">
        <f t="shared" si="37"/>
        <v>29</v>
      </c>
      <c r="AG60" s="6">
        <f t="shared" si="37"/>
        <v>28</v>
      </c>
      <c r="AH60" s="6">
        <f t="shared" si="37"/>
        <v>27</v>
      </c>
      <c r="AI60" s="6">
        <f t="shared" si="37"/>
        <v>26</v>
      </c>
      <c r="AJ60" s="6">
        <f t="shared" si="37"/>
        <v>25</v>
      </c>
      <c r="AK60" s="6">
        <f t="shared" si="37"/>
        <v>24</v>
      </c>
      <c r="AL60" s="6">
        <f t="shared" si="37"/>
        <v>23</v>
      </c>
      <c r="AM60" s="6">
        <f t="shared" si="37"/>
        <v>22</v>
      </c>
      <c r="AN60" s="6">
        <f t="shared" si="37"/>
        <v>21</v>
      </c>
      <c r="AO60" s="6">
        <f t="shared" si="37"/>
        <v>20</v>
      </c>
      <c r="AP60" s="6">
        <f t="shared" si="37"/>
        <v>19</v>
      </c>
      <c r="AQ60" s="6">
        <f t="shared" si="37"/>
        <v>18</v>
      </c>
      <c r="AR60" s="6">
        <f t="shared" si="37"/>
        <v>17</v>
      </c>
      <c r="AS60" s="6">
        <f t="shared" si="37"/>
        <v>16</v>
      </c>
      <c r="AT60" s="6">
        <f t="shared" si="37"/>
        <v>15</v>
      </c>
      <c r="AU60" s="6">
        <f t="shared" si="37"/>
        <v>14</v>
      </c>
      <c r="AV60" s="6">
        <f t="shared" si="37"/>
        <v>13</v>
      </c>
      <c r="AW60" s="6">
        <f t="shared" si="37"/>
        <v>12</v>
      </c>
      <c r="AX60" s="1">
        <f t="shared" si="37"/>
        <v>11</v>
      </c>
      <c r="AY60" s="1">
        <f t="shared" si="37"/>
        <v>10</v>
      </c>
      <c r="AZ60" s="1">
        <f t="shared" si="37"/>
        <v>9</v>
      </c>
      <c r="BA60" s="1">
        <f t="shared" si="37"/>
        <v>8</v>
      </c>
      <c r="BB60" s="1">
        <f t="shared" si="37"/>
        <v>7</v>
      </c>
      <c r="BC60" s="1">
        <f t="shared" si="37"/>
        <v>6</v>
      </c>
      <c r="BD60" s="1">
        <f t="shared" si="37"/>
        <v>5</v>
      </c>
      <c r="BE60" s="1">
        <f t="shared" si="37"/>
        <v>4</v>
      </c>
      <c r="BF60" s="1">
        <f t="shared" si="37"/>
        <v>3</v>
      </c>
      <c r="BG60" s="1">
        <f t="shared" si="37"/>
        <v>2</v>
      </c>
      <c r="BH60" s="1">
        <f t="shared" si="37"/>
        <v>1</v>
      </c>
      <c r="BI60" s="1">
        <f t="shared" si="37"/>
        <v>0</v>
      </c>
    </row>
    <row r="61" spans="3:65" ht="13.35" customHeight="1" x14ac:dyDescent="0.25">
      <c r="C61" s="336">
        <v>42</v>
      </c>
      <c r="D61" s="9">
        <f t="shared" si="1"/>
        <v>58</v>
      </c>
      <c r="E61" s="9">
        <f t="shared" si="30"/>
        <v>57</v>
      </c>
      <c r="F61" s="9">
        <f t="shared" si="31"/>
        <v>56</v>
      </c>
      <c r="G61" s="9">
        <f t="shared" si="37"/>
        <v>55</v>
      </c>
      <c r="H61" s="9">
        <f t="shared" si="37"/>
        <v>54</v>
      </c>
      <c r="I61" s="9">
        <f t="shared" si="37"/>
        <v>53</v>
      </c>
      <c r="J61" s="9">
        <f t="shared" si="37"/>
        <v>52</v>
      </c>
      <c r="K61" s="9">
        <f t="shared" si="37"/>
        <v>51</v>
      </c>
      <c r="L61" s="9">
        <f t="shared" si="37"/>
        <v>50</v>
      </c>
      <c r="M61" s="9">
        <f t="shared" si="37"/>
        <v>49</v>
      </c>
      <c r="N61" s="9">
        <f t="shared" si="37"/>
        <v>48</v>
      </c>
      <c r="O61" s="9">
        <f t="shared" si="37"/>
        <v>47</v>
      </c>
      <c r="P61" s="9">
        <f t="shared" si="37"/>
        <v>46</v>
      </c>
      <c r="Q61" s="9">
        <f t="shared" si="37"/>
        <v>45</v>
      </c>
      <c r="R61" s="9">
        <f t="shared" si="37"/>
        <v>44</v>
      </c>
      <c r="S61" s="9">
        <f t="shared" si="37"/>
        <v>43</v>
      </c>
      <c r="T61" s="9">
        <f t="shared" si="37"/>
        <v>42</v>
      </c>
      <c r="U61" s="9">
        <f t="shared" si="37"/>
        <v>41</v>
      </c>
      <c r="V61" s="9">
        <f t="shared" si="37"/>
        <v>40</v>
      </c>
      <c r="W61" s="6">
        <f t="shared" si="37"/>
        <v>39</v>
      </c>
      <c r="X61" s="6">
        <f t="shared" si="37"/>
        <v>38</v>
      </c>
      <c r="Y61" s="6">
        <f t="shared" si="37"/>
        <v>37</v>
      </c>
      <c r="Z61" s="6">
        <f t="shared" si="37"/>
        <v>36</v>
      </c>
      <c r="AA61" s="6">
        <f t="shared" si="37"/>
        <v>35</v>
      </c>
      <c r="AB61" s="6">
        <f t="shared" si="37"/>
        <v>34</v>
      </c>
      <c r="AC61" s="6">
        <f t="shared" si="37"/>
        <v>33</v>
      </c>
      <c r="AD61" s="6">
        <f t="shared" si="37"/>
        <v>32</v>
      </c>
      <c r="AE61" s="6">
        <f t="shared" si="37"/>
        <v>31</v>
      </c>
      <c r="AF61" s="6">
        <f t="shared" si="37"/>
        <v>30</v>
      </c>
      <c r="AG61" s="6">
        <f t="shared" si="37"/>
        <v>29</v>
      </c>
      <c r="AH61" s="6">
        <f t="shared" si="37"/>
        <v>28</v>
      </c>
      <c r="AI61" s="6">
        <f t="shared" si="37"/>
        <v>27</v>
      </c>
      <c r="AJ61" s="6">
        <f t="shared" si="37"/>
        <v>26</v>
      </c>
      <c r="AK61" s="6">
        <f t="shared" si="37"/>
        <v>25</v>
      </c>
      <c r="AL61" s="6">
        <f t="shared" si="37"/>
        <v>24</v>
      </c>
      <c r="AM61" s="6">
        <f t="shared" si="37"/>
        <v>23</v>
      </c>
      <c r="AN61" s="6">
        <f t="shared" si="37"/>
        <v>22</v>
      </c>
      <c r="AO61" s="6">
        <f t="shared" si="37"/>
        <v>21</v>
      </c>
      <c r="AP61" s="6">
        <f t="shared" si="37"/>
        <v>20</v>
      </c>
      <c r="AQ61" s="6">
        <f t="shared" si="37"/>
        <v>19</v>
      </c>
      <c r="AR61" s="6">
        <f t="shared" si="37"/>
        <v>18</v>
      </c>
      <c r="AS61" s="6">
        <f t="shared" si="37"/>
        <v>17</v>
      </c>
      <c r="AT61" s="6">
        <f t="shared" si="37"/>
        <v>16</v>
      </c>
      <c r="AU61" s="6">
        <f t="shared" si="37"/>
        <v>15</v>
      </c>
      <c r="AV61" s="6">
        <f t="shared" si="37"/>
        <v>14</v>
      </c>
      <c r="AW61" s="6">
        <f t="shared" si="37"/>
        <v>13</v>
      </c>
      <c r="AX61" s="1">
        <f t="shared" si="37"/>
        <v>12</v>
      </c>
      <c r="AY61" s="1">
        <f t="shared" si="37"/>
        <v>11</v>
      </c>
      <c r="AZ61" s="1">
        <f t="shared" si="37"/>
        <v>10</v>
      </c>
      <c r="BA61" s="1">
        <f t="shared" si="37"/>
        <v>9</v>
      </c>
      <c r="BB61" s="1">
        <f t="shared" si="37"/>
        <v>8</v>
      </c>
      <c r="BC61" s="1">
        <f t="shared" si="37"/>
        <v>7</v>
      </c>
      <c r="BD61" s="1">
        <f t="shared" si="37"/>
        <v>6</v>
      </c>
      <c r="BE61" s="1">
        <f t="shared" si="37"/>
        <v>5</v>
      </c>
      <c r="BF61" s="1">
        <f t="shared" si="37"/>
        <v>4</v>
      </c>
      <c r="BG61" s="1">
        <f t="shared" si="37"/>
        <v>3</v>
      </c>
      <c r="BH61" s="1">
        <f t="shared" si="37"/>
        <v>2</v>
      </c>
      <c r="BI61" s="1">
        <f t="shared" si="37"/>
        <v>1</v>
      </c>
      <c r="BJ61" s="1">
        <f t="shared" si="37"/>
        <v>0</v>
      </c>
    </row>
    <row r="62" spans="3:65" ht="13.35" customHeight="1" x14ac:dyDescent="0.25">
      <c r="C62" s="336">
        <v>41</v>
      </c>
      <c r="D62" s="9">
        <f t="shared" si="1"/>
        <v>59</v>
      </c>
      <c r="E62" s="9">
        <f t="shared" si="30"/>
        <v>58</v>
      </c>
      <c r="F62" s="9">
        <f t="shared" si="31"/>
        <v>57</v>
      </c>
      <c r="G62" s="9">
        <f t="shared" ref="G62:BN65" si="38">(G$103-$C62)</f>
        <v>56</v>
      </c>
      <c r="H62" s="9">
        <f t="shared" si="38"/>
        <v>55</v>
      </c>
      <c r="I62" s="9">
        <f t="shared" si="38"/>
        <v>54</v>
      </c>
      <c r="J62" s="9">
        <f t="shared" si="38"/>
        <v>53</v>
      </c>
      <c r="K62" s="9">
        <f t="shared" si="38"/>
        <v>52</v>
      </c>
      <c r="L62" s="9">
        <f t="shared" si="38"/>
        <v>51</v>
      </c>
      <c r="M62" s="9">
        <f t="shared" si="38"/>
        <v>50</v>
      </c>
      <c r="N62" s="9">
        <f t="shared" si="38"/>
        <v>49</v>
      </c>
      <c r="O62" s="9">
        <f t="shared" si="38"/>
        <v>48</v>
      </c>
      <c r="P62" s="9">
        <f t="shared" si="38"/>
        <v>47</v>
      </c>
      <c r="Q62" s="9">
        <f t="shared" si="38"/>
        <v>46</v>
      </c>
      <c r="R62" s="9">
        <f t="shared" si="38"/>
        <v>45</v>
      </c>
      <c r="S62" s="9">
        <f t="shared" si="38"/>
        <v>44</v>
      </c>
      <c r="T62" s="9">
        <f t="shared" si="38"/>
        <v>43</v>
      </c>
      <c r="U62" s="9">
        <f t="shared" si="38"/>
        <v>42</v>
      </c>
      <c r="V62" s="9">
        <f t="shared" si="38"/>
        <v>41</v>
      </c>
      <c r="W62" s="9">
        <f t="shared" si="38"/>
        <v>40</v>
      </c>
      <c r="X62" s="6">
        <f t="shared" si="38"/>
        <v>39</v>
      </c>
      <c r="Y62" s="6">
        <f t="shared" si="38"/>
        <v>38</v>
      </c>
      <c r="Z62" s="6">
        <f t="shared" si="38"/>
        <v>37</v>
      </c>
      <c r="AA62" s="6">
        <f t="shared" si="38"/>
        <v>36</v>
      </c>
      <c r="AB62" s="6">
        <f t="shared" si="38"/>
        <v>35</v>
      </c>
      <c r="AC62" s="6">
        <f t="shared" si="38"/>
        <v>34</v>
      </c>
      <c r="AD62" s="6">
        <f t="shared" si="38"/>
        <v>33</v>
      </c>
      <c r="AE62" s="6">
        <f t="shared" si="38"/>
        <v>32</v>
      </c>
      <c r="AF62" s="6">
        <f t="shared" si="38"/>
        <v>31</v>
      </c>
      <c r="AG62" s="6">
        <f t="shared" si="38"/>
        <v>30</v>
      </c>
      <c r="AH62" s="6">
        <f t="shared" si="38"/>
        <v>29</v>
      </c>
      <c r="AI62" s="6">
        <f t="shared" si="38"/>
        <v>28</v>
      </c>
      <c r="AJ62" s="6">
        <f t="shared" si="38"/>
        <v>27</v>
      </c>
      <c r="AK62" s="6">
        <f t="shared" si="38"/>
        <v>26</v>
      </c>
      <c r="AL62" s="6">
        <f t="shared" si="38"/>
        <v>25</v>
      </c>
      <c r="AM62" s="6">
        <f t="shared" si="38"/>
        <v>24</v>
      </c>
      <c r="AN62" s="6">
        <f t="shared" si="38"/>
        <v>23</v>
      </c>
      <c r="AO62" s="6">
        <f t="shared" si="38"/>
        <v>22</v>
      </c>
      <c r="AP62" s="6">
        <f t="shared" si="38"/>
        <v>21</v>
      </c>
      <c r="AQ62" s="6">
        <f t="shared" si="38"/>
        <v>20</v>
      </c>
      <c r="AR62" s="6">
        <f t="shared" si="38"/>
        <v>19</v>
      </c>
      <c r="AS62" s="6">
        <f t="shared" si="38"/>
        <v>18</v>
      </c>
      <c r="AT62" s="6">
        <f t="shared" si="38"/>
        <v>17</v>
      </c>
      <c r="AU62" s="6">
        <f t="shared" si="38"/>
        <v>16</v>
      </c>
      <c r="AV62" s="6">
        <f t="shared" si="38"/>
        <v>15</v>
      </c>
      <c r="AW62" s="6">
        <f t="shared" si="38"/>
        <v>14</v>
      </c>
      <c r="AX62" s="1">
        <f t="shared" si="38"/>
        <v>13</v>
      </c>
      <c r="AY62" s="1">
        <f t="shared" si="38"/>
        <v>12</v>
      </c>
      <c r="AZ62" s="1">
        <f t="shared" si="38"/>
        <v>11</v>
      </c>
      <c r="BA62" s="1">
        <f t="shared" si="38"/>
        <v>10</v>
      </c>
      <c r="BB62" s="1">
        <f t="shared" si="38"/>
        <v>9</v>
      </c>
      <c r="BC62" s="1">
        <f t="shared" si="38"/>
        <v>8</v>
      </c>
      <c r="BD62" s="1">
        <f t="shared" si="38"/>
        <v>7</v>
      </c>
      <c r="BE62" s="1">
        <f t="shared" si="38"/>
        <v>6</v>
      </c>
      <c r="BF62" s="1">
        <f t="shared" si="38"/>
        <v>5</v>
      </c>
      <c r="BG62" s="1">
        <f t="shared" si="38"/>
        <v>4</v>
      </c>
      <c r="BH62" s="1">
        <f t="shared" si="38"/>
        <v>3</v>
      </c>
      <c r="BI62" s="1">
        <f t="shared" si="38"/>
        <v>2</v>
      </c>
      <c r="BJ62" s="1">
        <f t="shared" si="38"/>
        <v>1</v>
      </c>
      <c r="BK62" s="1">
        <f t="shared" si="38"/>
        <v>0</v>
      </c>
    </row>
    <row r="63" spans="3:65" ht="13.35" customHeight="1" x14ac:dyDescent="0.25">
      <c r="C63" s="336">
        <v>40</v>
      </c>
      <c r="D63" s="2">
        <f t="shared" si="1"/>
        <v>60</v>
      </c>
      <c r="E63" s="2">
        <f t="shared" si="30"/>
        <v>59</v>
      </c>
      <c r="F63" s="2">
        <f t="shared" si="31"/>
        <v>58</v>
      </c>
      <c r="G63" s="2">
        <f t="shared" si="38"/>
        <v>57</v>
      </c>
      <c r="H63" s="2">
        <f t="shared" si="38"/>
        <v>56</v>
      </c>
      <c r="I63" s="2">
        <f t="shared" si="38"/>
        <v>55</v>
      </c>
      <c r="J63" s="2">
        <f t="shared" si="38"/>
        <v>54</v>
      </c>
      <c r="K63" s="2">
        <f t="shared" si="38"/>
        <v>53</v>
      </c>
      <c r="L63" s="2">
        <f t="shared" si="38"/>
        <v>52</v>
      </c>
      <c r="M63" s="2">
        <f t="shared" si="38"/>
        <v>51</v>
      </c>
      <c r="N63" s="2">
        <f t="shared" si="38"/>
        <v>50</v>
      </c>
      <c r="O63" s="2">
        <f t="shared" si="38"/>
        <v>49</v>
      </c>
      <c r="P63" s="2">
        <f t="shared" si="38"/>
        <v>48</v>
      </c>
      <c r="Q63" s="2">
        <f t="shared" si="38"/>
        <v>47</v>
      </c>
      <c r="R63" s="2">
        <f t="shared" si="38"/>
        <v>46</v>
      </c>
      <c r="S63" s="2">
        <f t="shared" si="38"/>
        <v>45</v>
      </c>
      <c r="T63" s="2">
        <f t="shared" si="38"/>
        <v>44</v>
      </c>
      <c r="U63" s="2">
        <f t="shared" si="38"/>
        <v>43</v>
      </c>
      <c r="V63" s="2">
        <f t="shared" si="38"/>
        <v>42</v>
      </c>
      <c r="W63" s="2">
        <f t="shared" si="38"/>
        <v>41</v>
      </c>
      <c r="X63" s="2">
        <f t="shared" si="38"/>
        <v>40</v>
      </c>
      <c r="Y63" s="22">
        <f t="shared" si="38"/>
        <v>39</v>
      </c>
      <c r="Z63" s="22">
        <f t="shared" si="38"/>
        <v>38</v>
      </c>
      <c r="AA63" s="22">
        <f t="shared" si="38"/>
        <v>37</v>
      </c>
      <c r="AB63" s="22">
        <f t="shared" si="38"/>
        <v>36</v>
      </c>
      <c r="AC63" s="22">
        <f t="shared" si="38"/>
        <v>35</v>
      </c>
      <c r="AD63" s="22">
        <f t="shared" si="38"/>
        <v>34</v>
      </c>
      <c r="AE63" s="22">
        <f t="shared" si="38"/>
        <v>33</v>
      </c>
      <c r="AF63" s="22">
        <f t="shared" si="38"/>
        <v>32</v>
      </c>
      <c r="AG63" s="22">
        <f t="shared" si="38"/>
        <v>31</v>
      </c>
      <c r="AH63" s="22">
        <f t="shared" si="38"/>
        <v>30</v>
      </c>
      <c r="AI63" s="22">
        <f t="shared" si="38"/>
        <v>29</v>
      </c>
      <c r="AJ63" s="22">
        <f t="shared" si="38"/>
        <v>28</v>
      </c>
      <c r="AK63" s="22">
        <f t="shared" si="38"/>
        <v>27</v>
      </c>
      <c r="AL63" s="22">
        <f t="shared" si="38"/>
        <v>26</v>
      </c>
      <c r="AM63" s="22">
        <f t="shared" si="38"/>
        <v>25</v>
      </c>
      <c r="AN63" s="22">
        <f t="shared" si="38"/>
        <v>24</v>
      </c>
      <c r="AO63" s="22">
        <f t="shared" si="38"/>
        <v>23</v>
      </c>
      <c r="AP63" s="22">
        <f t="shared" si="38"/>
        <v>22</v>
      </c>
      <c r="AQ63" s="22">
        <f t="shared" si="38"/>
        <v>21</v>
      </c>
      <c r="AR63" s="22">
        <f t="shared" si="38"/>
        <v>20</v>
      </c>
      <c r="AS63" s="22">
        <f t="shared" si="38"/>
        <v>19</v>
      </c>
      <c r="AT63" s="22">
        <f t="shared" si="38"/>
        <v>18</v>
      </c>
      <c r="AU63" s="22">
        <f t="shared" si="38"/>
        <v>17</v>
      </c>
      <c r="AV63" s="22">
        <f t="shared" si="38"/>
        <v>16</v>
      </c>
      <c r="AW63" s="22">
        <f t="shared" si="38"/>
        <v>15</v>
      </c>
      <c r="AX63" s="1">
        <f t="shared" si="38"/>
        <v>14</v>
      </c>
      <c r="AY63" s="1">
        <f t="shared" si="38"/>
        <v>13</v>
      </c>
      <c r="AZ63" s="1">
        <f t="shared" si="38"/>
        <v>12</v>
      </c>
      <c r="BA63" s="1">
        <f t="shared" si="38"/>
        <v>11</v>
      </c>
      <c r="BB63" s="1">
        <f t="shared" si="38"/>
        <v>10</v>
      </c>
      <c r="BC63" s="1">
        <f t="shared" si="38"/>
        <v>9</v>
      </c>
      <c r="BD63" s="1">
        <f t="shared" si="38"/>
        <v>8</v>
      </c>
      <c r="BE63" s="1">
        <f t="shared" si="38"/>
        <v>7</v>
      </c>
      <c r="BF63" s="1">
        <f t="shared" si="38"/>
        <v>6</v>
      </c>
      <c r="BG63" s="1">
        <f t="shared" si="38"/>
        <v>5</v>
      </c>
      <c r="BH63" s="1">
        <f t="shared" si="38"/>
        <v>4</v>
      </c>
      <c r="BI63" s="1">
        <f t="shared" si="38"/>
        <v>3</v>
      </c>
      <c r="BJ63" s="1">
        <f t="shared" si="38"/>
        <v>2</v>
      </c>
      <c r="BK63" s="1">
        <f t="shared" si="38"/>
        <v>1</v>
      </c>
      <c r="BL63" s="1">
        <f t="shared" si="38"/>
        <v>0</v>
      </c>
    </row>
    <row r="64" spans="3:65" ht="13.35" customHeight="1" x14ac:dyDescent="0.25">
      <c r="C64" s="336">
        <v>39</v>
      </c>
      <c r="D64" s="2">
        <f t="shared" si="1"/>
        <v>61</v>
      </c>
      <c r="E64" s="2">
        <f t="shared" si="30"/>
        <v>60</v>
      </c>
      <c r="F64" s="2">
        <f t="shared" si="31"/>
        <v>59</v>
      </c>
      <c r="G64" s="2">
        <f t="shared" si="38"/>
        <v>58</v>
      </c>
      <c r="H64" s="2">
        <f t="shared" si="38"/>
        <v>57</v>
      </c>
      <c r="I64" s="2">
        <f t="shared" si="38"/>
        <v>56</v>
      </c>
      <c r="J64" s="2">
        <f t="shared" si="38"/>
        <v>55</v>
      </c>
      <c r="K64" s="2">
        <f t="shared" si="38"/>
        <v>54</v>
      </c>
      <c r="L64" s="2">
        <f t="shared" si="38"/>
        <v>53</v>
      </c>
      <c r="M64" s="2">
        <f t="shared" si="38"/>
        <v>52</v>
      </c>
      <c r="N64" s="2">
        <f t="shared" si="38"/>
        <v>51</v>
      </c>
      <c r="O64" s="2">
        <f t="shared" si="38"/>
        <v>50</v>
      </c>
      <c r="P64" s="2">
        <f t="shared" si="38"/>
        <v>49</v>
      </c>
      <c r="Q64" s="2">
        <f t="shared" si="38"/>
        <v>48</v>
      </c>
      <c r="R64" s="2">
        <f t="shared" si="38"/>
        <v>47</v>
      </c>
      <c r="S64" s="2">
        <f t="shared" si="38"/>
        <v>46</v>
      </c>
      <c r="T64" s="2">
        <f t="shared" si="38"/>
        <v>45</v>
      </c>
      <c r="U64" s="2">
        <f t="shared" si="38"/>
        <v>44</v>
      </c>
      <c r="V64" s="2">
        <f t="shared" si="38"/>
        <v>43</v>
      </c>
      <c r="W64" s="2">
        <f t="shared" si="38"/>
        <v>42</v>
      </c>
      <c r="X64" s="2">
        <f t="shared" si="38"/>
        <v>41</v>
      </c>
      <c r="Y64" s="22">
        <f t="shared" si="38"/>
        <v>40</v>
      </c>
      <c r="Z64" s="22">
        <f t="shared" si="38"/>
        <v>39</v>
      </c>
      <c r="AA64" s="22">
        <f t="shared" si="38"/>
        <v>38</v>
      </c>
      <c r="AB64" s="22">
        <f t="shared" si="38"/>
        <v>37</v>
      </c>
      <c r="AC64" s="22">
        <f t="shared" si="38"/>
        <v>36</v>
      </c>
      <c r="AD64" s="22">
        <f t="shared" si="38"/>
        <v>35</v>
      </c>
      <c r="AE64" s="22">
        <f t="shared" si="38"/>
        <v>34</v>
      </c>
      <c r="AF64" s="22">
        <f t="shared" si="38"/>
        <v>33</v>
      </c>
      <c r="AG64" s="22">
        <f t="shared" si="38"/>
        <v>32</v>
      </c>
      <c r="AH64" s="22">
        <f t="shared" si="38"/>
        <v>31</v>
      </c>
      <c r="AI64" s="22">
        <f t="shared" si="38"/>
        <v>30</v>
      </c>
      <c r="AJ64" s="22">
        <f t="shared" si="38"/>
        <v>29</v>
      </c>
      <c r="AK64" s="22">
        <f t="shared" si="38"/>
        <v>28</v>
      </c>
      <c r="AL64" s="22">
        <f t="shared" si="38"/>
        <v>27</v>
      </c>
      <c r="AM64" s="22">
        <f t="shared" si="38"/>
        <v>26</v>
      </c>
      <c r="AN64" s="22">
        <f t="shared" si="38"/>
        <v>25</v>
      </c>
      <c r="AO64" s="22">
        <f t="shared" si="38"/>
        <v>24</v>
      </c>
      <c r="AP64" s="22">
        <f t="shared" si="38"/>
        <v>23</v>
      </c>
      <c r="AQ64" s="22">
        <f t="shared" si="38"/>
        <v>22</v>
      </c>
      <c r="AR64" s="22">
        <f t="shared" si="38"/>
        <v>21</v>
      </c>
      <c r="AS64" s="22">
        <f t="shared" si="38"/>
        <v>20</v>
      </c>
      <c r="AT64" s="22">
        <f t="shared" si="38"/>
        <v>19</v>
      </c>
      <c r="AU64" s="22">
        <f t="shared" si="38"/>
        <v>18</v>
      </c>
      <c r="AV64" s="22">
        <f t="shared" si="38"/>
        <v>17</v>
      </c>
      <c r="AW64" s="22">
        <f t="shared" si="38"/>
        <v>16</v>
      </c>
      <c r="AX64" s="1">
        <f t="shared" si="38"/>
        <v>15</v>
      </c>
      <c r="AY64" s="1">
        <f t="shared" si="38"/>
        <v>14</v>
      </c>
      <c r="AZ64" s="1">
        <f t="shared" si="38"/>
        <v>13</v>
      </c>
      <c r="BA64" s="1">
        <f t="shared" si="38"/>
        <v>12</v>
      </c>
      <c r="BB64" s="1">
        <f t="shared" si="38"/>
        <v>11</v>
      </c>
      <c r="BC64" s="1">
        <f t="shared" si="38"/>
        <v>10</v>
      </c>
      <c r="BD64" s="1">
        <f t="shared" si="38"/>
        <v>9</v>
      </c>
      <c r="BE64" s="1">
        <f t="shared" si="38"/>
        <v>8</v>
      </c>
      <c r="BF64" s="1">
        <f t="shared" si="38"/>
        <v>7</v>
      </c>
      <c r="BG64" s="1">
        <f t="shared" si="38"/>
        <v>6</v>
      </c>
      <c r="BH64" s="1">
        <f t="shared" si="38"/>
        <v>5</v>
      </c>
      <c r="BI64" s="1">
        <f t="shared" si="38"/>
        <v>4</v>
      </c>
      <c r="BJ64" s="1">
        <f t="shared" si="38"/>
        <v>3</v>
      </c>
      <c r="BK64" s="1">
        <f t="shared" si="38"/>
        <v>2</v>
      </c>
      <c r="BL64" s="1">
        <f t="shared" si="38"/>
        <v>1</v>
      </c>
      <c r="BM64" s="1">
        <f t="shared" si="38"/>
        <v>0</v>
      </c>
    </row>
    <row r="65" spans="3:81" ht="13.35" customHeight="1" x14ac:dyDescent="0.25">
      <c r="C65" s="336">
        <v>38</v>
      </c>
      <c r="D65" s="2">
        <f t="shared" si="1"/>
        <v>62</v>
      </c>
      <c r="E65" s="2">
        <f t="shared" si="30"/>
        <v>61</v>
      </c>
      <c r="F65" s="2">
        <f t="shared" si="31"/>
        <v>60</v>
      </c>
      <c r="G65" s="2">
        <f t="shared" si="38"/>
        <v>59</v>
      </c>
      <c r="H65" s="2">
        <f t="shared" si="38"/>
        <v>58</v>
      </c>
      <c r="I65" s="2">
        <f t="shared" si="38"/>
        <v>57</v>
      </c>
      <c r="J65" s="2">
        <f t="shared" si="38"/>
        <v>56</v>
      </c>
      <c r="K65" s="2">
        <f t="shared" si="38"/>
        <v>55</v>
      </c>
      <c r="L65" s="2">
        <f t="shared" si="38"/>
        <v>54</v>
      </c>
      <c r="M65" s="2">
        <f t="shared" si="38"/>
        <v>53</v>
      </c>
      <c r="N65" s="2">
        <f t="shared" si="38"/>
        <v>52</v>
      </c>
      <c r="O65" s="2">
        <f t="shared" si="38"/>
        <v>51</v>
      </c>
      <c r="P65" s="2">
        <f t="shared" si="38"/>
        <v>50</v>
      </c>
      <c r="Q65" s="2">
        <f t="shared" si="38"/>
        <v>49</v>
      </c>
      <c r="R65" s="2">
        <f t="shared" si="38"/>
        <v>48</v>
      </c>
      <c r="S65" s="2">
        <f t="shared" si="38"/>
        <v>47</v>
      </c>
      <c r="T65" s="2">
        <f t="shared" si="38"/>
        <v>46</v>
      </c>
      <c r="U65" s="2">
        <f t="shared" si="38"/>
        <v>45</v>
      </c>
      <c r="V65" s="2">
        <f t="shared" si="38"/>
        <v>44</v>
      </c>
      <c r="W65" s="2">
        <f t="shared" si="38"/>
        <v>43</v>
      </c>
      <c r="X65" s="2">
        <f t="shared" si="38"/>
        <v>42</v>
      </c>
      <c r="Y65" s="22">
        <f t="shared" si="38"/>
        <v>41</v>
      </c>
      <c r="Z65" s="22">
        <f t="shared" si="38"/>
        <v>40</v>
      </c>
      <c r="AA65" s="22">
        <f t="shared" si="38"/>
        <v>39</v>
      </c>
      <c r="AB65" s="22">
        <f t="shared" si="38"/>
        <v>38</v>
      </c>
      <c r="AC65" s="22">
        <f t="shared" si="38"/>
        <v>37</v>
      </c>
      <c r="AD65" s="22">
        <f t="shared" si="38"/>
        <v>36</v>
      </c>
      <c r="AE65" s="22">
        <f t="shared" si="38"/>
        <v>35</v>
      </c>
      <c r="AF65" s="22">
        <f t="shared" si="38"/>
        <v>34</v>
      </c>
      <c r="AG65" s="22">
        <f t="shared" si="38"/>
        <v>33</v>
      </c>
      <c r="AH65" s="22">
        <f t="shared" si="38"/>
        <v>32</v>
      </c>
      <c r="AI65" s="22">
        <f t="shared" si="38"/>
        <v>31</v>
      </c>
      <c r="AJ65" s="22">
        <f t="shared" si="38"/>
        <v>30</v>
      </c>
      <c r="AK65" s="22">
        <f t="shared" si="38"/>
        <v>29</v>
      </c>
      <c r="AL65" s="22">
        <f t="shared" si="38"/>
        <v>28</v>
      </c>
      <c r="AM65" s="22">
        <f t="shared" si="38"/>
        <v>27</v>
      </c>
      <c r="AN65" s="22">
        <f t="shared" si="38"/>
        <v>26</v>
      </c>
      <c r="AO65" s="22">
        <f t="shared" si="38"/>
        <v>25</v>
      </c>
      <c r="AP65" s="22">
        <f t="shared" si="38"/>
        <v>24</v>
      </c>
      <c r="AQ65" s="22">
        <f t="shared" si="38"/>
        <v>23</v>
      </c>
      <c r="AR65" s="22">
        <f t="shared" si="38"/>
        <v>22</v>
      </c>
      <c r="AS65" s="22">
        <f t="shared" si="38"/>
        <v>21</v>
      </c>
      <c r="AT65" s="22">
        <f t="shared" si="38"/>
        <v>20</v>
      </c>
      <c r="AU65" s="22">
        <f t="shared" si="38"/>
        <v>19</v>
      </c>
      <c r="AV65" s="22">
        <f t="shared" si="38"/>
        <v>18</v>
      </c>
      <c r="AW65" s="22">
        <f t="shared" si="38"/>
        <v>17</v>
      </c>
      <c r="AX65" s="1">
        <f t="shared" si="38"/>
        <v>16</v>
      </c>
      <c r="AY65" s="1">
        <f t="shared" si="38"/>
        <v>15</v>
      </c>
      <c r="AZ65" s="1">
        <f t="shared" si="38"/>
        <v>14</v>
      </c>
      <c r="BA65" s="1">
        <f t="shared" si="38"/>
        <v>13</v>
      </c>
      <c r="BB65" s="1">
        <f t="shared" si="38"/>
        <v>12</v>
      </c>
      <c r="BC65" s="1">
        <f t="shared" si="38"/>
        <v>11</v>
      </c>
      <c r="BD65" s="1">
        <f t="shared" si="38"/>
        <v>10</v>
      </c>
      <c r="BE65" s="1">
        <f t="shared" si="38"/>
        <v>9</v>
      </c>
      <c r="BF65" s="1">
        <f t="shared" si="38"/>
        <v>8</v>
      </c>
      <c r="BG65" s="1">
        <f t="shared" si="38"/>
        <v>7</v>
      </c>
      <c r="BH65" s="1">
        <f t="shared" si="38"/>
        <v>6</v>
      </c>
      <c r="BI65" s="1">
        <f t="shared" si="38"/>
        <v>5</v>
      </c>
      <c r="BJ65" s="1">
        <f t="shared" si="38"/>
        <v>4</v>
      </c>
      <c r="BK65" s="1">
        <f t="shared" si="38"/>
        <v>3</v>
      </c>
      <c r="BL65" s="1">
        <f t="shared" si="38"/>
        <v>2</v>
      </c>
      <c r="BM65" s="1">
        <f t="shared" si="38"/>
        <v>1</v>
      </c>
      <c r="BN65" s="1">
        <f t="shared" si="38"/>
        <v>0</v>
      </c>
    </row>
    <row r="66" spans="3:81" ht="13.35" customHeight="1" x14ac:dyDescent="0.25">
      <c r="C66" s="336">
        <v>37</v>
      </c>
      <c r="D66" s="2">
        <f t="shared" si="1"/>
        <v>63</v>
      </c>
      <c r="E66" s="2">
        <f t="shared" si="30"/>
        <v>62</v>
      </c>
      <c r="F66" s="2">
        <f t="shared" si="31"/>
        <v>61</v>
      </c>
      <c r="G66" s="2">
        <f t="shared" ref="G66:BP67" si="39">(G$103-$C66)</f>
        <v>60</v>
      </c>
      <c r="H66" s="2">
        <f t="shared" si="39"/>
        <v>59</v>
      </c>
      <c r="I66" s="2">
        <f t="shared" si="39"/>
        <v>58</v>
      </c>
      <c r="J66" s="2">
        <f t="shared" si="39"/>
        <v>57</v>
      </c>
      <c r="K66" s="2">
        <f t="shared" si="39"/>
        <v>56</v>
      </c>
      <c r="L66" s="2">
        <f t="shared" si="39"/>
        <v>55</v>
      </c>
      <c r="M66" s="2">
        <f t="shared" si="39"/>
        <v>54</v>
      </c>
      <c r="N66" s="2">
        <f t="shared" si="39"/>
        <v>53</v>
      </c>
      <c r="O66" s="2">
        <f t="shared" si="39"/>
        <v>52</v>
      </c>
      <c r="P66" s="2">
        <f t="shared" si="39"/>
        <v>51</v>
      </c>
      <c r="Q66" s="2">
        <f t="shared" si="39"/>
        <v>50</v>
      </c>
      <c r="R66" s="2">
        <f t="shared" si="39"/>
        <v>49</v>
      </c>
      <c r="S66" s="2">
        <f t="shared" si="39"/>
        <v>48</v>
      </c>
      <c r="T66" s="2">
        <f t="shared" si="39"/>
        <v>47</v>
      </c>
      <c r="U66" s="2">
        <f t="shared" si="39"/>
        <v>46</v>
      </c>
      <c r="V66" s="2">
        <f t="shared" si="39"/>
        <v>45</v>
      </c>
      <c r="W66" s="2">
        <f t="shared" si="39"/>
        <v>44</v>
      </c>
      <c r="X66" s="2">
        <f t="shared" si="39"/>
        <v>43</v>
      </c>
      <c r="Y66" s="22">
        <f t="shared" si="39"/>
        <v>42</v>
      </c>
      <c r="Z66" s="22">
        <f t="shared" si="39"/>
        <v>41</v>
      </c>
      <c r="AA66" s="22">
        <f t="shared" si="39"/>
        <v>40</v>
      </c>
      <c r="AB66" s="22">
        <f t="shared" si="39"/>
        <v>39</v>
      </c>
      <c r="AC66" s="22">
        <f t="shared" si="39"/>
        <v>38</v>
      </c>
      <c r="AD66" s="22">
        <f t="shared" si="39"/>
        <v>37</v>
      </c>
      <c r="AE66" s="22">
        <f t="shared" si="39"/>
        <v>36</v>
      </c>
      <c r="AF66" s="22">
        <f t="shared" si="39"/>
        <v>35</v>
      </c>
      <c r="AG66" s="22">
        <f t="shared" si="39"/>
        <v>34</v>
      </c>
      <c r="AH66" s="22">
        <f t="shared" si="39"/>
        <v>33</v>
      </c>
      <c r="AI66" s="22">
        <f t="shared" si="39"/>
        <v>32</v>
      </c>
      <c r="AJ66" s="22">
        <f t="shared" si="39"/>
        <v>31</v>
      </c>
      <c r="AK66" s="22">
        <f t="shared" si="39"/>
        <v>30</v>
      </c>
      <c r="AL66" s="22">
        <f t="shared" si="39"/>
        <v>29</v>
      </c>
      <c r="AM66" s="22">
        <f t="shared" si="39"/>
        <v>28</v>
      </c>
      <c r="AN66" s="22">
        <f t="shared" si="39"/>
        <v>27</v>
      </c>
      <c r="AO66" s="22">
        <f t="shared" si="39"/>
        <v>26</v>
      </c>
      <c r="AP66" s="22">
        <f t="shared" si="39"/>
        <v>25</v>
      </c>
      <c r="AQ66" s="22">
        <f t="shared" si="39"/>
        <v>24</v>
      </c>
      <c r="AR66" s="22">
        <f t="shared" si="39"/>
        <v>23</v>
      </c>
      <c r="AS66" s="22">
        <f t="shared" si="39"/>
        <v>22</v>
      </c>
      <c r="AT66" s="22">
        <f t="shared" si="39"/>
        <v>21</v>
      </c>
      <c r="AU66" s="22">
        <f t="shared" si="39"/>
        <v>20</v>
      </c>
      <c r="AV66" s="22">
        <f t="shared" si="39"/>
        <v>19</v>
      </c>
      <c r="AW66" s="22">
        <f t="shared" si="39"/>
        <v>18</v>
      </c>
      <c r="AX66" s="1">
        <f t="shared" si="39"/>
        <v>17</v>
      </c>
      <c r="AY66" s="1">
        <f t="shared" si="39"/>
        <v>16</v>
      </c>
      <c r="AZ66" s="1">
        <f t="shared" si="39"/>
        <v>15</v>
      </c>
      <c r="BA66" s="1">
        <f t="shared" si="39"/>
        <v>14</v>
      </c>
      <c r="BB66" s="1">
        <f t="shared" si="39"/>
        <v>13</v>
      </c>
      <c r="BC66" s="1">
        <f t="shared" si="39"/>
        <v>12</v>
      </c>
      <c r="BD66" s="1">
        <f t="shared" si="39"/>
        <v>11</v>
      </c>
      <c r="BE66" s="1">
        <f t="shared" si="39"/>
        <v>10</v>
      </c>
      <c r="BF66" s="1">
        <f t="shared" si="39"/>
        <v>9</v>
      </c>
      <c r="BG66" s="1">
        <f t="shared" si="39"/>
        <v>8</v>
      </c>
      <c r="BH66" s="1">
        <f t="shared" si="39"/>
        <v>7</v>
      </c>
      <c r="BI66" s="1">
        <f t="shared" si="39"/>
        <v>6</v>
      </c>
      <c r="BJ66" s="1">
        <f t="shared" si="39"/>
        <v>5</v>
      </c>
      <c r="BK66" s="1">
        <f t="shared" si="39"/>
        <v>4</v>
      </c>
      <c r="BL66" s="1">
        <f t="shared" si="39"/>
        <v>3</v>
      </c>
      <c r="BM66" s="1">
        <f t="shared" si="39"/>
        <v>2</v>
      </c>
      <c r="BN66" s="1">
        <f t="shared" si="39"/>
        <v>1</v>
      </c>
      <c r="BO66" s="1">
        <f t="shared" si="39"/>
        <v>0</v>
      </c>
    </row>
    <row r="67" spans="3:81" ht="13.35" customHeight="1" x14ac:dyDescent="0.25">
      <c r="C67" s="336">
        <v>36</v>
      </c>
      <c r="D67" s="2">
        <f t="shared" si="1"/>
        <v>64</v>
      </c>
      <c r="E67" s="2">
        <f t="shared" si="30"/>
        <v>63</v>
      </c>
      <c r="F67" s="2">
        <f t="shared" si="31"/>
        <v>62</v>
      </c>
      <c r="G67" s="2">
        <f t="shared" ref="G67:T67" si="40">(G$103-$C67)</f>
        <v>61</v>
      </c>
      <c r="H67" s="2">
        <f t="shared" si="40"/>
        <v>60</v>
      </c>
      <c r="I67" s="2">
        <f t="shared" si="40"/>
        <v>59</v>
      </c>
      <c r="J67" s="2">
        <f t="shared" si="40"/>
        <v>58</v>
      </c>
      <c r="K67" s="2">
        <f t="shared" si="40"/>
        <v>57</v>
      </c>
      <c r="L67" s="2">
        <f t="shared" si="40"/>
        <v>56</v>
      </c>
      <c r="M67" s="2">
        <f t="shared" si="40"/>
        <v>55</v>
      </c>
      <c r="N67" s="2">
        <f t="shared" si="40"/>
        <v>54</v>
      </c>
      <c r="O67" s="2">
        <f t="shared" si="40"/>
        <v>53</v>
      </c>
      <c r="P67" s="2">
        <f t="shared" si="40"/>
        <v>52</v>
      </c>
      <c r="Q67" s="2">
        <f t="shared" si="40"/>
        <v>51</v>
      </c>
      <c r="R67" s="2">
        <f t="shared" si="40"/>
        <v>50</v>
      </c>
      <c r="S67" s="2">
        <f t="shared" si="40"/>
        <v>49</v>
      </c>
      <c r="T67" s="2">
        <f t="shared" si="40"/>
        <v>48</v>
      </c>
      <c r="U67" s="2">
        <f t="shared" si="39"/>
        <v>47</v>
      </c>
      <c r="V67" s="2">
        <f t="shared" si="39"/>
        <v>46</v>
      </c>
      <c r="W67" s="2">
        <f t="shared" si="39"/>
        <v>45</v>
      </c>
      <c r="X67" s="2">
        <f t="shared" si="39"/>
        <v>44</v>
      </c>
      <c r="Y67" s="22">
        <f t="shared" si="39"/>
        <v>43</v>
      </c>
      <c r="Z67" s="22">
        <f t="shared" si="39"/>
        <v>42</v>
      </c>
      <c r="AA67" s="22">
        <f t="shared" si="39"/>
        <v>41</v>
      </c>
      <c r="AB67" s="22">
        <f t="shared" si="39"/>
        <v>40</v>
      </c>
      <c r="AC67" s="22">
        <f t="shared" si="39"/>
        <v>39</v>
      </c>
      <c r="AD67" s="22">
        <f t="shared" si="39"/>
        <v>38</v>
      </c>
      <c r="AE67" s="22">
        <f t="shared" si="39"/>
        <v>37</v>
      </c>
      <c r="AF67" s="22">
        <f t="shared" si="39"/>
        <v>36</v>
      </c>
      <c r="AG67" s="22">
        <f t="shared" si="39"/>
        <v>35</v>
      </c>
      <c r="AH67" s="22">
        <f t="shared" si="39"/>
        <v>34</v>
      </c>
      <c r="AI67" s="22">
        <f t="shared" si="39"/>
        <v>33</v>
      </c>
      <c r="AJ67" s="22">
        <f t="shared" si="39"/>
        <v>32</v>
      </c>
      <c r="AK67" s="22">
        <f t="shared" si="39"/>
        <v>31</v>
      </c>
      <c r="AL67" s="22">
        <f t="shared" si="39"/>
        <v>30</v>
      </c>
      <c r="AM67" s="22">
        <f t="shared" si="39"/>
        <v>29</v>
      </c>
      <c r="AN67" s="22">
        <f t="shared" si="39"/>
        <v>28</v>
      </c>
      <c r="AO67" s="22">
        <f t="shared" si="39"/>
        <v>27</v>
      </c>
      <c r="AP67" s="22">
        <f t="shared" si="39"/>
        <v>26</v>
      </c>
      <c r="AQ67" s="22">
        <f t="shared" si="39"/>
        <v>25</v>
      </c>
      <c r="AR67" s="22">
        <f t="shared" si="39"/>
        <v>24</v>
      </c>
      <c r="AS67" s="22">
        <f t="shared" si="39"/>
        <v>23</v>
      </c>
      <c r="AT67" s="22">
        <f t="shared" si="39"/>
        <v>22</v>
      </c>
      <c r="AU67" s="22">
        <f t="shared" si="39"/>
        <v>21</v>
      </c>
      <c r="AV67" s="22">
        <f t="shared" si="39"/>
        <v>20</v>
      </c>
      <c r="AW67" s="22">
        <f t="shared" si="39"/>
        <v>19</v>
      </c>
      <c r="AX67" s="1">
        <f t="shared" si="39"/>
        <v>18</v>
      </c>
      <c r="AY67" s="1">
        <f t="shared" si="39"/>
        <v>17</v>
      </c>
      <c r="AZ67" s="1">
        <f t="shared" si="39"/>
        <v>16</v>
      </c>
      <c r="BA67" s="1">
        <f t="shared" si="39"/>
        <v>15</v>
      </c>
      <c r="BB67" s="1">
        <f t="shared" si="39"/>
        <v>14</v>
      </c>
      <c r="BC67" s="1">
        <f t="shared" si="39"/>
        <v>13</v>
      </c>
      <c r="BD67" s="1">
        <f t="shared" si="39"/>
        <v>12</v>
      </c>
      <c r="BE67" s="1">
        <f t="shared" si="39"/>
        <v>11</v>
      </c>
      <c r="BF67" s="1">
        <f t="shared" si="39"/>
        <v>10</v>
      </c>
      <c r="BG67" s="1">
        <f t="shared" si="39"/>
        <v>9</v>
      </c>
      <c r="BH67" s="1">
        <f t="shared" si="39"/>
        <v>8</v>
      </c>
      <c r="BI67" s="1">
        <f t="shared" si="39"/>
        <v>7</v>
      </c>
      <c r="BJ67" s="1">
        <f t="shared" si="39"/>
        <v>6</v>
      </c>
      <c r="BK67" s="1">
        <f t="shared" si="39"/>
        <v>5</v>
      </c>
      <c r="BL67" s="1">
        <f t="shared" si="39"/>
        <v>4</v>
      </c>
      <c r="BM67" s="1">
        <f t="shared" si="39"/>
        <v>3</v>
      </c>
      <c r="BN67" s="1">
        <f t="shared" si="39"/>
        <v>2</v>
      </c>
      <c r="BO67" s="1">
        <f t="shared" si="39"/>
        <v>1</v>
      </c>
      <c r="BP67" s="1">
        <f t="shared" si="39"/>
        <v>0</v>
      </c>
    </row>
    <row r="68" spans="3:81" ht="13.35" customHeight="1" x14ac:dyDescent="0.25">
      <c r="C68" s="336">
        <v>35</v>
      </c>
      <c r="D68" s="2">
        <f t="shared" si="1"/>
        <v>65</v>
      </c>
      <c r="E68" s="2">
        <f t="shared" ref="E68:E101" si="41">(E$103-$C68)</f>
        <v>64</v>
      </c>
      <c r="F68" s="2">
        <f t="shared" si="31"/>
        <v>63</v>
      </c>
      <c r="G68" s="2">
        <f t="shared" ref="G68:BR71" si="42">(G$103-$C68)</f>
        <v>62</v>
      </c>
      <c r="H68" s="2">
        <f t="shared" si="42"/>
        <v>61</v>
      </c>
      <c r="I68" s="2">
        <f t="shared" si="42"/>
        <v>60</v>
      </c>
      <c r="J68" s="2">
        <f t="shared" si="42"/>
        <v>59</v>
      </c>
      <c r="K68" s="2">
        <f t="shared" si="42"/>
        <v>58</v>
      </c>
      <c r="L68" s="2">
        <f t="shared" si="42"/>
        <v>57</v>
      </c>
      <c r="M68" s="2">
        <f t="shared" si="42"/>
        <v>56</v>
      </c>
      <c r="N68" s="2">
        <f t="shared" si="42"/>
        <v>55</v>
      </c>
      <c r="O68" s="2">
        <f t="shared" si="42"/>
        <v>54</v>
      </c>
      <c r="P68" s="2">
        <f t="shared" si="42"/>
        <v>53</v>
      </c>
      <c r="Q68" s="2">
        <f t="shared" si="42"/>
        <v>52</v>
      </c>
      <c r="R68" s="2">
        <f t="shared" si="42"/>
        <v>51</v>
      </c>
      <c r="S68" s="2">
        <f t="shared" si="42"/>
        <v>50</v>
      </c>
      <c r="T68" s="2">
        <f t="shared" si="42"/>
        <v>49</v>
      </c>
      <c r="U68" s="2">
        <f t="shared" si="42"/>
        <v>48</v>
      </c>
      <c r="V68" s="2">
        <f t="shared" si="42"/>
        <v>47</v>
      </c>
      <c r="W68" s="2">
        <f t="shared" si="42"/>
        <v>46</v>
      </c>
      <c r="X68" s="2">
        <f t="shared" si="42"/>
        <v>45</v>
      </c>
      <c r="Y68" s="22">
        <f t="shared" si="42"/>
        <v>44</v>
      </c>
      <c r="Z68" s="22">
        <f t="shared" si="42"/>
        <v>43</v>
      </c>
      <c r="AA68" s="22">
        <f t="shared" si="42"/>
        <v>42</v>
      </c>
      <c r="AB68" s="22">
        <f t="shared" si="42"/>
        <v>41</v>
      </c>
      <c r="AC68" s="22">
        <f t="shared" si="42"/>
        <v>40</v>
      </c>
      <c r="AD68" s="22">
        <f t="shared" si="42"/>
        <v>39</v>
      </c>
      <c r="AE68" s="22">
        <f t="shared" si="42"/>
        <v>38</v>
      </c>
      <c r="AF68" s="22">
        <f t="shared" si="42"/>
        <v>37</v>
      </c>
      <c r="AG68" s="22">
        <f t="shared" si="42"/>
        <v>36</v>
      </c>
      <c r="AH68" s="22">
        <f t="shared" si="42"/>
        <v>35</v>
      </c>
      <c r="AI68" s="22">
        <f t="shared" si="42"/>
        <v>34</v>
      </c>
      <c r="AJ68" s="22">
        <f t="shared" si="42"/>
        <v>33</v>
      </c>
      <c r="AK68" s="22">
        <f t="shared" si="42"/>
        <v>32</v>
      </c>
      <c r="AL68" s="22">
        <f t="shared" si="42"/>
        <v>31</v>
      </c>
      <c r="AM68" s="22">
        <f t="shared" si="42"/>
        <v>30</v>
      </c>
      <c r="AN68" s="22">
        <f t="shared" si="42"/>
        <v>29</v>
      </c>
      <c r="AO68" s="22">
        <f t="shared" si="42"/>
        <v>28</v>
      </c>
      <c r="AP68" s="22">
        <f t="shared" si="42"/>
        <v>27</v>
      </c>
      <c r="AQ68" s="22">
        <f t="shared" si="42"/>
        <v>26</v>
      </c>
      <c r="AR68" s="22">
        <f t="shared" si="42"/>
        <v>25</v>
      </c>
      <c r="AS68" s="22">
        <f t="shared" si="42"/>
        <v>24</v>
      </c>
      <c r="AT68" s="22">
        <f t="shared" si="42"/>
        <v>23</v>
      </c>
      <c r="AU68" s="22">
        <f t="shared" si="42"/>
        <v>22</v>
      </c>
      <c r="AV68" s="22">
        <f t="shared" si="42"/>
        <v>21</v>
      </c>
      <c r="AW68" s="22">
        <f t="shared" si="42"/>
        <v>20</v>
      </c>
      <c r="AX68" s="1">
        <f t="shared" si="42"/>
        <v>19</v>
      </c>
      <c r="AY68" s="1">
        <f t="shared" si="42"/>
        <v>18</v>
      </c>
      <c r="AZ68" s="1">
        <f t="shared" si="42"/>
        <v>17</v>
      </c>
      <c r="BA68" s="1">
        <f t="shared" si="42"/>
        <v>16</v>
      </c>
      <c r="BB68" s="1">
        <f t="shared" si="42"/>
        <v>15</v>
      </c>
      <c r="BC68" s="1">
        <f t="shared" si="42"/>
        <v>14</v>
      </c>
      <c r="BD68" s="1">
        <f t="shared" si="42"/>
        <v>13</v>
      </c>
      <c r="BE68" s="1">
        <f t="shared" si="42"/>
        <v>12</v>
      </c>
      <c r="BF68" s="1">
        <f t="shared" si="42"/>
        <v>11</v>
      </c>
      <c r="BG68" s="1">
        <f t="shared" si="42"/>
        <v>10</v>
      </c>
      <c r="BH68" s="1">
        <f t="shared" si="42"/>
        <v>9</v>
      </c>
      <c r="BI68" s="1">
        <f t="shared" si="42"/>
        <v>8</v>
      </c>
      <c r="BJ68" s="1">
        <f t="shared" si="42"/>
        <v>7</v>
      </c>
      <c r="BK68" s="1">
        <f t="shared" si="42"/>
        <v>6</v>
      </c>
      <c r="BL68" s="1">
        <f t="shared" si="42"/>
        <v>5</v>
      </c>
      <c r="BM68" s="1">
        <f t="shared" si="42"/>
        <v>4</v>
      </c>
      <c r="BN68" s="1">
        <f t="shared" si="42"/>
        <v>3</v>
      </c>
      <c r="BO68" s="1">
        <f t="shared" si="42"/>
        <v>2</v>
      </c>
      <c r="BP68" s="1">
        <f t="shared" si="42"/>
        <v>1</v>
      </c>
      <c r="BQ68" s="1">
        <f t="shared" si="42"/>
        <v>0</v>
      </c>
    </row>
    <row r="69" spans="3:81" ht="13.35" customHeight="1" x14ac:dyDescent="0.25">
      <c r="C69" s="336">
        <v>34</v>
      </c>
      <c r="D69" s="2">
        <f t="shared" ref="D69:D103" si="43">(D68+1)</f>
        <v>66</v>
      </c>
      <c r="E69" s="2">
        <f t="shared" si="41"/>
        <v>65</v>
      </c>
      <c r="F69" s="2">
        <f t="shared" ref="F69:F101" si="44">(F$103-$C69)</f>
        <v>64</v>
      </c>
      <c r="G69" s="2">
        <f t="shared" si="42"/>
        <v>63</v>
      </c>
      <c r="H69" s="2">
        <f t="shared" si="42"/>
        <v>62</v>
      </c>
      <c r="I69" s="2">
        <f t="shared" si="42"/>
        <v>61</v>
      </c>
      <c r="J69" s="2">
        <f t="shared" si="42"/>
        <v>60</v>
      </c>
      <c r="K69" s="2">
        <f t="shared" si="42"/>
        <v>59</v>
      </c>
      <c r="L69" s="2">
        <f t="shared" si="42"/>
        <v>58</v>
      </c>
      <c r="M69" s="2">
        <f t="shared" si="42"/>
        <v>57</v>
      </c>
      <c r="N69" s="2">
        <f t="shared" si="42"/>
        <v>56</v>
      </c>
      <c r="O69" s="2">
        <f t="shared" si="42"/>
        <v>55</v>
      </c>
      <c r="P69" s="2">
        <f t="shared" si="42"/>
        <v>54</v>
      </c>
      <c r="Q69" s="2">
        <f t="shared" si="42"/>
        <v>53</v>
      </c>
      <c r="R69" s="2">
        <f t="shared" si="42"/>
        <v>52</v>
      </c>
      <c r="S69" s="2">
        <f t="shared" si="42"/>
        <v>51</v>
      </c>
      <c r="T69" s="2">
        <f t="shared" si="42"/>
        <v>50</v>
      </c>
      <c r="U69" s="2">
        <f t="shared" si="42"/>
        <v>49</v>
      </c>
      <c r="V69" s="2">
        <f t="shared" si="42"/>
        <v>48</v>
      </c>
      <c r="W69" s="2">
        <f t="shared" si="42"/>
        <v>47</v>
      </c>
      <c r="X69" s="2">
        <f t="shared" si="42"/>
        <v>46</v>
      </c>
      <c r="Y69" s="22">
        <f t="shared" si="42"/>
        <v>45</v>
      </c>
      <c r="Z69" s="22">
        <f t="shared" si="42"/>
        <v>44</v>
      </c>
      <c r="AA69" s="22">
        <f t="shared" si="42"/>
        <v>43</v>
      </c>
      <c r="AB69" s="22">
        <f t="shared" si="42"/>
        <v>42</v>
      </c>
      <c r="AC69" s="22">
        <f t="shared" si="42"/>
        <v>41</v>
      </c>
      <c r="AD69" s="22">
        <f t="shared" si="42"/>
        <v>40</v>
      </c>
      <c r="AE69" s="22">
        <f t="shared" si="42"/>
        <v>39</v>
      </c>
      <c r="AF69" s="22">
        <f t="shared" si="42"/>
        <v>38</v>
      </c>
      <c r="AG69" s="22">
        <f t="shared" si="42"/>
        <v>37</v>
      </c>
      <c r="AH69" s="22">
        <f t="shared" si="42"/>
        <v>36</v>
      </c>
      <c r="AI69" s="22">
        <f t="shared" si="42"/>
        <v>35</v>
      </c>
      <c r="AJ69" s="22">
        <f t="shared" si="42"/>
        <v>34</v>
      </c>
      <c r="AK69" s="22">
        <f t="shared" si="42"/>
        <v>33</v>
      </c>
      <c r="AL69" s="22">
        <f t="shared" si="42"/>
        <v>32</v>
      </c>
      <c r="AM69" s="22">
        <f t="shared" si="42"/>
        <v>31</v>
      </c>
      <c r="AN69" s="22">
        <f t="shared" si="42"/>
        <v>30</v>
      </c>
      <c r="AO69" s="22">
        <f t="shared" si="42"/>
        <v>29</v>
      </c>
      <c r="AP69" s="22">
        <f t="shared" si="42"/>
        <v>28</v>
      </c>
      <c r="AQ69" s="22">
        <f t="shared" si="42"/>
        <v>27</v>
      </c>
      <c r="AR69" s="22">
        <f t="shared" si="42"/>
        <v>26</v>
      </c>
      <c r="AS69" s="22">
        <f t="shared" si="42"/>
        <v>25</v>
      </c>
      <c r="AT69" s="22">
        <f t="shared" si="42"/>
        <v>24</v>
      </c>
      <c r="AU69" s="22">
        <f t="shared" si="42"/>
        <v>23</v>
      </c>
      <c r="AV69" s="22">
        <f t="shared" si="42"/>
        <v>22</v>
      </c>
      <c r="AW69" s="22">
        <f t="shared" si="42"/>
        <v>21</v>
      </c>
      <c r="AX69" s="23">
        <f t="shared" si="42"/>
        <v>20</v>
      </c>
      <c r="AY69" s="23">
        <f t="shared" si="42"/>
        <v>19</v>
      </c>
      <c r="AZ69" s="23">
        <f t="shared" si="42"/>
        <v>18</v>
      </c>
      <c r="BA69" s="23">
        <f t="shared" si="42"/>
        <v>17</v>
      </c>
      <c r="BB69" s="23">
        <f t="shared" si="42"/>
        <v>16</v>
      </c>
      <c r="BC69" s="23">
        <f t="shared" si="42"/>
        <v>15</v>
      </c>
      <c r="BD69" s="23">
        <f t="shared" si="42"/>
        <v>14</v>
      </c>
      <c r="BE69" s="23">
        <f t="shared" si="42"/>
        <v>13</v>
      </c>
      <c r="BF69" s="23">
        <f t="shared" si="42"/>
        <v>12</v>
      </c>
      <c r="BG69" s="23">
        <f t="shared" si="42"/>
        <v>11</v>
      </c>
      <c r="BH69" s="23">
        <f t="shared" si="42"/>
        <v>10</v>
      </c>
      <c r="BI69" s="23">
        <f t="shared" si="42"/>
        <v>9</v>
      </c>
      <c r="BJ69" s="23">
        <f t="shared" si="42"/>
        <v>8</v>
      </c>
      <c r="BK69" s="23">
        <f t="shared" si="42"/>
        <v>7</v>
      </c>
      <c r="BL69" s="23">
        <f t="shared" si="42"/>
        <v>6</v>
      </c>
      <c r="BM69" s="23">
        <f t="shared" si="42"/>
        <v>5</v>
      </c>
      <c r="BN69" s="23">
        <f t="shared" si="42"/>
        <v>4</v>
      </c>
      <c r="BO69" s="23">
        <f t="shared" si="42"/>
        <v>3</v>
      </c>
      <c r="BP69" s="23">
        <f t="shared" si="42"/>
        <v>2</v>
      </c>
      <c r="BQ69" s="23">
        <f t="shared" si="42"/>
        <v>1</v>
      </c>
      <c r="BR69" s="23">
        <f t="shared" si="42"/>
        <v>0</v>
      </c>
    </row>
    <row r="70" spans="3:81" ht="13.35" customHeight="1" x14ac:dyDescent="0.25">
      <c r="C70" s="336">
        <v>33</v>
      </c>
      <c r="D70" s="2">
        <f t="shared" si="43"/>
        <v>67</v>
      </c>
      <c r="E70" s="2">
        <f t="shared" si="41"/>
        <v>66</v>
      </c>
      <c r="F70" s="2">
        <f t="shared" si="44"/>
        <v>65</v>
      </c>
      <c r="G70" s="2">
        <f t="shared" si="42"/>
        <v>64</v>
      </c>
      <c r="H70" s="2">
        <f t="shared" si="42"/>
        <v>63</v>
      </c>
      <c r="I70" s="2">
        <f t="shared" si="42"/>
        <v>62</v>
      </c>
      <c r="J70" s="2">
        <f t="shared" si="42"/>
        <v>61</v>
      </c>
      <c r="K70" s="2">
        <f t="shared" si="42"/>
        <v>60</v>
      </c>
      <c r="L70" s="2">
        <f t="shared" si="42"/>
        <v>59</v>
      </c>
      <c r="M70" s="2">
        <f t="shared" si="42"/>
        <v>58</v>
      </c>
      <c r="N70" s="2">
        <f t="shared" si="42"/>
        <v>57</v>
      </c>
      <c r="O70" s="2">
        <f t="shared" si="42"/>
        <v>56</v>
      </c>
      <c r="P70" s="2">
        <f t="shared" si="42"/>
        <v>55</v>
      </c>
      <c r="Q70" s="2">
        <f t="shared" si="42"/>
        <v>54</v>
      </c>
      <c r="R70" s="2">
        <f t="shared" si="42"/>
        <v>53</v>
      </c>
      <c r="S70" s="2">
        <f t="shared" si="42"/>
        <v>52</v>
      </c>
      <c r="T70" s="2">
        <f t="shared" si="42"/>
        <v>51</v>
      </c>
      <c r="U70" s="2">
        <f t="shared" si="42"/>
        <v>50</v>
      </c>
      <c r="V70" s="2">
        <f t="shared" si="42"/>
        <v>49</v>
      </c>
      <c r="W70" s="2">
        <f t="shared" si="42"/>
        <v>48</v>
      </c>
      <c r="X70" s="2">
        <f t="shared" si="42"/>
        <v>47</v>
      </c>
      <c r="Y70" s="22">
        <f t="shared" si="42"/>
        <v>46</v>
      </c>
      <c r="Z70" s="22">
        <f t="shared" si="42"/>
        <v>45</v>
      </c>
      <c r="AA70" s="22">
        <f t="shared" si="42"/>
        <v>44</v>
      </c>
      <c r="AB70" s="22">
        <f t="shared" si="42"/>
        <v>43</v>
      </c>
      <c r="AC70" s="22">
        <f t="shared" si="42"/>
        <v>42</v>
      </c>
      <c r="AD70" s="22">
        <f t="shared" si="42"/>
        <v>41</v>
      </c>
      <c r="AE70" s="22">
        <f t="shared" si="42"/>
        <v>40</v>
      </c>
      <c r="AF70" s="22">
        <f t="shared" si="42"/>
        <v>39</v>
      </c>
      <c r="AG70" s="22">
        <f t="shared" si="42"/>
        <v>38</v>
      </c>
      <c r="AH70" s="22">
        <f t="shared" si="42"/>
        <v>37</v>
      </c>
      <c r="AI70" s="22">
        <f t="shared" si="42"/>
        <v>36</v>
      </c>
      <c r="AJ70" s="22">
        <f t="shared" si="42"/>
        <v>35</v>
      </c>
      <c r="AK70" s="22">
        <f t="shared" si="42"/>
        <v>34</v>
      </c>
      <c r="AL70" s="22">
        <f t="shared" si="42"/>
        <v>33</v>
      </c>
      <c r="AM70" s="22">
        <f t="shared" si="42"/>
        <v>32</v>
      </c>
      <c r="AN70" s="22">
        <f t="shared" si="42"/>
        <v>31</v>
      </c>
      <c r="AO70" s="22">
        <f t="shared" si="42"/>
        <v>30</v>
      </c>
      <c r="AP70" s="22">
        <f t="shared" si="42"/>
        <v>29</v>
      </c>
      <c r="AQ70" s="22">
        <f t="shared" si="42"/>
        <v>28</v>
      </c>
      <c r="AR70" s="22">
        <f t="shared" si="42"/>
        <v>27</v>
      </c>
      <c r="AS70" s="22">
        <f t="shared" si="42"/>
        <v>26</v>
      </c>
      <c r="AT70" s="22">
        <f t="shared" si="42"/>
        <v>25</v>
      </c>
      <c r="AU70" s="22">
        <f t="shared" si="42"/>
        <v>24</v>
      </c>
      <c r="AV70" s="22">
        <f t="shared" si="42"/>
        <v>23</v>
      </c>
      <c r="AW70" s="22">
        <f t="shared" si="42"/>
        <v>22</v>
      </c>
      <c r="AX70" s="23">
        <f t="shared" si="42"/>
        <v>21</v>
      </c>
      <c r="AY70" s="23">
        <f t="shared" si="42"/>
        <v>20</v>
      </c>
      <c r="AZ70" s="23">
        <f t="shared" si="42"/>
        <v>19</v>
      </c>
      <c r="BA70" s="23">
        <f t="shared" si="42"/>
        <v>18</v>
      </c>
      <c r="BB70" s="23">
        <f t="shared" si="42"/>
        <v>17</v>
      </c>
      <c r="BC70" s="23">
        <f t="shared" si="42"/>
        <v>16</v>
      </c>
      <c r="BD70" s="23">
        <f t="shared" si="42"/>
        <v>15</v>
      </c>
      <c r="BE70" s="23">
        <f t="shared" si="42"/>
        <v>14</v>
      </c>
      <c r="BF70" s="23">
        <f t="shared" si="42"/>
        <v>13</v>
      </c>
      <c r="BG70" s="23">
        <f t="shared" si="42"/>
        <v>12</v>
      </c>
      <c r="BH70" s="23">
        <f t="shared" si="42"/>
        <v>11</v>
      </c>
      <c r="BI70" s="23">
        <f t="shared" si="42"/>
        <v>10</v>
      </c>
      <c r="BJ70" s="23">
        <f t="shared" si="42"/>
        <v>9</v>
      </c>
      <c r="BK70" s="23">
        <f t="shared" si="42"/>
        <v>8</v>
      </c>
      <c r="BL70" s="23">
        <f t="shared" si="42"/>
        <v>7</v>
      </c>
      <c r="BM70" s="23">
        <f t="shared" si="42"/>
        <v>6</v>
      </c>
      <c r="BN70" s="23">
        <f t="shared" si="42"/>
        <v>5</v>
      </c>
      <c r="BO70" s="23">
        <f t="shared" si="42"/>
        <v>4</v>
      </c>
      <c r="BP70" s="23">
        <f t="shared" si="42"/>
        <v>3</v>
      </c>
      <c r="BQ70" s="23">
        <f t="shared" si="42"/>
        <v>2</v>
      </c>
      <c r="BR70" s="23">
        <f t="shared" si="42"/>
        <v>1</v>
      </c>
      <c r="BS70" s="23">
        <f t="shared" ref="BS70:BS86" si="45">(BS$103-$C70)</f>
        <v>0</v>
      </c>
    </row>
    <row r="71" spans="3:81" ht="13.35" customHeight="1" x14ac:dyDescent="0.25">
      <c r="C71" s="336">
        <v>32</v>
      </c>
      <c r="D71" s="2">
        <f t="shared" si="43"/>
        <v>68</v>
      </c>
      <c r="E71" s="2">
        <f t="shared" si="41"/>
        <v>67</v>
      </c>
      <c r="F71" s="2">
        <f t="shared" si="44"/>
        <v>66</v>
      </c>
      <c r="G71" s="2">
        <f t="shared" si="42"/>
        <v>65</v>
      </c>
      <c r="H71" s="2">
        <f t="shared" si="42"/>
        <v>64</v>
      </c>
      <c r="I71" s="2">
        <f t="shared" si="42"/>
        <v>63</v>
      </c>
      <c r="J71" s="2">
        <f t="shared" si="42"/>
        <v>62</v>
      </c>
      <c r="K71" s="2">
        <f t="shared" si="42"/>
        <v>61</v>
      </c>
      <c r="L71" s="2">
        <f t="shared" si="42"/>
        <v>60</v>
      </c>
      <c r="M71" s="2">
        <f t="shared" si="42"/>
        <v>59</v>
      </c>
      <c r="N71" s="2">
        <f t="shared" si="42"/>
        <v>58</v>
      </c>
      <c r="O71" s="2">
        <f t="shared" si="42"/>
        <v>57</v>
      </c>
      <c r="P71" s="2">
        <f t="shared" si="42"/>
        <v>56</v>
      </c>
      <c r="Q71" s="2">
        <f t="shared" si="42"/>
        <v>55</v>
      </c>
      <c r="R71" s="2">
        <f t="shared" si="42"/>
        <v>54</v>
      </c>
      <c r="S71" s="2">
        <f t="shared" si="42"/>
        <v>53</v>
      </c>
      <c r="T71" s="2">
        <f t="shared" si="42"/>
        <v>52</v>
      </c>
      <c r="U71" s="2">
        <f t="shared" si="42"/>
        <v>51</v>
      </c>
      <c r="V71" s="2">
        <f t="shared" si="42"/>
        <v>50</v>
      </c>
      <c r="W71" s="2">
        <f t="shared" si="42"/>
        <v>49</v>
      </c>
      <c r="X71" s="2">
        <f t="shared" si="42"/>
        <v>48</v>
      </c>
      <c r="Y71" s="22">
        <f t="shared" si="42"/>
        <v>47</v>
      </c>
      <c r="Z71" s="22">
        <f t="shared" si="42"/>
        <v>46</v>
      </c>
      <c r="AA71" s="22">
        <f t="shared" si="42"/>
        <v>45</v>
      </c>
      <c r="AB71" s="22">
        <f t="shared" si="42"/>
        <v>44</v>
      </c>
      <c r="AC71" s="22">
        <f t="shared" si="42"/>
        <v>43</v>
      </c>
      <c r="AD71" s="22">
        <f t="shared" si="42"/>
        <v>42</v>
      </c>
      <c r="AE71" s="22">
        <f t="shared" si="42"/>
        <v>41</v>
      </c>
      <c r="AF71" s="22">
        <f t="shared" si="42"/>
        <v>40</v>
      </c>
      <c r="AG71" s="22">
        <f t="shared" si="42"/>
        <v>39</v>
      </c>
      <c r="AH71" s="22">
        <f t="shared" si="42"/>
        <v>38</v>
      </c>
      <c r="AI71" s="22">
        <f t="shared" si="42"/>
        <v>37</v>
      </c>
      <c r="AJ71" s="22">
        <f t="shared" si="42"/>
        <v>36</v>
      </c>
      <c r="AK71" s="22">
        <f t="shared" si="42"/>
        <v>35</v>
      </c>
      <c r="AL71" s="22">
        <f t="shared" si="42"/>
        <v>34</v>
      </c>
      <c r="AM71" s="22">
        <f t="shared" si="42"/>
        <v>33</v>
      </c>
      <c r="AN71" s="22">
        <f t="shared" si="42"/>
        <v>32</v>
      </c>
      <c r="AO71" s="22">
        <f t="shared" si="42"/>
        <v>31</v>
      </c>
      <c r="AP71" s="22">
        <f t="shared" si="42"/>
        <v>30</v>
      </c>
      <c r="AQ71" s="22">
        <f t="shared" si="42"/>
        <v>29</v>
      </c>
      <c r="AR71" s="22">
        <f t="shared" si="42"/>
        <v>28</v>
      </c>
      <c r="AS71" s="22">
        <f t="shared" si="42"/>
        <v>27</v>
      </c>
      <c r="AT71" s="22">
        <f t="shared" si="42"/>
        <v>26</v>
      </c>
      <c r="AU71" s="22">
        <f t="shared" si="42"/>
        <v>25</v>
      </c>
      <c r="AV71" s="22">
        <f t="shared" si="42"/>
        <v>24</v>
      </c>
      <c r="AW71" s="22">
        <f t="shared" si="42"/>
        <v>23</v>
      </c>
      <c r="AX71" s="23">
        <f t="shared" si="42"/>
        <v>22</v>
      </c>
      <c r="AY71" s="23">
        <f t="shared" si="42"/>
        <v>21</v>
      </c>
      <c r="AZ71" s="23">
        <f t="shared" si="42"/>
        <v>20</v>
      </c>
      <c r="BA71" s="23">
        <f t="shared" si="42"/>
        <v>19</v>
      </c>
      <c r="BB71" s="23">
        <f t="shared" si="42"/>
        <v>18</v>
      </c>
      <c r="BC71" s="23">
        <f t="shared" si="42"/>
        <v>17</v>
      </c>
      <c r="BD71" s="23">
        <f t="shared" si="42"/>
        <v>16</v>
      </c>
      <c r="BE71" s="23">
        <f t="shared" si="42"/>
        <v>15</v>
      </c>
      <c r="BF71" s="23">
        <f t="shared" si="42"/>
        <v>14</v>
      </c>
      <c r="BG71" s="23">
        <f t="shared" si="42"/>
        <v>13</v>
      </c>
      <c r="BH71" s="23">
        <f t="shared" si="42"/>
        <v>12</v>
      </c>
      <c r="BI71" s="23">
        <f t="shared" si="42"/>
        <v>11</v>
      </c>
      <c r="BJ71" s="23">
        <f t="shared" si="42"/>
        <v>10</v>
      </c>
      <c r="BK71" s="23">
        <f t="shared" si="42"/>
        <v>9</v>
      </c>
      <c r="BL71" s="23">
        <f t="shared" si="42"/>
        <v>8</v>
      </c>
      <c r="BM71" s="23">
        <f t="shared" si="42"/>
        <v>7</v>
      </c>
      <c r="BN71" s="23">
        <f t="shared" si="42"/>
        <v>6</v>
      </c>
      <c r="BO71" s="23">
        <f t="shared" si="42"/>
        <v>5</v>
      </c>
      <c r="BP71" s="23">
        <f t="shared" si="42"/>
        <v>4</v>
      </c>
      <c r="BQ71" s="23">
        <f t="shared" si="42"/>
        <v>3</v>
      </c>
      <c r="BR71" s="23">
        <f>(BR$103-$C71)</f>
        <v>2</v>
      </c>
      <c r="BS71" s="23">
        <f t="shared" si="45"/>
        <v>1</v>
      </c>
      <c r="BT71" s="23">
        <f t="shared" ref="BT71:BT86" si="46">(BT$103-$C71)</f>
        <v>0</v>
      </c>
    </row>
    <row r="72" spans="3:81" ht="13.35" customHeight="1" x14ac:dyDescent="0.25">
      <c r="C72" s="336">
        <v>31</v>
      </c>
      <c r="D72" s="2">
        <f t="shared" si="43"/>
        <v>69</v>
      </c>
      <c r="E72" s="2">
        <f t="shared" si="41"/>
        <v>68</v>
      </c>
      <c r="F72" s="2">
        <f t="shared" si="44"/>
        <v>67</v>
      </c>
      <c r="G72" s="2">
        <f t="shared" ref="G72:BR75" si="47">(G$103-$C72)</f>
        <v>66</v>
      </c>
      <c r="H72" s="2">
        <f t="shared" si="47"/>
        <v>65</v>
      </c>
      <c r="I72" s="2">
        <f t="shared" si="47"/>
        <v>64</v>
      </c>
      <c r="J72" s="2">
        <f t="shared" si="47"/>
        <v>63</v>
      </c>
      <c r="K72" s="2">
        <f t="shared" si="47"/>
        <v>62</v>
      </c>
      <c r="L72" s="2">
        <f t="shared" si="47"/>
        <v>61</v>
      </c>
      <c r="M72" s="2">
        <f t="shared" si="47"/>
        <v>60</v>
      </c>
      <c r="N72" s="2">
        <f t="shared" si="47"/>
        <v>59</v>
      </c>
      <c r="O72" s="2">
        <f t="shared" si="47"/>
        <v>58</v>
      </c>
      <c r="P72" s="2">
        <f t="shared" si="47"/>
        <v>57</v>
      </c>
      <c r="Q72" s="2">
        <f t="shared" si="47"/>
        <v>56</v>
      </c>
      <c r="R72" s="2">
        <f t="shared" si="47"/>
        <v>55</v>
      </c>
      <c r="S72" s="2">
        <f t="shared" si="47"/>
        <v>54</v>
      </c>
      <c r="T72" s="2">
        <f t="shared" si="47"/>
        <v>53</v>
      </c>
      <c r="U72" s="2">
        <f t="shared" si="47"/>
        <v>52</v>
      </c>
      <c r="V72" s="2">
        <f t="shared" si="47"/>
        <v>51</v>
      </c>
      <c r="W72" s="2">
        <f t="shared" si="47"/>
        <v>50</v>
      </c>
      <c r="X72" s="2">
        <f t="shared" si="47"/>
        <v>49</v>
      </c>
      <c r="Y72" s="22">
        <f t="shared" si="47"/>
        <v>48</v>
      </c>
      <c r="Z72" s="22">
        <f t="shared" si="47"/>
        <v>47</v>
      </c>
      <c r="AA72" s="22">
        <f t="shared" si="47"/>
        <v>46</v>
      </c>
      <c r="AB72" s="22">
        <f t="shared" si="47"/>
        <v>45</v>
      </c>
      <c r="AC72" s="22">
        <f t="shared" si="47"/>
        <v>44</v>
      </c>
      <c r="AD72" s="22">
        <f t="shared" si="47"/>
        <v>43</v>
      </c>
      <c r="AE72" s="22">
        <f t="shared" si="47"/>
        <v>42</v>
      </c>
      <c r="AF72" s="22">
        <f t="shared" si="47"/>
        <v>41</v>
      </c>
      <c r="AG72" s="22">
        <f t="shared" si="47"/>
        <v>40</v>
      </c>
      <c r="AH72" s="22">
        <f t="shared" si="47"/>
        <v>39</v>
      </c>
      <c r="AI72" s="22">
        <f t="shared" si="47"/>
        <v>38</v>
      </c>
      <c r="AJ72" s="22">
        <f t="shared" si="47"/>
        <v>37</v>
      </c>
      <c r="AK72" s="22">
        <f t="shared" si="47"/>
        <v>36</v>
      </c>
      <c r="AL72" s="22">
        <f t="shared" si="47"/>
        <v>35</v>
      </c>
      <c r="AM72" s="22">
        <f t="shared" si="47"/>
        <v>34</v>
      </c>
      <c r="AN72" s="22">
        <f t="shared" si="47"/>
        <v>33</v>
      </c>
      <c r="AO72" s="22">
        <f t="shared" si="47"/>
        <v>32</v>
      </c>
      <c r="AP72" s="22">
        <f t="shared" si="47"/>
        <v>31</v>
      </c>
      <c r="AQ72" s="22">
        <f t="shared" si="47"/>
        <v>30</v>
      </c>
      <c r="AR72" s="22">
        <f t="shared" si="47"/>
        <v>29</v>
      </c>
      <c r="AS72" s="22">
        <f t="shared" si="47"/>
        <v>28</v>
      </c>
      <c r="AT72" s="22">
        <f t="shared" si="47"/>
        <v>27</v>
      </c>
      <c r="AU72" s="22">
        <f t="shared" si="47"/>
        <v>26</v>
      </c>
      <c r="AV72" s="22">
        <f t="shared" si="47"/>
        <v>25</v>
      </c>
      <c r="AW72" s="22">
        <f t="shared" si="47"/>
        <v>24</v>
      </c>
      <c r="AX72" s="23">
        <f t="shared" si="47"/>
        <v>23</v>
      </c>
      <c r="AY72" s="23">
        <f t="shared" si="47"/>
        <v>22</v>
      </c>
      <c r="AZ72" s="23">
        <f t="shared" si="47"/>
        <v>21</v>
      </c>
      <c r="BA72" s="23">
        <f t="shared" si="47"/>
        <v>20</v>
      </c>
      <c r="BB72" s="23">
        <f t="shared" si="47"/>
        <v>19</v>
      </c>
      <c r="BC72" s="23">
        <f t="shared" si="47"/>
        <v>18</v>
      </c>
      <c r="BD72" s="23">
        <f t="shared" si="47"/>
        <v>17</v>
      </c>
      <c r="BE72" s="23">
        <f t="shared" si="47"/>
        <v>16</v>
      </c>
      <c r="BF72" s="23">
        <f t="shared" si="47"/>
        <v>15</v>
      </c>
      <c r="BG72" s="23">
        <f t="shared" si="47"/>
        <v>14</v>
      </c>
      <c r="BH72" s="23">
        <f t="shared" si="47"/>
        <v>13</v>
      </c>
      <c r="BI72" s="23">
        <f t="shared" si="47"/>
        <v>12</v>
      </c>
      <c r="BJ72" s="23">
        <f t="shared" si="47"/>
        <v>11</v>
      </c>
      <c r="BK72" s="23">
        <f t="shared" si="47"/>
        <v>10</v>
      </c>
      <c r="BL72" s="23">
        <f t="shared" si="47"/>
        <v>9</v>
      </c>
      <c r="BM72" s="23">
        <f t="shared" si="47"/>
        <v>8</v>
      </c>
      <c r="BN72" s="23">
        <f t="shared" si="47"/>
        <v>7</v>
      </c>
      <c r="BO72" s="23">
        <f t="shared" si="47"/>
        <v>6</v>
      </c>
      <c r="BP72" s="23">
        <f t="shared" si="47"/>
        <v>5</v>
      </c>
      <c r="BQ72" s="23">
        <f t="shared" si="47"/>
        <v>4</v>
      </c>
      <c r="BR72" s="23">
        <f t="shared" si="47"/>
        <v>3</v>
      </c>
      <c r="BS72" s="23">
        <f t="shared" si="45"/>
        <v>2</v>
      </c>
      <c r="BT72" s="23">
        <f t="shared" si="46"/>
        <v>1</v>
      </c>
      <c r="BU72" s="23">
        <f t="shared" ref="BU72:BU86" si="48">(BU$103-$C72)</f>
        <v>0</v>
      </c>
    </row>
    <row r="73" spans="3:81" ht="13.35" customHeight="1" x14ac:dyDescent="0.25">
      <c r="C73" s="336">
        <v>30</v>
      </c>
      <c r="D73" s="2">
        <f t="shared" si="43"/>
        <v>70</v>
      </c>
      <c r="E73" s="2">
        <f t="shared" si="41"/>
        <v>69</v>
      </c>
      <c r="F73" s="2">
        <f t="shared" si="44"/>
        <v>68</v>
      </c>
      <c r="G73" s="2">
        <f t="shared" si="47"/>
        <v>67</v>
      </c>
      <c r="H73" s="2">
        <f t="shared" si="47"/>
        <v>66</v>
      </c>
      <c r="I73" s="2">
        <f t="shared" si="47"/>
        <v>65</v>
      </c>
      <c r="J73" s="2">
        <f t="shared" si="47"/>
        <v>64</v>
      </c>
      <c r="K73" s="2">
        <f t="shared" si="47"/>
        <v>63</v>
      </c>
      <c r="L73" s="2">
        <f t="shared" si="47"/>
        <v>62</v>
      </c>
      <c r="M73" s="2">
        <f t="shared" si="47"/>
        <v>61</v>
      </c>
      <c r="N73" s="2">
        <f t="shared" si="47"/>
        <v>60</v>
      </c>
      <c r="O73" s="2">
        <f t="shared" si="47"/>
        <v>59</v>
      </c>
      <c r="P73" s="2">
        <f t="shared" si="47"/>
        <v>58</v>
      </c>
      <c r="Q73" s="2">
        <f t="shared" si="47"/>
        <v>57</v>
      </c>
      <c r="R73" s="2">
        <f t="shared" si="47"/>
        <v>56</v>
      </c>
      <c r="S73" s="2">
        <f t="shared" si="47"/>
        <v>55</v>
      </c>
      <c r="T73" s="2">
        <f t="shared" si="47"/>
        <v>54</v>
      </c>
      <c r="U73" s="2">
        <f t="shared" si="47"/>
        <v>53</v>
      </c>
      <c r="V73" s="2">
        <f t="shared" si="47"/>
        <v>52</v>
      </c>
      <c r="W73" s="2">
        <f t="shared" si="47"/>
        <v>51</v>
      </c>
      <c r="X73" s="2">
        <f t="shared" si="47"/>
        <v>50</v>
      </c>
      <c r="Y73" s="22">
        <f t="shared" si="47"/>
        <v>49</v>
      </c>
      <c r="Z73" s="22">
        <f t="shared" si="47"/>
        <v>48</v>
      </c>
      <c r="AA73" s="22">
        <f t="shared" si="47"/>
        <v>47</v>
      </c>
      <c r="AB73" s="22">
        <f t="shared" si="47"/>
        <v>46</v>
      </c>
      <c r="AC73" s="22">
        <f t="shared" si="47"/>
        <v>45</v>
      </c>
      <c r="AD73" s="22">
        <f t="shared" si="47"/>
        <v>44</v>
      </c>
      <c r="AE73" s="22">
        <f t="shared" si="47"/>
        <v>43</v>
      </c>
      <c r="AF73" s="22">
        <f t="shared" si="47"/>
        <v>42</v>
      </c>
      <c r="AG73" s="22">
        <f t="shared" si="47"/>
        <v>41</v>
      </c>
      <c r="AH73" s="22">
        <f t="shared" si="47"/>
        <v>40</v>
      </c>
      <c r="AI73" s="22">
        <f t="shared" si="47"/>
        <v>39</v>
      </c>
      <c r="AJ73" s="22">
        <f t="shared" si="47"/>
        <v>38</v>
      </c>
      <c r="AK73" s="22">
        <f t="shared" si="47"/>
        <v>37</v>
      </c>
      <c r="AL73" s="22">
        <f t="shared" si="47"/>
        <v>36</v>
      </c>
      <c r="AM73" s="22">
        <f t="shared" si="47"/>
        <v>35</v>
      </c>
      <c r="AN73" s="22">
        <f t="shared" si="47"/>
        <v>34</v>
      </c>
      <c r="AO73" s="22">
        <f t="shared" si="47"/>
        <v>33</v>
      </c>
      <c r="AP73" s="22">
        <f t="shared" si="47"/>
        <v>32</v>
      </c>
      <c r="AQ73" s="22">
        <f t="shared" si="47"/>
        <v>31</v>
      </c>
      <c r="AR73" s="22">
        <f t="shared" si="47"/>
        <v>30</v>
      </c>
      <c r="AS73" s="22">
        <f t="shared" si="47"/>
        <v>29</v>
      </c>
      <c r="AT73" s="22">
        <f t="shared" si="47"/>
        <v>28</v>
      </c>
      <c r="AU73" s="22">
        <f t="shared" si="47"/>
        <v>27</v>
      </c>
      <c r="AV73" s="22">
        <f t="shared" si="47"/>
        <v>26</v>
      </c>
      <c r="AW73" s="22">
        <f t="shared" si="47"/>
        <v>25</v>
      </c>
      <c r="AX73" s="23">
        <f t="shared" si="47"/>
        <v>24</v>
      </c>
      <c r="AY73" s="23">
        <f t="shared" si="47"/>
        <v>23</v>
      </c>
      <c r="AZ73" s="23">
        <f t="shared" si="47"/>
        <v>22</v>
      </c>
      <c r="BA73" s="23">
        <f t="shared" si="47"/>
        <v>21</v>
      </c>
      <c r="BB73" s="23">
        <f t="shared" si="47"/>
        <v>20</v>
      </c>
      <c r="BC73" s="23">
        <f t="shared" si="47"/>
        <v>19</v>
      </c>
      <c r="BD73" s="23">
        <f t="shared" si="47"/>
        <v>18</v>
      </c>
      <c r="BE73" s="23">
        <f t="shared" si="47"/>
        <v>17</v>
      </c>
      <c r="BF73" s="23">
        <f t="shared" si="47"/>
        <v>16</v>
      </c>
      <c r="BG73" s="23">
        <f t="shared" si="47"/>
        <v>15</v>
      </c>
      <c r="BH73" s="23">
        <f t="shared" si="47"/>
        <v>14</v>
      </c>
      <c r="BI73" s="23">
        <f t="shared" si="47"/>
        <v>13</v>
      </c>
      <c r="BJ73" s="23">
        <f t="shared" si="47"/>
        <v>12</v>
      </c>
      <c r="BK73" s="23">
        <f t="shared" si="47"/>
        <v>11</v>
      </c>
      <c r="BL73" s="23">
        <f t="shared" si="47"/>
        <v>10</v>
      </c>
      <c r="BM73" s="23">
        <f t="shared" si="47"/>
        <v>9</v>
      </c>
      <c r="BN73" s="23">
        <f t="shared" si="47"/>
        <v>8</v>
      </c>
      <c r="BO73" s="23">
        <f t="shared" si="47"/>
        <v>7</v>
      </c>
      <c r="BP73" s="23">
        <f t="shared" si="47"/>
        <v>6</v>
      </c>
      <c r="BQ73" s="23">
        <f t="shared" si="47"/>
        <v>5</v>
      </c>
      <c r="BR73" s="23">
        <f t="shared" si="47"/>
        <v>4</v>
      </c>
      <c r="BS73" s="23">
        <f t="shared" si="45"/>
        <v>3</v>
      </c>
      <c r="BT73" s="23">
        <f t="shared" si="46"/>
        <v>2</v>
      </c>
      <c r="BU73" s="23">
        <f t="shared" si="48"/>
        <v>1</v>
      </c>
      <c r="BV73" s="23">
        <f t="shared" ref="BV73:BV86" si="49">(BV$103-$C73)</f>
        <v>0</v>
      </c>
    </row>
    <row r="74" spans="3:81" ht="13.35" customHeight="1" x14ac:dyDescent="0.25">
      <c r="C74" s="336">
        <v>29</v>
      </c>
      <c r="D74" s="2">
        <f t="shared" si="43"/>
        <v>71</v>
      </c>
      <c r="E74" s="2">
        <f t="shared" si="41"/>
        <v>70</v>
      </c>
      <c r="F74" s="2">
        <f t="shared" si="44"/>
        <v>69</v>
      </c>
      <c r="G74" s="2">
        <f t="shared" si="47"/>
        <v>68</v>
      </c>
      <c r="H74" s="2">
        <f t="shared" si="47"/>
        <v>67</v>
      </c>
      <c r="I74" s="2">
        <f t="shared" si="47"/>
        <v>66</v>
      </c>
      <c r="J74" s="2">
        <f t="shared" si="47"/>
        <v>65</v>
      </c>
      <c r="K74" s="2">
        <f t="shared" si="47"/>
        <v>64</v>
      </c>
      <c r="L74" s="2">
        <f t="shared" si="47"/>
        <v>63</v>
      </c>
      <c r="M74" s="2">
        <f t="shared" si="47"/>
        <v>62</v>
      </c>
      <c r="N74" s="2">
        <f t="shared" si="47"/>
        <v>61</v>
      </c>
      <c r="O74" s="2">
        <f t="shared" si="47"/>
        <v>60</v>
      </c>
      <c r="P74" s="2">
        <f t="shared" si="47"/>
        <v>59</v>
      </c>
      <c r="Q74" s="2">
        <f t="shared" si="47"/>
        <v>58</v>
      </c>
      <c r="R74" s="2">
        <f t="shared" si="47"/>
        <v>57</v>
      </c>
      <c r="S74" s="2">
        <f t="shared" si="47"/>
        <v>56</v>
      </c>
      <c r="T74" s="2">
        <f t="shared" si="47"/>
        <v>55</v>
      </c>
      <c r="U74" s="2">
        <f t="shared" si="47"/>
        <v>54</v>
      </c>
      <c r="V74" s="2">
        <f t="shared" si="47"/>
        <v>53</v>
      </c>
      <c r="W74" s="2">
        <f t="shared" si="47"/>
        <v>52</v>
      </c>
      <c r="X74" s="2">
        <f t="shared" si="47"/>
        <v>51</v>
      </c>
      <c r="Y74" s="22">
        <f t="shared" si="47"/>
        <v>50</v>
      </c>
      <c r="Z74" s="22">
        <f t="shared" si="47"/>
        <v>49</v>
      </c>
      <c r="AA74" s="22">
        <f t="shared" si="47"/>
        <v>48</v>
      </c>
      <c r="AB74" s="22">
        <f t="shared" si="47"/>
        <v>47</v>
      </c>
      <c r="AC74" s="22">
        <f t="shared" si="47"/>
        <v>46</v>
      </c>
      <c r="AD74" s="22">
        <f t="shared" si="47"/>
        <v>45</v>
      </c>
      <c r="AE74" s="22">
        <f t="shared" si="47"/>
        <v>44</v>
      </c>
      <c r="AF74" s="22">
        <f t="shared" si="47"/>
        <v>43</v>
      </c>
      <c r="AG74" s="22">
        <f t="shared" si="47"/>
        <v>42</v>
      </c>
      <c r="AH74" s="22">
        <f t="shared" si="47"/>
        <v>41</v>
      </c>
      <c r="AI74" s="22">
        <f t="shared" si="47"/>
        <v>40</v>
      </c>
      <c r="AJ74" s="22">
        <f t="shared" si="47"/>
        <v>39</v>
      </c>
      <c r="AK74" s="22">
        <f t="shared" si="47"/>
        <v>38</v>
      </c>
      <c r="AL74" s="22">
        <f t="shared" si="47"/>
        <v>37</v>
      </c>
      <c r="AM74" s="22">
        <f t="shared" si="47"/>
        <v>36</v>
      </c>
      <c r="AN74" s="22">
        <f t="shared" si="47"/>
        <v>35</v>
      </c>
      <c r="AO74" s="22">
        <f t="shared" si="47"/>
        <v>34</v>
      </c>
      <c r="AP74" s="22">
        <f t="shared" si="47"/>
        <v>33</v>
      </c>
      <c r="AQ74" s="22">
        <f t="shared" si="47"/>
        <v>32</v>
      </c>
      <c r="AR74" s="22">
        <f t="shared" si="47"/>
        <v>31</v>
      </c>
      <c r="AS74" s="22">
        <f t="shared" si="47"/>
        <v>30</v>
      </c>
      <c r="AT74" s="22">
        <f t="shared" si="47"/>
        <v>29</v>
      </c>
      <c r="AU74" s="22">
        <f t="shared" si="47"/>
        <v>28</v>
      </c>
      <c r="AV74" s="22">
        <f t="shared" si="47"/>
        <v>27</v>
      </c>
      <c r="AW74" s="22">
        <f t="shared" si="47"/>
        <v>26</v>
      </c>
      <c r="AX74" s="23">
        <f t="shared" si="47"/>
        <v>25</v>
      </c>
      <c r="AY74" s="23">
        <f t="shared" si="47"/>
        <v>24</v>
      </c>
      <c r="AZ74" s="23">
        <f t="shared" si="47"/>
        <v>23</v>
      </c>
      <c r="BA74" s="23">
        <f t="shared" si="47"/>
        <v>22</v>
      </c>
      <c r="BB74" s="23">
        <f t="shared" si="47"/>
        <v>21</v>
      </c>
      <c r="BC74" s="23">
        <f t="shared" si="47"/>
        <v>20</v>
      </c>
      <c r="BD74" s="23">
        <f t="shared" si="47"/>
        <v>19</v>
      </c>
      <c r="BE74" s="23">
        <f t="shared" si="47"/>
        <v>18</v>
      </c>
      <c r="BF74" s="23">
        <f t="shared" si="47"/>
        <v>17</v>
      </c>
      <c r="BG74" s="23">
        <f t="shared" si="47"/>
        <v>16</v>
      </c>
      <c r="BH74" s="23">
        <f t="shared" si="47"/>
        <v>15</v>
      </c>
      <c r="BI74" s="23">
        <f t="shared" si="47"/>
        <v>14</v>
      </c>
      <c r="BJ74" s="23">
        <f t="shared" si="47"/>
        <v>13</v>
      </c>
      <c r="BK74" s="23">
        <f t="shared" si="47"/>
        <v>12</v>
      </c>
      <c r="BL74" s="23">
        <f t="shared" si="47"/>
        <v>11</v>
      </c>
      <c r="BM74" s="23">
        <f t="shared" si="47"/>
        <v>10</v>
      </c>
      <c r="BN74" s="23">
        <f t="shared" si="47"/>
        <v>9</v>
      </c>
      <c r="BO74" s="23">
        <f t="shared" si="47"/>
        <v>8</v>
      </c>
      <c r="BP74" s="23">
        <f t="shared" si="47"/>
        <v>7</v>
      </c>
      <c r="BQ74" s="23">
        <f t="shared" si="47"/>
        <v>6</v>
      </c>
      <c r="BR74" s="23">
        <f t="shared" si="47"/>
        <v>5</v>
      </c>
      <c r="BS74" s="23">
        <f t="shared" si="45"/>
        <v>4</v>
      </c>
      <c r="BT74" s="23">
        <f t="shared" si="46"/>
        <v>3</v>
      </c>
      <c r="BU74" s="23">
        <f t="shared" si="48"/>
        <v>2</v>
      </c>
      <c r="BV74" s="23">
        <f t="shared" si="49"/>
        <v>1</v>
      </c>
      <c r="BW74" s="23">
        <f t="shared" ref="BW74:BW86" si="50">(BW$103-$C74)</f>
        <v>0</v>
      </c>
    </row>
    <row r="75" spans="3:81" ht="13.35" customHeight="1" x14ac:dyDescent="0.25">
      <c r="C75" s="336">
        <v>28</v>
      </c>
      <c r="D75" s="2">
        <f t="shared" si="43"/>
        <v>72</v>
      </c>
      <c r="E75" s="2">
        <f t="shared" si="41"/>
        <v>71</v>
      </c>
      <c r="F75" s="2">
        <f t="shared" si="44"/>
        <v>70</v>
      </c>
      <c r="G75" s="2">
        <f t="shared" si="47"/>
        <v>69</v>
      </c>
      <c r="H75" s="2">
        <f t="shared" si="47"/>
        <v>68</v>
      </c>
      <c r="I75" s="2">
        <f t="shared" si="47"/>
        <v>67</v>
      </c>
      <c r="J75" s="2">
        <f t="shared" si="47"/>
        <v>66</v>
      </c>
      <c r="K75" s="2">
        <f t="shared" si="47"/>
        <v>65</v>
      </c>
      <c r="L75" s="2">
        <f t="shared" si="47"/>
        <v>64</v>
      </c>
      <c r="M75" s="2">
        <f t="shared" si="47"/>
        <v>63</v>
      </c>
      <c r="N75" s="2">
        <f t="shared" si="47"/>
        <v>62</v>
      </c>
      <c r="O75" s="2">
        <f t="shared" si="47"/>
        <v>61</v>
      </c>
      <c r="P75" s="2">
        <f t="shared" si="47"/>
        <v>60</v>
      </c>
      <c r="Q75" s="2">
        <f t="shared" si="47"/>
        <v>59</v>
      </c>
      <c r="R75" s="2">
        <f t="shared" si="47"/>
        <v>58</v>
      </c>
      <c r="S75" s="2">
        <f t="shared" si="47"/>
        <v>57</v>
      </c>
      <c r="T75" s="2">
        <f t="shared" si="47"/>
        <v>56</v>
      </c>
      <c r="U75" s="2">
        <f t="shared" si="47"/>
        <v>55</v>
      </c>
      <c r="V75" s="2">
        <f t="shared" si="47"/>
        <v>54</v>
      </c>
      <c r="W75" s="2">
        <f t="shared" si="47"/>
        <v>53</v>
      </c>
      <c r="X75" s="2">
        <f t="shared" si="47"/>
        <v>52</v>
      </c>
      <c r="Y75" s="22">
        <f t="shared" si="47"/>
        <v>51</v>
      </c>
      <c r="Z75" s="22">
        <f t="shared" si="47"/>
        <v>50</v>
      </c>
      <c r="AA75" s="22">
        <f t="shared" si="47"/>
        <v>49</v>
      </c>
      <c r="AB75" s="22">
        <f t="shared" si="47"/>
        <v>48</v>
      </c>
      <c r="AC75" s="22">
        <f t="shared" si="47"/>
        <v>47</v>
      </c>
      <c r="AD75" s="22">
        <f t="shared" si="47"/>
        <v>46</v>
      </c>
      <c r="AE75" s="22">
        <f t="shared" si="47"/>
        <v>45</v>
      </c>
      <c r="AF75" s="22">
        <f t="shared" si="47"/>
        <v>44</v>
      </c>
      <c r="AG75" s="22">
        <f t="shared" si="47"/>
        <v>43</v>
      </c>
      <c r="AH75" s="22">
        <f t="shared" si="47"/>
        <v>42</v>
      </c>
      <c r="AI75" s="22">
        <f t="shared" si="47"/>
        <v>41</v>
      </c>
      <c r="AJ75" s="22">
        <f t="shared" si="47"/>
        <v>40</v>
      </c>
      <c r="AK75" s="22">
        <f t="shared" si="47"/>
        <v>39</v>
      </c>
      <c r="AL75" s="22">
        <f t="shared" si="47"/>
        <v>38</v>
      </c>
      <c r="AM75" s="22">
        <f t="shared" si="47"/>
        <v>37</v>
      </c>
      <c r="AN75" s="22">
        <f t="shared" si="47"/>
        <v>36</v>
      </c>
      <c r="AO75" s="22">
        <f t="shared" si="47"/>
        <v>35</v>
      </c>
      <c r="AP75" s="22">
        <f t="shared" si="47"/>
        <v>34</v>
      </c>
      <c r="AQ75" s="22">
        <f t="shared" si="47"/>
        <v>33</v>
      </c>
      <c r="AR75" s="22">
        <f t="shared" si="47"/>
        <v>32</v>
      </c>
      <c r="AS75" s="22">
        <f t="shared" si="47"/>
        <v>31</v>
      </c>
      <c r="AT75" s="22">
        <f t="shared" si="47"/>
        <v>30</v>
      </c>
      <c r="AU75" s="22">
        <f t="shared" si="47"/>
        <v>29</v>
      </c>
      <c r="AV75" s="22">
        <f t="shared" si="47"/>
        <v>28</v>
      </c>
      <c r="AW75" s="22">
        <f t="shared" si="47"/>
        <v>27</v>
      </c>
      <c r="AX75" s="23">
        <f t="shared" si="47"/>
        <v>26</v>
      </c>
      <c r="AY75" s="23">
        <f t="shared" si="47"/>
        <v>25</v>
      </c>
      <c r="AZ75" s="23">
        <f t="shared" si="47"/>
        <v>24</v>
      </c>
      <c r="BA75" s="23">
        <f t="shared" si="47"/>
        <v>23</v>
      </c>
      <c r="BB75" s="23">
        <f t="shared" si="47"/>
        <v>22</v>
      </c>
      <c r="BC75" s="23">
        <f t="shared" si="47"/>
        <v>21</v>
      </c>
      <c r="BD75" s="23">
        <f t="shared" si="47"/>
        <v>20</v>
      </c>
      <c r="BE75" s="23">
        <f t="shared" si="47"/>
        <v>19</v>
      </c>
      <c r="BF75" s="23">
        <f t="shared" si="47"/>
        <v>18</v>
      </c>
      <c r="BG75" s="23">
        <f t="shared" si="47"/>
        <v>17</v>
      </c>
      <c r="BH75" s="23">
        <f t="shared" si="47"/>
        <v>16</v>
      </c>
      <c r="BI75" s="23">
        <f t="shared" si="47"/>
        <v>15</v>
      </c>
      <c r="BJ75" s="23">
        <f t="shared" si="47"/>
        <v>14</v>
      </c>
      <c r="BK75" s="23">
        <f t="shared" si="47"/>
        <v>13</v>
      </c>
      <c r="BL75" s="23">
        <f t="shared" si="47"/>
        <v>12</v>
      </c>
      <c r="BM75" s="23">
        <f t="shared" si="47"/>
        <v>11</v>
      </c>
      <c r="BN75" s="23">
        <f t="shared" si="47"/>
        <v>10</v>
      </c>
      <c r="BO75" s="23">
        <f t="shared" si="47"/>
        <v>9</v>
      </c>
      <c r="BP75" s="23">
        <f t="shared" si="47"/>
        <v>8</v>
      </c>
      <c r="BQ75" s="23">
        <f t="shared" si="47"/>
        <v>7</v>
      </c>
      <c r="BR75" s="23">
        <f>(BR$103-$C75)</f>
        <v>6</v>
      </c>
      <c r="BS75" s="23">
        <f t="shared" si="45"/>
        <v>5</v>
      </c>
      <c r="BT75" s="23">
        <f t="shared" si="46"/>
        <v>4</v>
      </c>
      <c r="BU75" s="23">
        <f t="shared" si="48"/>
        <v>3</v>
      </c>
      <c r="BV75" s="23">
        <f t="shared" si="49"/>
        <v>2</v>
      </c>
      <c r="BW75" s="23">
        <f t="shared" si="50"/>
        <v>1</v>
      </c>
      <c r="BX75" s="23">
        <f t="shared" ref="BX75:BX86" si="51">(BX$103-$C75)</f>
        <v>0</v>
      </c>
    </row>
    <row r="76" spans="3:81" ht="13.35" customHeight="1" x14ac:dyDescent="0.25">
      <c r="C76" s="336">
        <v>27</v>
      </c>
      <c r="D76" s="19">
        <f t="shared" si="43"/>
        <v>73</v>
      </c>
      <c r="E76" s="19">
        <f t="shared" si="41"/>
        <v>72</v>
      </c>
      <c r="F76" s="19">
        <f t="shared" si="44"/>
        <v>71</v>
      </c>
      <c r="G76" s="19">
        <f t="shared" ref="G76:BR79" si="52">(G$103-$C76)</f>
        <v>70</v>
      </c>
      <c r="H76" s="19">
        <f t="shared" si="52"/>
        <v>69</v>
      </c>
      <c r="I76" s="19">
        <f t="shared" si="52"/>
        <v>68</v>
      </c>
      <c r="J76" s="19">
        <f t="shared" si="52"/>
        <v>67</v>
      </c>
      <c r="K76" s="19">
        <f t="shared" si="52"/>
        <v>66</v>
      </c>
      <c r="L76" s="19">
        <f t="shared" si="52"/>
        <v>65</v>
      </c>
      <c r="M76" s="19">
        <f t="shared" si="52"/>
        <v>64</v>
      </c>
      <c r="N76" s="19">
        <f t="shared" si="52"/>
        <v>63</v>
      </c>
      <c r="O76" s="19">
        <f t="shared" si="52"/>
        <v>62</v>
      </c>
      <c r="P76" s="19">
        <f t="shared" si="52"/>
        <v>61</v>
      </c>
      <c r="Q76" s="19">
        <f t="shared" si="52"/>
        <v>60</v>
      </c>
      <c r="R76" s="19">
        <f t="shared" si="52"/>
        <v>59</v>
      </c>
      <c r="S76" s="19">
        <f t="shared" si="52"/>
        <v>58</v>
      </c>
      <c r="T76" s="19">
        <f t="shared" si="52"/>
        <v>57</v>
      </c>
      <c r="U76" s="19">
        <f t="shared" si="52"/>
        <v>56</v>
      </c>
      <c r="V76" s="19">
        <f t="shared" si="52"/>
        <v>55</v>
      </c>
      <c r="W76" s="19">
        <f t="shared" si="52"/>
        <v>54</v>
      </c>
      <c r="X76" s="19">
        <f t="shared" si="52"/>
        <v>53</v>
      </c>
      <c r="Y76" s="19">
        <f t="shared" si="52"/>
        <v>52</v>
      </c>
      <c r="Z76" s="19">
        <f t="shared" si="52"/>
        <v>51</v>
      </c>
      <c r="AA76" s="19">
        <f t="shared" si="52"/>
        <v>50</v>
      </c>
      <c r="AB76">
        <f t="shared" si="52"/>
        <v>49</v>
      </c>
      <c r="AC76">
        <f t="shared" si="52"/>
        <v>48</v>
      </c>
      <c r="AD76">
        <f t="shared" si="52"/>
        <v>47</v>
      </c>
      <c r="AE76">
        <f t="shared" si="52"/>
        <v>46</v>
      </c>
      <c r="AF76">
        <f t="shared" si="52"/>
        <v>45</v>
      </c>
      <c r="AG76">
        <f t="shared" si="52"/>
        <v>44</v>
      </c>
      <c r="AH76">
        <f t="shared" si="52"/>
        <v>43</v>
      </c>
      <c r="AI76">
        <f t="shared" si="52"/>
        <v>42</v>
      </c>
      <c r="AJ76">
        <f t="shared" si="52"/>
        <v>41</v>
      </c>
      <c r="AK76">
        <f t="shared" si="52"/>
        <v>40</v>
      </c>
      <c r="AL76">
        <f t="shared" si="52"/>
        <v>39</v>
      </c>
      <c r="AM76">
        <f t="shared" si="52"/>
        <v>38</v>
      </c>
      <c r="AN76">
        <f t="shared" si="52"/>
        <v>37</v>
      </c>
      <c r="AO76">
        <f t="shared" si="52"/>
        <v>36</v>
      </c>
      <c r="AP76">
        <f t="shared" si="52"/>
        <v>35</v>
      </c>
      <c r="AQ76">
        <f t="shared" si="52"/>
        <v>34</v>
      </c>
      <c r="AR76">
        <f t="shared" si="52"/>
        <v>33</v>
      </c>
      <c r="AS76">
        <f t="shared" si="52"/>
        <v>32</v>
      </c>
      <c r="AT76">
        <f t="shared" si="52"/>
        <v>31</v>
      </c>
      <c r="AU76">
        <f t="shared" si="52"/>
        <v>30</v>
      </c>
      <c r="AV76">
        <f t="shared" si="52"/>
        <v>29</v>
      </c>
      <c r="AW76">
        <f t="shared" si="52"/>
        <v>28</v>
      </c>
      <c r="AX76">
        <f t="shared" si="52"/>
        <v>27</v>
      </c>
      <c r="AY76" s="23">
        <f t="shared" si="52"/>
        <v>26</v>
      </c>
      <c r="AZ76" s="23">
        <f t="shared" si="52"/>
        <v>25</v>
      </c>
      <c r="BA76" s="23">
        <f t="shared" si="52"/>
        <v>24</v>
      </c>
      <c r="BB76" s="23">
        <f t="shared" si="52"/>
        <v>23</v>
      </c>
      <c r="BC76" s="23">
        <f t="shared" si="52"/>
        <v>22</v>
      </c>
      <c r="BD76" s="23">
        <f t="shared" si="52"/>
        <v>21</v>
      </c>
      <c r="BE76" s="23">
        <f t="shared" si="52"/>
        <v>20</v>
      </c>
      <c r="BF76" s="23">
        <f t="shared" si="52"/>
        <v>19</v>
      </c>
      <c r="BG76" s="23">
        <f t="shared" si="52"/>
        <v>18</v>
      </c>
      <c r="BH76" s="23">
        <f t="shared" si="52"/>
        <v>17</v>
      </c>
      <c r="BI76" s="23">
        <f t="shared" si="52"/>
        <v>16</v>
      </c>
      <c r="BJ76" s="23">
        <f t="shared" si="52"/>
        <v>15</v>
      </c>
      <c r="BK76" s="23">
        <f t="shared" si="52"/>
        <v>14</v>
      </c>
      <c r="BL76" s="23">
        <f t="shared" si="52"/>
        <v>13</v>
      </c>
      <c r="BM76" s="23">
        <f t="shared" si="52"/>
        <v>12</v>
      </c>
      <c r="BN76" s="23">
        <f t="shared" si="52"/>
        <v>11</v>
      </c>
      <c r="BO76" s="23">
        <f t="shared" si="52"/>
        <v>10</v>
      </c>
      <c r="BP76" s="23">
        <f t="shared" si="52"/>
        <v>9</v>
      </c>
      <c r="BQ76" s="23">
        <f t="shared" si="52"/>
        <v>8</v>
      </c>
      <c r="BR76" s="23">
        <f t="shared" si="52"/>
        <v>7</v>
      </c>
      <c r="BS76" s="23">
        <f t="shared" si="45"/>
        <v>6</v>
      </c>
      <c r="BT76" s="23">
        <f t="shared" si="46"/>
        <v>5</v>
      </c>
      <c r="BU76" s="23">
        <f t="shared" si="48"/>
        <v>4</v>
      </c>
      <c r="BV76" s="23">
        <f t="shared" si="49"/>
        <v>3</v>
      </c>
      <c r="BW76" s="23">
        <f t="shared" si="50"/>
        <v>2</v>
      </c>
      <c r="BX76" s="23">
        <f t="shared" si="51"/>
        <v>1</v>
      </c>
      <c r="BY76" s="23">
        <f t="shared" ref="BY76:BY86" si="53">(BY$103-$C76)</f>
        <v>0</v>
      </c>
    </row>
    <row r="77" spans="3:81" ht="13.35" customHeight="1" x14ac:dyDescent="0.25">
      <c r="C77" s="336">
        <v>26</v>
      </c>
      <c r="D77" s="19">
        <f t="shared" si="43"/>
        <v>74</v>
      </c>
      <c r="E77" s="19">
        <f t="shared" si="41"/>
        <v>73</v>
      </c>
      <c r="F77" s="19">
        <f t="shared" si="44"/>
        <v>72</v>
      </c>
      <c r="G77" s="19">
        <f t="shared" si="52"/>
        <v>71</v>
      </c>
      <c r="H77" s="19">
        <f t="shared" si="52"/>
        <v>70</v>
      </c>
      <c r="I77" s="19">
        <f t="shared" si="52"/>
        <v>69</v>
      </c>
      <c r="J77" s="19">
        <f t="shared" si="52"/>
        <v>68</v>
      </c>
      <c r="K77" s="19">
        <f t="shared" si="52"/>
        <v>67</v>
      </c>
      <c r="L77" s="19">
        <f t="shared" si="52"/>
        <v>66</v>
      </c>
      <c r="M77" s="19">
        <f t="shared" si="52"/>
        <v>65</v>
      </c>
      <c r="N77" s="19">
        <f t="shared" si="52"/>
        <v>64</v>
      </c>
      <c r="O77" s="19">
        <f t="shared" si="52"/>
        <v>63</v>
      </c>
      <c r="P77" s="19">
        <f t="shared" si="52"/>
        <v>62</v>
      </c>
      <c r="Q77" s="19">
        <f t="shared" si="52"/>
        <v>61</v>
      </c>
      <c r="R77" s="19">
        <f t="shared" si="52"/>
        <v>60</v>
      </c>
      <c r="S77" s="19">
        <f t="shared" si="52"/>
        <v>59</v>
      </c>
      <c r="T77" s="19">
        <f t="shared" si="52"/>
        <v>58</v>
      </c>
      <c r="U77" s="19">
        <f t="shared" si="52"/>
        <v>57</v>
      </c>
      <c r="V77" s="19">
        <f t="shared" si="52"/>
        <v>56</v>
      </c>
      <c r="W77" s="19">
        <f t="shared" si="52"/>
        <v>55</v>
      </c>
      <c r="X77" s="19">
        <f t="shared" si="52"/>
        <v>54</v>
      </c>
      <c r="Y77" s="19">
        <f t="shared" si="52"/>
        <v>53</v>
      </c>
      <c r="Z77" s="19">
        <f t="shared" si="52"/>
        <v>52</v>
      </c>
      <c r="AA77" s="19">
        <f t="shared" si="52"/>
        <v>51</v>
      </c>
      <c r="AB77" s="19">
        <f t="shared" si="52"/>
        <v>50</v>
      </c>
      <c r="AC77">
        <f t="shared" si="52"/>
        <v>49</v>
      </c>
      <c r="AD77">
        <f t="shared" si="52"/>
        <v>48</v>
      </c>
      <c r="AE77">
        <f t="shared" si="52"/>
        <v>47</v>
      </c>
      <c r="AF77">
        <f t="shared" si="52"/>
        <v>46</v>
      </c>
      <c r="AG77">
        <f t="shared" si="52"/>
        <v>45</v>
      </c>
      <c r="AH77">
        <f t="shared" si="52"/>
        <v>44</v>
      </c>
      <c r="AI77">
        <f t="shared" si="52"/>
        <v>43</v>
      </c>
      <c r="AJ77">
        <f t="shared" si="52"/>
        <v>42</v>
      </c>
      <c r="AK77">
        <f t="shared" si="52"/>
        <v>41</v>
      </c>
      <c r="AL77">
        <f t="shared" si="52"/>
        <v>40</v>
      </c>
      <c r="AM77">
        <f t="shared" si="52"/>
        <v>39</v>
      </c>
      <c r="AN77">
        <f t="shared" si="52"/>
        <v>38</v>
      </c>
      <c r="AO77">
        <f t="shared" si="52"/>
        <v>37</v>
      </c>
      <c r="AP77">
        <f t="shared" si="52"/>
        <v>36</v>
      </c>
      <c r="AQ77">
        <f t="shared" si="52"/>
        <v>35</v>
      </c>
      <c r="AR77">
        <f t="shared" si="52"/>
        <v>34</v>
      </c>
      <c r="AS77">
        <f t="shared" si="52"/>
        <v>33</v>
      </c>
      <c r="AT77">
        <f t="shared" si="52"/>
        <v>32</v>
      </c>
      <c r="AU77">
        <f t="shared" si="52"/>
        <v>31</v>
      </c>
      <c r="AV77">
        <f t="shared" si="52"/>
        <v>30</v>
      </c>
      <c r="AW77">
        <f t="shared" si="52"/>
        <v>29</v>
      </c>
      <c r="AX77">
        <f t="shared" si="52"/>
        <v>28</v>
      </c>
      <c r="AY77">
        <f t="shared" si="52"/>
        <v>27</v>
      </c>
      <c r="AZ77" s="23">
        <f t="shared" si="52"/>
        <v>26</v>
      </c>
      <c r="BA77" s="23">
        <f t="shared" si="52"/>
        <v>25</v>
      </c>
      <c r="BB77" s="23">
        <f t="shared" si="52"/>
        <v>24</v>
      </c>
      <c r="BC77" s="23">
        <f t="shared" si="52"/>
        <v>23</v>
      </c>
      <c r="BD77" s="23">
        <f t="shared" si="52"/>
        <v>22</v>
      </c>
      <c r="BE77" s="23">
        <f t="shared" si="52"/>
        <v>21</v>
      </c>
      <c r="BF77" s="23">
        <f t="shared" si="52"/>
        <v>20</v>
      </c>
      <c r="BG77" s="23">
        <f t="shared" si="52"/>
        <v>19</v>
      </c>
      <c r="BH77" s="23">
        <f t="shared" si="52"/>
        <v>18</v>
      </c>
      <c r="BI77" s="23">
        <f t="shared" si="52"/>
        <v>17</v>
      </c>
      <c r="BJ77" s="23">
        <f t="shared" si="52"/>
        <v>16</v>
      </c>
      <c r="BK77" s="23">
        <f t="shared" si="52"/>
        <v>15</v>
      </c>
      <c r="BL77" s="23">
        <f t="shared" si="52"/>
        <v>14</v>
      </c>
      <c r="BM77" s="23">
        <f t="shared" si="52"/>
        <v>13</v>
      </c>
      <c r="BN77" s="23">
        <f t="shared" si="52"/>
        <v>12</v>
      </c>
      <c r="BO77" s="23">
        <f t="shared" si="52"/>
        <v>11</v>
      </c>
      <c r="BP77" s="23">
        <f t="shared" si="52"/>
        <v>10</v>
      </c>
      <c r="BQ77" s="23">
        <f t="shared" si="52"/>
        <v>9</v>
      </c>
      <c r="BR77" s="23">
        <f t="shared" si="52"/>
        <v>8</v>
      </c>
      <c r="BS77" s="23">
        <f t="shared" si="45"/>
        <v>7</v>
      </c>
      <c r="BT77" s="23">
        <f t="shared" si="46"/>
        <v>6</v>
      </c>
      <c r="BU77" s="23">
        <f t="shared" si="48"/>
        <v>5</v>
      </c>
      <c r="BV77" s="23">
        <f t="shared" si="49"/>
        <v>4</v>
      </c>
      <c r="BW77" s="23">
        <f t="shared" si="50"/>
        <v>3</v>
      </c>
      <c r="BX77" s="23">
        <f t="shared" si="51"/>
        <v>2</v>
      </c>
      <c r="BY77" s="23">
        <f t="shared" si="53"/>
        <v>1</v>
      </c>
      <c r="BZ77" s="23">
        <f t="shared" ref="BZ77:BZ86" si="54">(BZ$103-$C77)</f>
        <v>0</v>
      </c>
    </row>
    <row r="78" spans="3:81" ht="13.35" customHeight="1" x14ac:dyDescent="0.25">
      <c r="C78" s="336">
        <v>25</v>
      </c>
      <c r="D78" s="19">
        <f t="shared" si="43"/>
        <v>75</v>
      </c>
      <c r="E78" s="19">
        <f t="shared" si="41"/>
        <v>74</v>
      </c>
      <c r="F78" s="19">
        <f t="shared" si="44"/>
        <v>73</v>
      </c>
      <c r="G78" s="19">
        <f t="shared" si="52"/>
        <v>72</v>
      </c>
      <c r="H78" s="19">
        <f t="shared" si="52"/>
        <v>71</v>
      </c>
      <c r="I78" s="19">
        <f t="shared" si="52"/>
        <v>70</v>
      </c>
      <c r="J78" s="19">
        <f t="shared" si="52"/>
        <v>69</v>
      </c>
      <c r="K78" s="19">
        <f t="shared" si="52"/>
        <v>68</v>
      </c>
      <c r="L78" s="19">
        <f t="shared" si="52"/>
        <v>67</v>
      </c>
      <c r="M78" s="19">
        <f t="shared" si="52"/>
        <v>66</v>
      </c>
      <c r="N78" s="19">
        <f t="shared" si="52"/>
        <v>65</v>
      </c>
      <c r="O78" s="19">
        <f t="shared" si="52"/>
        <v>64</v>
      </c>
      <c r="P78" s="19">
        <f t="shared" si="52"/>
        <v>63</v>
      </c>
      <c r="Q78" s="19">
        <f t="shared" si="52"/>
        <v>62</v>
      </c>
      <c r="R78" s="19">
        <f t="shared" si="52"/>
        <v>61</v>
      </c>
      <c r="S78" s="19">
        <f t="shared" si="52"/>
        <v>60</v>
      </c>
      <c r="T78" s="19">
        <f t="shared" si="52"/>
        <v>59</v>
      </c>
      <c r="U78" s="19">
        <f t="shared" si="52"/>
        <v>58</v>
      </c>
      <c r="V78" s="19">
        <f t="shared" si="52"/>
        <v>57</v>
      </c>
      <c r="W78" s="19">
        <f t="shared" si="52"/>
        <v>56</v>
      </c>
      <c r="X78" s="19">
        <f t="shared" si="52"/>
        <v>55</v>
      </c>
      <c r="Y78" s="19">
        <f t="shared" si="52"/>
        <v>54</v>
      </c>
      <c r="Z78" s="19">
        <f t="shared" si="52"/>
        <v>53</v>
      </c>
      <c r="AA78" s="19">
        <f t="shared" si="52"/>
        <v>52</v>
      </c>
      <c r="AB78" s="19">
        <f t="shared" si="52"/>
        <v>51</v>
      </c>
      <c r="AC78" s="19">
        <f t="shared" si="52"/>
        <v>50</v>
      </c>
      <c r="AD78">
        <f t="shared" si="52"/>
        <v>49</v>
      </c>
      <c r="AE78">
        <f t="shared" si="52"/>
        <v>48</v>
      </c>
      <c r="AF78">
        <f t="shared" si="52"/>
        <v>47</v>
      </c>
      <c r="AG78">
        <f t="shared" si="52"/>
        <v>46</v>
      </c>
      <c r="AH78">
        <f t="shared" si="52"/>
        <v>45</v>
      </c>
      <c r="AI78">
        <f t="shared" si="52"/>
        <v>44</v>
      </c>
      <c r="AJ78">
        <f t="shared" si="52"/>
        <v>43</v>
      </c>
      <c r="AK78">
        <f t="shared" si="52"/>
        <v>42</v>
      </c>
      <c r="AL78">
        <f t="shared" si="52"/>
        <v>41</v>
      </c>
      <c r="AM78">
        <f t="shared" si="52"/>
        <v>40</v>
      </c>
      <c r="AN78">
        <f t="shared" si="52"/>
        <v>39</v>
      </c>
      <c r="AO78">
        <f t="shared" si="52"/>
        <v>38</v>
      </c>
      <c r="AP78">
        <f t="shared" si="52"/>
        <v>37</v>
      </c>
      <c r="AQ78">
        <f t="shared" si="52"/>
        <v>36</v>
      </c>
      <c r="AR78">
        <f t="shared" si="52"/>
        <v>35</v>
      </c>
      <c r="AS78">
        <f t="shared" si="52"/>
        <v>34</v>
      </c>
      <c r="AT78">
        <f t="shared" si="52"/>
        <v>33</v>
      </c>
      <c r="AU78">
        <f t="shared" si="52"/>
        <v>32</v>
      </c>
      <c r="AV78">
        <f t="shared" si="52"/>
        <v>31</v>
      </c>
      <c r="AW78">
        <f t="shared" si="52"/>
        <v>30</v>
      </c>
      <c r="AX78">
        <f t="shared" si="52"/>
        <v>29</v>
      </c>
      <c r="AY78">
        <f t="shared" si="52"/>
        <v>28</v>
      </c>
      <c r="AZ78">
        <f t="shared" si="52"/>
        <v>27</v>
      </c>
      <c r="BA78" s="23">
        <f t="shared" si="52"/>
        <v>26</v>
      </c>
      <c r="BB78" s="23">
        <f t="shared" si="52"/>
        <v>25</v>
      </c>
      <c r="BC78" s="23">
        <f t="shared" si="52"/>
        <v>24</v>
      </c>
      <c r="BD78" s="23">
        <f t="shared" si="52"/>
        <v>23</v>
      </c>
      <c r="BE78" s="23">
        <f t="shared" si="52"/>
        <v>22</v>
      </c>
      <c r="BF78" s="23">
        <f t="shared" si="52"/>
        <v>21</v>
      </c>
      <c r="BG78" s="23">
        <f t="shared" si="52"/>
        <v>20</v>
      </c>
      <c r="BH78" s="23">
        <f t="shared" si="52"/>
        <v>19</v>
      </c>
      <c r="BI78" s="23">
        <f t="shared" si="52"/>
        <v>18</v>
      </c>
      <c r="BJ78" s="23">
        <f t="shared" si="52"/>
        <v>17</v>
      </c>
      <c r="BK78" s="23">
        <f t="shared" si="52"/>
        <v>16</v>
      </c>
      <c r="BL78" s="23">
        <f t="shared" si="52"/>
        <v>15</v>
      </c>
      <c r="BM78" s="23">
        <f t="shared" si="52"/>
        <v>14</v>
      </c>
      <c r="BN78" s="23">
        <f t="shared" si="52"/>
        <v>13</v>
      </c>
      <c r="BO78" s="23">
        <f t="shared" si="52"/>
        <v>12</v>
      </c>
      <c r="BP78" s="23">
        <f t="shared" si="52"/>
        <v>11</v>
      </c>
      <c r="BQ78" s="23">
        <f t="shared" si="52"/>
        <v>10</v>
      </c>
      <c r="BR78" s="23">
        <f t="shared" si="52"/>
        <v>9</v>
      </c>
      <c r="BS78" s="23">
        <f t="shared" si="45"/>
        <v>8</v>
      </c>
      <c r="BT78" s="23">
        <f t="shared" si="46"/>
        <v>7</v>
      </c>
      <c r="BU78" s="23">
        <f t="shared" si="48"/>
        <v>6</v>
      </c>
      <c r="BV78" s="23">
        <f t="shared" si="49"/>
        <v>5</v>
      </c>
      <c r="BW78" s="23">
        <f t="shared" si="50"/>
        <v>4</v>
      </c>
      <c r="BX78" s="23">
        <f t="shared" si="51"/>
        <v>3</v>
      </c>
      <c r="BY78" s="23">
        <f t="shared" si="53"/>
        <v>2</v>
      </c>
      <c r="BZ78" s="23">
        <f t="shared" si="54"/>
        <v>1</v>
      </c>
      <c r="CA78" s="23">
        <f t="shared" ref="CA78:CA86" si="55">(CA$103-$C78)</f>
        <v>0</v>
      </c>
    </row>
    <row r="79" spans="3:81" ht="13.35" customHeight="1" x14ac:dyDescent="0.25">
      <c r="C79" s="336">
        <v>24</v>
      </c>
      <c r="D79" s="19">
        <f t="shared" si="43"/>
        <v>76</v>
      </c>
      <c r="E79" s="19">
        <f t="shared" si="41"/>
        <v>75</v>
      </c>
      <c r="F79" s="19">
        <f t="shared" si="44"/>
        <v>74</v>
      </c>
      <c r="G79" s="19">
        <f t="shared" si="52"/>
        <v>73</v>
      </c>
      <c r="H79" s="19">
        <f t="shared" si="52"/>
        <v>72</v>
      </c>
      <c r="I79" s="19">
        <f t="shared" si="52"/>
        <v>71</v>
      </c>
      <c r="J79" s="19">
        <f t="shared" si="52"/>
        <v>70</v>
      </c>
      <c r="K79" s="19">
        <f t="shared" si="52"/>
        <v>69</v>
      </c>
      <c r="L79" s="19">
        <f t="shared" si="52"/>
        <v>68</v>
      </c>
      <c r="M79" s="19">
        <f t="shared" si="52"/>
        <v>67</v>
      </c>
      <c r="N79" s="19">
        <f t="shared" si="52"/>
        <v>66</v>
      </c>
      <c r="O79" s="19">
        <f t="shared" si="52"/>
        <v>65</v>
      </c>
      <c r="P79" s="19">
        <f t="shared" si="52"/>
        <v>64</v>
      </c>
      <c r="Q79" s="19">
        <f t="shared" si="52"/>
        <v>63</v>
      </c>
      <c r="R79" s="19">
        <f t="shared" si="52"/>
        <v>62</v>
      </c>
      <c r="S79" s="19">
        <f t="shared" si="52"/>
        <v>61</v>
      </c>
      <c r="T79" s="19">
        <f t="shared" si="52"/>
        <v>60</v>
      </c>
      <c r="U79" s="19">
        <f t="shared" si="52"/>
        <v>59</v>
      </c>
      <c r="V79" s="19">
        <f t="shared" si="52"/>
        <v>58</v>
      </c>
      <c r="W79" s="19">
        <f t="shared" si="52"/>
        <v>57</v>
      </c>
      <c r="X79" s="19">
        <f t="shared" si="52"/>
        <v>56</v>
      </c>
      <c r="Y79" s="19">
        <f t="shared" si="52"/>
        <v>55</v>
      </c>
      <c r="Z79" s="19">
        <f t="shared" si="52"/>
        <v>54</v>
      </c>
      <c r="AA79" s="19">
        <f t="shared" si="52"/>
        <v>53</v>
      </c>
      <c r="AB79" s="19">
        <f t="shared" si="52"/>
        <v>52</v>
      </c>
      <c r="AC79" s="19">
        <f t="shared" si="52"/>
        <v>51</v>
      </c>
      <c r="AD79" s="19">
        <f t="shared" si="52"/>
        <v>50</v>
      </c>
      <c r="AE79">
        <f t="shared" si="52"/>
        <v>49</v>
      </c>
      <c r="AF79">
        <f t="shared" si="52"/>
        <v>48</v>
      </c>
      <c r="AG79">
        <f t="shared" si="52"/>
        <v>47</v>
      </c>
      <c r="AH79">
        <f t="shared" si="52"/>
        <v>46</v>
      </c>
      <c r="AI79">
        <f t="shared" si="52"/>
        <v>45</v>
      </c>
      <c r="AJ79">
        <f t="shared" si="52"/>
        <v>44</v>
      </c>
      <c r="AK79">
        <f t="shared" si="52"/>
        <v>43</v>
      </c>
      <c r="AL79">
        <f t="shared" si="52"/>
        <v>42</v>
      </c>
      <c r="AM79">
        <f t="shared" si="52"/>
        <v>41</v>
      </c>
      <c r="AN79">
        <f t="shared" si="52"/>
        <v>40</v>
      </c>
      <c r="AO79">
        <f t="shared" si="52"/>
        <v>39</v>
      </c>
      <c r="AP79">
        <f t="shared" si="52"/>
        <v>38</v>
      </c>
      <c r="AQ79">
        <f t="shared" si="52"/>
        <v>37</v>
      </c>
      <c r="AR79">
        <f t="shared" si="52"/>
        <v>36</v>
      </c>
      <c r="AS79">
        <f t="shared" si="52"/>
        <v>35</v>
      </c>
      <c r="AT79">
        <f t="shared" si="52"/>
        <v>34</v>
      </c>
      <c r="AU79">
        <f t="shared" si="52"/>
        <v>33</v>
      </c>
      <c r="AV79">
        <f t="shared" si="52"/>
        <v>32</v>
      </c>
      <c r="AW79">
        <f t="shared" si="52"/>
        <v>31</v>
      </c>
      <c r="AX79">
        <f t="shared" si="52"/>
        <v>30</v>
      </c>
      <c r="AY79">
        <f t="shared" si="52"/>
        <v>29</v>
      </c>
      <c r="AZ79">
        <f t="shared" si="52"/>
        <v>28</v>
      </c>
      <c r="BA79">
        <f t="shared" si="52"/>
        <v>27</v>
      </c>
      <c r="BB79" s="23">
        <f t="shared" si="52"/>
        <v>26</v>
      </c>
      <c r="BC79" s="23">
        <f t="shared" si="52"/>
        <v>25</v>
      </c>
      <c r="BD79" s="23">
        <f t="shared" si="52"/>
        <v>24</v>
      </c>
      <c r="BE79" s="23">
        <f t="shared" si="52"/>
        <v>23</v>
      </c>
      <c r="BF79" s="23">
        <f t="shared" si="52"/>
        <v>22</v>
      </c>
      <c r="BG79" s="23">
        <f t="shared" si="52"/>
        <v>21</v>
      </c>
      <c r="BH79" s="23">
        <f t="shared" si="52"/>
        <v>20</v>
      </c>
      <c r="BI79" s="23">
        <f t="shared" si="52"/>
        <v>19</v>
      </c>
      <c r="BJ79" s="23">
        <f t="shared" si="52"/>
        <v>18</v>
      </c>
      <c r="BK79" s="23">
        <f t="shared" si="52"/>
        <v>17</v>
      </c>
      <c r="BL79" s="23">
        <f t="shared" si="52"/>
        <v>16</v>
      </c>
      <c r="BM79" s="23">
        <f t="shared" si="52"/>
        <v>15</v>
      </c>
      <c r="BN79" s="23">
        <f t="shared" si="52"/>
        <v>14</v>
      </c>
      <c r="BO79" s="23">
        <f t="shared" si="52"/>
        <v>13</v>
      </c>
      <c r="BP79" s="23">
        <f t="shared" si="52"/>
        <v>12</v>
      </c>
      <c r="BQ79" s="23">
        <f t="shared" si="52"/>
        <v>11</v>
      </c>
      <c r="BR79" s="23">
        <f>(BR$103-$C79)</f>
        <v>10</v>
      </c>
      <c r="BS79" s="23">
        <f t="shared" si="45"/>
        <v>9</v>
      </c>
      <c r="BT79" s="23">
        <f t="shared" si="46"/>
        <v>8</v>
      </c>
      <c r="BU79" s="23">
        <f t="shared" si="48"/>
        <v>7</v>
      </c>
      <c r="BV79" s="23">
        <f t="shared" si="49"/>
        <v>6</v>
      </c>
      <c r="BW79" s="23">
        <f t="shared" si="50"/>
        <v>5</v>
      </c>
      <c r="BX79" s="23">
        <f t="shared" si="51"/>
        <v>4</v>
      </c>
      <c r="BY79" s="23">
        <f t="shared" si="53"/>
        <v>3</v>
      </c>
      <c r="BZ79" s="23">
        <f t="shared" si="54"/>
        <v>2</v>
      </c>
      <c r="CA79" s="23">
        <f t="shared" si="55"/>
        <v>1</v>
      </c>
      <c r="CB79" s="23">
        <f t="shared" ref="CB79:CB86" si="56">(CB$103-$C79)</f>
        <v>0</v>
      </c>
    </row>
    <row r="80" spans="3:81" ht="13.35" customHeight="1" x14ac:dyDescent="0.25">
      <c r="C80" s="336">
        <v>23</v>
      </c>
      <c r="D80" s="19">
        <f t="shared" si="43"/>
        <v>77</v>
      </c>
      <c r="E80" s="19">
        <f t="shared" si="41"/>
        <v>76</v>
      </c>
      <c r="F80" s="19">
        <f t="shared" si="44"/>
        <v>75</v>
      </c>
      <c r="G80" s="19">
        <f t="shared" ref="G80:BR83" si="57">(G$103-$C80)</f>
        <v>74</v>
      </c>
      <c r="H80" s="19">
        <f t="shared" si="57"/>
        <v>73</v>
      </c>
      <c r="I80" s="19">
        <f t="shared" si="57"/>
        <v>72</v>
      </c>
      <c r="J80" s="19">
        <f t="shared" si="57"/>
        <v>71</v>
      </c>
      <c r="K80" s="19">
        <f t="shared" si="57"/>
        <v>70</v>
      </c>
      <c r="L80" s="19">
        <f t="shared" si="57"/>
        <v>69</v>
      </c>
      <c r="M80" s="19">
        <f t="shared" si="57"/>
        <v>68</v>
      </c>
      <c r="N80" s="19">
        <f t="shared" si="57"/>
        <v>67</v>
      </c>
      <c r="O80" s="19">
        <f t="shared" si="57"/>
        <v>66</v>
      </c>
      <c r="P80" s="19">
        <f t="shared" si="57"/>
        <v>65</v>
      </c>
      <c r="Q80" s="19">
        <f t="shared" si="57"/>
        <v>64</v>
      </c>
      <c r="R80" s="19">
        <f t="shared" si="57"/>
        <v>63</v>
      </c>
      <c r="S80" s="19">
        <f t="shared" si="57"/>
        <v>62</v>
      </c>
      <c r="T80" s="19">
        <f t="shared" si="57"/>
        <v>61</v>
      </c>
      <c r="U80" s="19">
        <f t="shared" si="57"/>
        <v>60</v>
      </c>
      <c r="V80" s="19">
        <f t="shared" si="57"/>
        <v>59</v>
      </c>
      <c r="W80" s="19">
        <f t="shared" si="57"/>
        <v>58</v>
      </c>
      <c r="X80" s="19">
        <f t="shared" si="57"/>
        <v>57</v>
      </c>
      <c r="Y80" s="19">
        <f t="shared" si="57"/>
        <v>56</v>
      </c>
      <c r="Z80" s="19">
        <f t="shared" si="57"/>
        <v>55</v>
      </c>
      <c r="AA80" s="19">
        <f t="shared" si="57"/>
        <v>54</v>
      </c>
      <c r="AB80" s="19">
        <f t="shared" si="57"/>
        <v>53</v>
      </c>
      <c r="AC80" s="19">
        <f t="shared" si="57"/>
        <v>52</v>
      </c>
      <c r="AD80" s="19">
        <f t="shared" si="57"/>
        <v>51</v>
      </c>
      <c r="AE80" s="19">
        <f t="shared" si="57"/>
        <v>50</v>
      </c>
      <c r="AF80">
        <f t="shared" si="57"/>
        <v>49</v>
      </c>
      <c r="AG80">
        <f t="shared" si="57"/>
        <v>48</v>
      </c>
      <c r="AH80">
        <f t="shared" si="57"/>
        <v>47</v>
      </c>
      <c r="AI80">
        <f t="shared" si="57"/>
        <v>46</v>
      </c>
      <c r="AJ80">
        <f t="shared" si="57"/>
        <v>45</v>
      </c>
      <c r="AK80">
        <f t="shared" si="57"/>
        <v>44</v>
      </c>
      <c r="AL80">
        <f t="shared" si="57"/>
        <v>43</v>
      </c>
      <c r="AM80">
        <f t="shared" si="57"/>
        <v>42</v>
      </c>
      <c r="AN80">
        <f t="shared" si="57"/>
        <v>41</v>
      </c>
      <c r="AO80">
        <f t="shared" si="57"/>
        <v>40</v>
      </c>
      <c r="AP80">
        <f t="shared" si="57"/>
        <v>39</v>
      </c>
      <c r="AQ80">
        <f t="shared" si="57"/>
        <v>38</v>
      </c>
      <c r="AR80">
        <f t="shared" si="57"/>
        <v>37</v>
      </c>
      <c r="AS80">
        <f t="shared" si="57"/>
        <v>36</v>
      </c>
      <c r="AT80">
        <f t="shared" si="57"/>
        <v>35</v>
      </c>
      <c r="AU80">
        <f t="shared" si="57"/>
        <v>34</v>
      </c>
      <c r="AV80">
        <f t="shared" si="57"/>
        <v>33</v>
      </c>
      <c r="AW80">
        <f t="shared" si="57"/>
        <v>32</v>
      </c>
      <c r="AX80">
        <f t="shared" si="57"/>
        <v>31</v>
      </c>
      <c r="AY80">
        <f t="shared" si="57"/>
        <v>30</v>
      </c>
      <c r="AZ80">
        <f t="shared" si="57"/>
        <v>29</v>
      </c>
      <c r="BA80">
        <f t="shared" si="57"/>
        <v>28</v>
      </c>
      <c r="BB80">
        <f t="shared" si="57"/>
        <v>27</v>
      </c>
      <c r="BC80" s="23">
        <f t="shared" si="57"/>
        <v>26</v>
      </c>
      <c r="BD80" s="23">
        <f t="shared" si="57"/>
        <v>25</v>
      </c>
      <c r="BE80" s="23">
        <f t="shared" si="57"/>
        <v>24</v>
      </c>
      <c r="BF80" s="23">
        <f t="shared" si="57"/>
        <v>23</v>
      </c>
      <c r="BG80" s="23">
        <f t="shared" si="57"/>
        <v>22</v>
      </c>
      <c r="BH80" s="23">
        <f t="shared" si="57"/>
        <v>21</v>
      </c>
      <c r="BI80" s="23">
        <f t="shared" si="57"/>
        <v>20</v>
      </c>
      <c r="BJ80" s="23">
        <f t="shared" si="57"/>
        <v>19</v>
      </c>
      <c r="BK80" s="23">
        <f t="shared" si="57"/>
        <v>18</v>
      </c>
      <c r="BL80" s="23">
        <f t="shared" si="57"/>
        <v>17</v>
      </c>
      <c r="BM80" s="23">
        <f t="shared" si="57"/>
        <v>16</v>
      </c>
      <c r="BN80" s="23">
        <f t="shared" si="57"/>
        <v>15</v>
      </c>
      <c r="BO80" s="23">
        <f t="shared" si="57"/>
        <v>14</v>
      </c>
      <c r="BP80" s="23">
        <f t="shared" si="57"/>
        <v>13</v>
      </c>
      <c r="BQ80" s="23">
        <f t="shared" si="57"/>
        <v>12</v>
      </c>
      <c r="BR80" s="23">
        <f t="shared" si="57"/>
        <v>11</v>
      </c>
      <c r="BS80" s="23">
        <f t="shared" si="45"/>
        <v>10</v>
      </c>
      <c r="BT80" s="23">
        <f t="shared" si="46"/>
        <v>9</v>
      </c>
      <c r="BU80" s="23">
        <f t="shared" si="48"/>
        <v>8</v>
      </c>
      <c r="BV80" s="23">
        <f t="shared" si="49"/>
        <v>7</v>
      </c>
      <c r="BW80" s="23">
        <f t="shared" si="50"/>
        <v>6</v>
      </c>
      <c r="BX80" s="23">
        <f t="shared" si="51"/>
        <v>5</v>
      </c>
      <c r="BY80" s="23">
        <f t="shared" si="53"/>
        <v>4</v>
      </c>
      <c r="BZ80" s="23">
        <f t="shared" si="54"/>
        <v>3</v>
      </c>
      <c r="CA80" s="23">
        <f t="shared" si="55"/>
        <v>2</v>
      </c>
      <c r="CB80" s="23">
        <f t="shared" si="56"/>
        <v>1</v>
      </c>
      <c r="CC80" s="23">
        <f t="shared" ref="CC80:CC86" si="58">(CC$103-$C80)</f>
        <v>0</v>
      </c>
    </row>
    <row r="81" spans="3:97" ht="13.35" customHeight="1" x14ac:dyDescent="0.25">
      <c r="C81" s="336">
        <v>22</v>
      </c>
      <c r="D81" s="19">
        <f t="shared" si="43"/>
        <v>78</v>
      </c>
      <c r="E81" s="19">
        <f t="shared" si="41"/>
        <v>77</v>
      </c>
      <c r="F81" s="19">
        <f t="shared" si="44"/>
        <v>76</v>
      </c>
      <c r="G81" s="19">
        <f t="shared" si="57"/>
        <v>75</v>
      </c>
      <c r="H81" s="19">
        <f t="shared" si="57"/>
        <v>74</v>
      </c>
      <c r="I81" s="19">
        <f t="shared" si="57"/>
        <v>73</v>
      </c>
      <c r="J81" s="19">
        <f t="shared" si="57"/>
        <v>72</v>
      </c>
      <c r="K81" s="19">
        <f t="shared" si="57"/>
        <v>71</v>
      </c>
      <c r="L81" s="19">
        <f t="shared" si="57"/>
        <v>70</v>
      </c>
      <c r="M81" s="19">
        <f t="shared" si="57"/>
        <v>69</v>
      </c>
      <c r="N81" s="19">
        <f t="shared" si="57"/>
        <v>68</v>
      </c>
      <c r="O81" s="19">
        <f t="shared" si="57"/>
        <v>67</v>
      </c>
      <c r="P81" s="19">
        <f t="shared" si="57"/>
        <v>66</v>
      </c>
      <c r="Q81" s="19">
        <f t="shared" si="57"/>
        <v>65</v>
      </c>
      <c r="R81" s="19">
        <f t="shared" si="57"/>
        <v>64</v>
      </c>
      <c r="S81" s="19">
        <f t="shared" si="57"/>
        <v>63</v>
      </c>
      <c r="T81" s="19">
        <f t="shared" si="57"/>
        <v>62</v>
      </c>
      <c r="U81" s="19">
        <f t="shared" si="57"/>
        <v>61</v>
      </c>
      <c r="V81" s="19">
        <f t="shared" si="57"/>
        <v>60</v>
      </c>
      <c r="W81" s="19">
        <f t="shared" si="57"/>
        <v>59</v>
      </c>
      <c r="X81" s="19">
        <f t="shared" si="57"/>
        <v>58</v>
      </c>
      <c r="Y81" s="19">
        <f t="shared" si="57"/>
        <v>57</v>
      </c>
      <c r="Z81" s="19">
        <f t="shared" si="57"/>
        <v>56</v>
      </c>
      <c r="AA81" s="19">
        <f t="shared" si="57"/>
        <v>55</v>
      </c>
      <c r="AB81" s="19">
        <f t="shared" si="57"/>
        <v>54</v>
      </c>
      <c r="AC81" s="19">
        <f t="shared" si="57"/>
        <v>53</v>
      </c>
      <c r="AD81" s="19">
        <f t="shared" si="57"/>
        <v>52</v>
      </c>
      <c r="AE81" s="19">
        <f t="shared" si="57"/>
        <v>51</v>
      </c>
      <c r="AF81" s="19">
        <f t="shared" si="57"/>
        <v>50</v>
      </c>
      <c r="AG81">
        <f t="shared" si="57"/>
        <v>49</v>
      </c>
      <c r="AH81">
        <f t="shared" si="57"/>
        <v>48</v>
      </c>
      <c r="AI81">
        <f t="shared" si="57"/>
        <v>47</v>
      </c>
      <c r="AJ81">
        <f t="shared" si="57"/>
        <v>46</v>
      </c>
      <c r="AK81">
        <f t="shared" si="57"/>
        <v>45</v>
      </c>
      <c r="AL81">
        <f t="shared" si="57"/>
        <v>44</v>
      </c>
      <c r="AM81">
        <f t="shared" si="57"/>
        <v>43</v>
      </c>
      <c r="AN81">
        <f t="shared" si="57"/>
        <v>42</v>
      </c>
      <c r="AO81">
        <f t="shared" si="57"/>
        <v>41</v>
      </c>
      <c r="AP81">
        <f t="shared" si="57"/>
        <v>40</v>
      </c>
      <c r="AQ81">
        <f t="shared" si="57"/>
        <v>39</v>
      </c>
      <c r="AR81">
        <f t="shared" si="57"/>
        <v>38</v>
      </c>
      <c r="AS81">
        <f t="shared" si="57"/>
        <v>37</v>
      </c>
      <c r="AT81">
        <f t="shared" si="57"/>
        <v>36</v>
      </c>
      <c r="AU81">
        <f t="shared" si="57"/>
        <v>35</v>
      </c>
      <c r="AV81">
        <f t="shared" si="57"/>
        <v>34</v>
      </c>
      <c r="AW81">
        <f t="shared" si="57"/>
        <v>33</v>
      </c>
      <c r="AX81">
        <f t="shared" si="57"/>
        <v>32</v>
      </c>
      <c r="AY81">
        <f t="shared" si="57"/>
        <v>31</v>
      </c>
      <c r="AZ81">
        <f t="shared" si="57"/>
        <v>30</v>
      </c>
      <c r="BA81">
        <f t="shared" si="57"/>
        <v>29</v>
      </c>
      <c r="BB81">
        <f t="shared" si="57"/>
        <v>28</v>
      </c>
      <c r="BC81">
        <f t="shared" si="57"/>
        <v>27</v>
      </c>
      <c r="BD81" s="23">
        <f t="shared" si="57"/>
        <v>26</v>
      </c>
      <c r="BE81" s="23">
        <f t="shared" si="57"/>
        <v>25</v>
      </c>
      <c r="BF81" s="23">
        <f t="shared" si="57"/>
        <v>24</v>
      </c>
      <c r="BG81" s="23">
        <f t="shared" si="57"/>
        <v>23</v>
      </c>
      <c r="BH81" s="23">
        <f t="shared" si="57"/>
        <v>22</v>
      </c>
      <c r="BI81" s="23">
        <f t="shared" si="57"/>
        <v>21</v>
      </c>
      <c r="BJ81" s="23">
        <f t="shared" si="57"/>
        <v>20</v>
      </c>
      <c r="BK81" s="23">
        <f t="shared" si="57"/>
        <v>19</v>
      </c>
      <c r="BL81" s="23">
        <f t="shared" si="57"/>
        <v>18</v>
      </c>
      <c r="BM81" s="23">
        <f t="shared" si="57"/>
        <v>17</v>
      </c>
      <c r="BN81" s="23">
        <f t="shared" si="57"/>
        <v>16</v>
      </c>
      <c r="BO81" s="23">
        <f t="shared" si="57"/>
        <v>15</v>
      </c>
      <c r="BP81" s="23">
        <f t="shared" si="57"/>
        <v>14</v>
      </c>
      <c r="BQ81" s="23">
        <f t="shared" si="57"/>
        <v>13</v>
      </c>
      <c r="BR81" s="23">
        <f t="shared" si="57"/>
        <v>12</v>
      </c>
      <c r="BS81" s="23">
        <f t="shared" si="45"/>
        <v>11</v>
      </c>
      <c r="BT81" s="23">
        <f t="shared" si="46"/>
        <v>10</v>
      </c>
      <c r="BU81" s="23">
        <f t="shared" si="48"/>
        <v>9</v>
      </c>
      <c r="BV81" s="23">
        <f t="shared" si="49"/>
        <v>8</v>
      </c>
      <c r="BW81" s="23">
        <f t="shared" si="50"/>
        <v>7</v>
      </c>
      <c r="BX81" s="23">
        <f t="shared" si="51"/>
        <v>6</v>
      </c>
      <c r="BY81" s="23">
        <f t="shared" si="53"/>
        <v>5</v>
      </c>
      <c r="BZ81" s="23">
        <f t="shared" si="54"/>
        <v>4</v>
      </c>
      <c r="CA81" s="23">
        <f t="shared" si="55"/>
        <v>3</v>
      </c>
      <c r="CB81" s="23">
        <f t="shared" si="56"/>
        <v>2</v>
      </c>
      <c r="CC81" s="23">
        <f t="shared" si="58"/>
        <v>1</v>
      </c>
      <c r="CD81" s="23">
        <f t="shared" ref="CD81:CD86" si="59">(CD$103-$C81)</f>
        <v>0</v>
      </c>
    </row>
    <row r="82" spans="3:97" ht="13.35" customHeight="1" x14ac:dyDescent="0.25">
      <c r="C82" s="336">
        <v>21</v>
      </c>
      <c r="D82" s="19">
        <f t="shared" si="43"/>
        <v>79</v>
      </c>
      <c r="E82" s="19">
        <f t="shared" si="41"/>
        <v>78</v>
      </c>
      <c r="F82" s="19">
        <f t="shared" si="44"/>
        <v>77</v>
      </c>
      <c r="G82" s="19">
        <f t="shared" si="57"/>
        <v>76</v>
      </c>
      <c r="H82" s="19">
        <f t="shared" si="57"/>
        <v>75</v>
      </c>
      <c r="I82" s="19">
        <f t="shared" si="57"/>
        <v>74</v>
      </c>
      <c r="J82" s="19">
        <f t="shared" si="57"/>
        <v>73</v>
      </c>
      <c r="K82" s="19">
        <f t="shared" si="57"/>
        <v>72</v>
      </c>
      <c r="L82" s="19">
        <f t="shared" si="57"/>
        <v>71</v>
      </c>
      <c r="M82" s="19">
        <f t="shared" si="57"/>
        <v>70</v>
      </c>
      <c r="N82" s="19">
        <f t="shared" si="57"/>
        <v>69</v>
      </c>
      <c r="O82" s="19">
        <f t="shared" si="57"/>
        <v>68</v>
      </c>
      <c r="P82" s="19">
        <f t="shared" si="57"/>
        <v>67</v>
      </c>
      <c r="Q82" s="19">
        <f t="shared" si="57"/>
        <v>66</v>
      </c>
      <c r="R82" s="19">
        <f t="shared" si="57"/>
        <v>65</v>
      </c>
      <c r="S82" s="19">
        <f t="shared" si="57"/>
        <v>64</v>
      </c>
      <c r="T82" s="19">
        <f t="shared" si="57"/>
        <v>63</v>
      </c>
      <c r="U82" s="19">
        <f t="shared" si="57"/>
        <v>62</v>
      </c>
      <c r="V82" s="19">
        <f t="shared" si="57"/>
        <v>61</v>
      </c>
      <c r="W82" s="19">
        <f t="shared" si="57"/>
        <v>60</v>
      </c>
      <c r="X82" s="19">
        <f t="shared" si="57"/>
        <v>59</v>
      </c>
      <c r="Y82" s="19">
        <f t="shared" si="57"/>
        <v>58</v>
      </c>
      <c r="Z82" s="19">
        <f t="shared" si="57"/>
        <v>57</v>
      </c>
      <c r="AA82" s="19">
        <f t="shared" si="57"/>
        <v>56</v>
      </c>
      <c r="AB82" s="19">
        <f t="shared" si="57"/>
        <v>55</v>
      </c>
      <c r="AC82" s="19">
        <f t="shared" si="57"/>
        <v>54</v>
      </c>
      <c r="AD82" s="19">
        <f t="shared" si="57"/>
        <v>53</v>
      </c>
      <c r="AE82" s="19">
        <f t="shared" si="57"/>
        <v>52</v>
      </c>
      <c r="AF82" s="19">
        <f t="shared" si="57"/>
        <v>51</v>
      </c>
      <c r="AG82" s="19">
        <f t="shared" si="57"/>
        <v>50</v>
      </c>
      <c r="AH82">
        <f t="shared" si="57"/>
        <v>49</v>
      </c>
      <c r="AI82">
        <f t="shared" si="57"/>
        <v>48</v>
      </c>
      <c r="AJ82">
        <f t="shared" si="57"/>
        <v>47</v>
      </c>
      <c r="AK82">
        <f t="shared" si="57"/>
        <v>46</v>
      </c>
      <c r="AL82">
        <f t="shared" si="57"/>
        <v>45</v>
      </c>
      <c r="AM82">
        <f t="shared" si="57"/>
        <v>44</v>
      </c>
      <c r="AN82">
        <f t="shared" si="57"/>
        <v>43</v>
      </c>
      <c r="AO82">
        <f t="shared" si="57"/>
        <v>42</v>
      </c>
      <c r="AP82">
        <f t="shared" si="57"/>
        <v>41</v>
      </c>
      <c r="AQ82">
        <f t="shared" si="57"/>
        <v>40</v>
      </c>
      <c r="AR82">
        <f t="shared" si="57"/>
        <v>39</v>
      </c>
      <c r="AS82">
        <f t="shared" si="57"/>
        <v>38</v>
      </c>
      <c r="AT82">
        <f t="shared" si="57"/>
        <v>37</v>
      </c>
      <c r="AU82">
        <f t="shared" si="57"/>
        <v>36</v>
      </c>
      <c r="AV82">
        <f t="shared" si="57"/>
        <v>35</v>
      </c>
      <c r="AW82">
        <f t="shared" si="57"/>
        <v>34</v>
      </c>
      <c r="AX82">
        <f t="shared" si="57"/>
        <v>33</v>
      </c>
      <c r="AY82">
        <f t="shared" si="57"/>
        <v>32</v>
      </c>
      <c r="AZ82">
        <f t="shared" si="57"/>
        <v>31</v>
      </c>
      <c r="BA82">
        <f t="shared" si="57"/>
        <v>30</v>
      </c>
      <c r="BB82">
        <f t="shared" si="57"/>
        <v>29</v>
      </c>
      <c r="BC82">
        <f t="shared" si="57"/>
        <v>28</v>
      </c>
      <c r="BD82">
        <f t="shared" si="57"/>
        <v>27</v>
      </c>
      <c r="BE82" s="23">
        <f t="shared" si="57"/>
        <v>26</v>
      </c>
      <c r="BF82" s="23">
        <f t="shared" si="57"/>
        <v>25</v>
      </c>
      <c r="BG82" s="23">
        <f t="shared" si="57"/>
        <v>24</v>
      </c>
      <c r="BH82" s="23">
        <f t="shared" si="57"/>
        <v>23</v>
      </c>
      <c r="BI82" s="23">
        <f t="shared" si="57"/>
        <v>22</v>
      </c>
      <c r="BJ82" s="23">
        <f t="shared" si="57"/>
        <v>21</v>
      </c>
      <c r="BK82" s="23">
        <f t="shared" si="57"/>
        <v>20</v>
      </c>
      <c r="BL82" s="23">
        <f t="shared" si="57"/>
        <v>19</v>
      </c>
      <c r="BM82" s="23">
        <f t="shared" si="57"/>
        <v>18</v>
      </c>
      <c r="BN82" s="23">
        <f t="shared" si="57"/>
        <v>17</v>
      </c>
      <c r="BO82" s="23">
        <f t="shared" si="57"/>
        <v>16</v>
      </c>
      <c r="BP82" s="23">
        <f t="shared" si="57"/>
        <v>15</v>
      </c>
      <c r="BQ82" s="23">
        <f t="shared" si="57"/>
        <v>14</v>
      </c>
      <c r="BR82" s="23">
        <f t="shared" si="57"/>
        <v>13</v>
      </c>
      <c r="BS82" s="23">
        <f t="shared" si="45"/>
        <v>12</v>
      </c>
      <c r="BT82" s="23">
        <f t="shared" si="46"/>
        <v>11</v>
      </c>
      <c r="BU82" s="23">
        <f t="shared" si="48"/>
        <v>10</v>
      </c>
      <c r="BV82" s="23">
        <f t="shared" si="49"/>
        <v>9</v>
      </c>
      <c r="BW82" s="23">
        <f t="shared" si="50"/>
        <v>8</v>
      </c>
      <c r="BX82" s="23">
        <f t="shared" si="51"/>
        <v>7</v>
      </c>
      <c r="BY82" s="23">
        <f t="shared" si="53"/>
        <v>6</v>
      </c>
      <c r="BZ82" s="23">
        <f t="shared" si="54"/>
        <v>5</v>
      </c>
      <c r="CA82" s="23">
        <f t="shared" si="55"/>
        <v>4</v>
      </c>
      <c r="CB82" s="23">
        <f t="shared" si="56"/>
        <v>3</v>
      </c>
      <c r="CC82" s="23">
        <f t="shared" si="58"/>
        <v>2</v>
      </c>
      <c r="CD82" s="23">
        <f t="shared" si="59"/>
        <v>1</v>
      </c>
      <c r="CE82" s="23">
        <f>(CE$103-$C82)</f>
        <v>0</v>
      </c>
    </row>
    <row r="83" spans="3:97" ht="13.35" customHeight="1" x14ac:dyDescent="0.25">
      <c r="C83" s="336">
        <v>20</v>
      </c>
      <c r="D83" s="19">
        <f t="shared" si="43"/>
        <v>80</v>
      </c>
      <c r="E83" s="19">
        <f t="shared" si="41"/>
        <v>79</v>
      </c>
      <c r="F83" s="19">
        <f t="shared" si="44"/>
        <v>78</v>
      </c>
      <c r="G83" s="19">
        <f t="shared" si="57"/>
        <v>77</v>
      </c>
      <c r="H83" s="19">
        <f t="shared" si="57"/>
        <v>76</v>
      </c>
      <c r="I83" s="19">
        <f t="shared" si="57"/>
        <v>75</v>
      </c>
      <c r="J83" s="19">
        <f t="shared" si="57"/>
        <v>74</v>
      </c>
      <c r="K83" s="19">
        <f t="shared" si="57"/>
        <v>73</v>
      </c>
      <c r="L83" s="19">
        <f t="shared" si="57"/>
        <v>72</v>
      </c>
      <c r="M83" s="19">
        <f t="shared" si="57"/>
        <v>71</v>
      </c>
      <c r="N83" s="19">
        <f t="shared" si="57"/>
        <v>70</v>
      </c>
      <c r="O83" s="19">
        <f t="shared" si="57"/>
        <v>69</v>
      </c>
      <c r="P83" s="19">
        <f t="shared" si="57"/>
        <v>68</v>
      </c>
      <c r="Q83" s="19">
        <f t="shared" si="57"/>
        <v>67</v>
      </c>
      <c r="R83" s="19">
        <f t="shared" si="57"/>
        <v>66</v>
      </c>
      <c r="S83" s="19">
        <f t="shared" si="57"/>
        <v>65</v>
      </c>
      <c r="T83" s="19">
        <f t="shared" si="57"/>
        <v>64</v>
      </c>
      <c r="U83" s="19">
        <f t="shared" si="57"/>
        <v>63</v>
      </c>
      <c r="V83" s="19">
        <f t="shared" si="57"/>
        <v>62</v>
      </c>
      <c r="W83" s="19">
        <f t="shared" si="57"/>
        <v>61</v>
      </c>
      <c r="X83" s="19">
        <f t="shared" si="57"/>
        <v>60</v>
      </c>
      <c r="Y83" s="19">
        <f t="shared" si="57"/>
        <v>59</v>
      </c>
      <c r="Z83" s="19">
        <f t="shared" si="57"/>
        <v>58</v>
      </c>
      <c r="AA83" s="19">
        <f t="shared" si="57"/>
        <v>57</v>
      </c>
      <c r="AB83" s="19">
        <f t="shared" si="57"/>
        <v>56</v>
      </c>
      <c r="AC83" s="19">
        <f t="shared" si="57"/>
        <v>55</v>
      </c>
      <c r="AD83" s="19">
        <f t="shared" si="57"/>
        <v>54</v>
      </c>
      <c r="AE83" s="19">
        <f t="shared" si="57"/>
        <v>53</v>
      </c>
      <c r="AF83" s="19">
        <f t="shared" si="57"/>
        <v>52</v>
      </c>
      <c r="AG83" s="19">
        <f t="shared" si="57"/>
        <v>51</v>
      </c>
      <c r="AH83" s="19">
        <f t="shared" si="57"/>
        <v>50</v>
      </c>
      <c r="AI83">
        <f t="shared" si="57"/>
        <v>49</v>
      </c>
      <c r="AJ83">
        <f t="shared" si="57"/>
        <v>48</v>
      </c>
      <c r="AK83">
        <f t="shared" si="57"/>
        <v>47</v>
      </c>
      <c r="AL83">
        <f t="shared" si="57"/>
        <v>46</v>
      </c>
      <c r="AM83">
        <f t="shared" si="57"/>
        <v>45</v>
      </c>
      <c r="AN83">
        <f t="shared" si="57"/>
        <v>44</v>
      </c>
      <c r="AO83">
        <f t="shared" si="57"/>
        <v>43</v>
      </c>
      <c r="AP83">
        <f t="shared" si="57"/>
        <v>42</v>
      </c>
      <c r="AQ83">
        <f t="shared" si="57"/>
        <v>41</v>
      </c>
      <c r="AR83">
        <f t="shared" si="57"/>
        <v>40</v>
      </c>
      <c r="AS83">
        <f t="shared" si="57"/>
        <v>39</v>
      </c>
      <c r="AT83">
        <f t="shared" si="57"/>
        <v>38</v>
      </c>
      <c r="AU83">
        <f t="shared" si="57"/>
        <v>37</v>
      </c>
      <c r="AV83">
        <f t="shared" si="57"/>
        <v>36</v>
      </c>
      <c r="AW83">
        <f t="shared" si="57"/>
        <v>35</v>
      </c>
      <c r="AX83">
        <f t="shared" si="57"/>
        <v>34</v>
      </c>
      <c r="AY83">
        <f t="shared" si="57"/>
        <v>33</v>
      </c>
      <c r="AZ83">
        <f t="shared" si="57"/>
        <v>32</v>
      </c>
      <c r="BA83">
        <f t="shared" si="57"/>
        <v>31</v>
      </c>
      <c r="BB83">
        <f t="shared" si="57"/>
        <v>30</v>
      </c>
      <c r="BC83">
        <f t="shared" si="57"/>
        <v>29</v>
      </c>
      <c r="BD83">
        <f t="shared" si="57"/>
        <v>28</v>
      </c>
      <c r="BE83">
        <f t="shared" si="57"/>
        <v>27</v>
      </c>
      <c r="BF83" s="23">
        <f t="shared" si="57"/>
        <v>26</v>
      </c>
      <c r="BG83" s="23">
        <f t="shared" si="57"/>
        <v>25</v>
      </c>
      <c r="BH83" s="23">
        <f t="shared" si="57"/>
        <v>24</v>
      </c>
      <c r="BI83" s="23">
        <f t="shared" si="57"/>
        <v>23</v>
      </c>
      <c r="BJ83" s="23">
        <f t="shared" si="57"/>
        <v>22</v>
      </c>
      <c r="BK83" s="23">
        <f t="shared" si="57"/>
        <v>21</v>
      </c>
      <c r="BL83" s="23">
        <f t="shared" si="57"/>
        <v>20</v>
      </c>
      <c r="BM83" s="23">
        <f t="shared" si="57"/>
        <v>19</v>
      </c>
      <c r="BN83" s="23">
        <f t="shared" si="57"/>
        <v>18</v>
      </c>
      <c r="BO83" s="23">
        <f t="shared" si="57"/>
        <v>17</v>
      </c>
      <c r="BP83" s="23">
        <f t="shared" si="57"/>
        <v>16</v>
      </c>
      <c r="BQ83" s="23">
        <f t="shared" si="57"/>
        <v>15</v>
      </c>
      <c r="BR83" s="23">
        <f>(BR$103-$C83)</f>
        <v>14</v>
      </c>
      <c r="BS83" s="23">
        <f t="shared" si="45"/>
        <v>13</v>
      </c>
      <c r="BT83" s="23">
        <f t="shared" si="46"/>
        <v>12</v>
      </c>
      <c r="BU83" s="23">
        <f t="shared" si="48"/>
        <v>11</v>
      </c>
      <c r="BV83" s="23">
        <f t="shared" si="49"/>
        <v>10</v>
      </c>
      <c r="BW83" s="23">
        <f t="shared" si="50"/>
        <v>9</v>
      </c>
      <c r="BX83" s="23">
        <f t="shared" si="51"/>
        <v>8</v>
      </c>
      <c r="BY83" s="23">
        <f t="shared" si="53"/>
        <v>7</v>
      </c>
      <c r="BZ83" s="23">
        <f t="shared" si="54"/>
        <v>6</v>
      </c>
      <c r="CA83" s="23">
        <f t="shared" si="55"/>
        <v>5</v>
      </c>
      <c r="CB83" s="23">
        <f t="shared" si="56"/>
        <v>4</v>
      </c>
      <c r="CC83" s="23">
        <f t="shared" si="58"/>
        <v>3</v>
      </c>
      <c r="CD83" s="23">
        <f t="shared" si="59"/>
        <v>2</v>
      </c>
      <c r="CE83" s="23">
        <f>(CE$103-$C83)</f>
        <v>1</v>
      </c>
      <c r="CF83" s="23">
        <f>(CF$103-$C83)</f>
        <v>0</v>
      </c>
    </row>
    <row r="84" spans="3:97" ht="13.35" customHeight="1" x14ac:dyDescent="0.25">
      <c r="C84" s="336">
        <v>19</v>
      </c>
      <c r="D84" s="19">
        <f t="shared" si="43"/>
        <v>81</v>
      </c>
      <c r="E84" s="19">
        <f t="shared" si="41"/>
        <v>80</v>
      </c>
      <c r="F84" s="19">
        <f t="shared" si="44"/>
        <v>79</v>
      </c>
      <c r="G84" s="19">
        <f t="shared" ref="G84:BR87" si="60">(G$103-$C84)</f>
        <v>78</v>
      </c>
      <c r="H84" s="19">
        <f t="shared" si="60"/>
        <v>77</v>
      </c>
      <c r="I84" s="19">
        <f t="shared" si="60"/>
        <v>76</v>
      </c>
      <c r="J84" s="19">
        <f t="shared" si="60"/>
        <v>75</v>
      </c>
      <c r="K84" s="19">
        <f t="shared" si="60"/>
        <v>74</v>
      </c>
      <c r="L84" s="19">
        <f t="shared" si="60"/>
        <v>73</v>
      </c>
      <c r="M84" s="19">
        <f t="shared" si="60"/>
        <v>72</v>
      </c>
      <c r="N84" s="19">
        <f t="shared" si="60"/>
        <v>71</v>
      </c>
      <c r="O84" s="19">
        <f t="shared" si="60"/>
        <v>70</v>
      </c>
      <c r="P84" s="19">
        <f t="shared" si="60"/>
        <v>69</v>
      </c>
      <c r="Q84" s="19">
        <f t="shared" si="60"/>
        <v>68</v>
      </c>
      <c r="R84" s="19">
        <f t="shared" si="60"/>
        <v>67</v>
      </c>
      <c r="S84" s="19">
        <f t="shared" si="60"/>
        <v>66</v>
      </c>
      <c r="T84" s="19">
        <f t="shared" si="60"/>
        <v>65</v>
      </c>
      <c r="U84" s="19">
        <f t="shared" si="60"/>
        <v>64</v>
      </c>
      <c r="V84" s="19">
        <f t="shared" si="60"/>
        <v>63</v>
      </c>
      <c r="W84" s="19">
        <f t="shared" si="60"/>
        <v>62</v>
      </c>
      <c r="X84" s="19">
        <f t="shared" si="60"/>
        <v>61</v>
      </c>
      <c r="Y84" s="19">
        <f t="shared" si="60"/>
        <v>60</v>
      </c>
      <c r="Z84" s="19">
        <f t="shared" si="60"/>
        <v>59</v>
      </c>
      <c r="AA84" s="19">
        <f t="shared" si="60"/>
        <v>58</v>
      </c>
      <c r="AB84" s="19">
        <f t="shared" si="60"/>
        <v>57</v>
      </c>
      <c r="AC84" s="19">
        <f t="shared" si="60"/>
        <v>56</v>
      </c>
      <c r="AD84" s="19">
        <f t="shared" si="60"/>
        <v>55</v>
      </c>
      <c r="AE84" s="19">
        <f t="shared" si="60"/>
        <v>54</v>
      </c>
      <c r="AF84" s="19">
        <f t="shared" si="60"/>
        <v>53</v>
      </c>
      <c r="AG84" s="19">
        <f t="shared" si="60"/>
        <v>52</v>
      </c>
      <c r="AH84" s="19">
        <f t="shared" si="60"/>
        <v>51</v>
      </c>
      <c r="AI84" s="19">
        <f t="shared" si="60"/>
        <v>50</v>
      </c>
      <c r="AJ84">
        <f t="shared" si="60"/>
        <v>49</v>
      </c>
      <c r="AK84">
        <f t="shared" si="60"/>
        <v>48</v>
      </c>
      <c r="AL84">
        <f t="shared" si="60"/>
        <v>47</v>
      </c>
      <c r="AM84">
        <f t="shared" si="60"/>
        <v>46</v>
      </c>
      <c r="AN84">
        <f t="shared" si="60"/>
        <v>45</v>
      </c>
      <c r="AO84">
        <f t="shared" si="60"/>
        <v>44</v>
      </c>
      <c r="AP84">
        <f t="shared" si="60"/>
        <v>43</v>
      </c>
      <c r="AQ84">
        <f t="shared" si="60"/>
        <v>42</v>
      </c>
      <c r="AR84">
        <f t="shared" si="60"/>
        <v>41</v>
      </c>
      <c r="AS84">
        <f t="shared" si="60"/>
        <v>40</v>
      </c>
      <c r="AT84">
        <f t="shared" si="60"/>
        <v>39</v>
      </c>
      <c r="AU84">
        <f t="shared" si="60"/>
        <v>38</v>
      </c>
      <c r="AV84">
        <f t="shared" si="60"/>
        <v>37</v>
      </c>
      <c r="AW84">
        <f t="shared" si="60"/>
        <v>36</v>
      </c>
      <c r="AX84">
        <f t="shared" si="60"/>
        <v>35</v>
      </c>
      <c r="AY84">
        <f t="shared" si="60"/>
        <v>34</v>
      </c>
      <c r="AZ84">
        <f t="shared" si="60"/>
        <v>33</v>
      </c>
      <c r="BA84">
        <f t="shared" si="60"/>
        <v>32</v>
      </c>
      <c r="BB84">
        <f t="shared" si="60"/>
        <v>31</v>
      </c>
      <c r="BC84">
        <f t="shared" si="60"/>
        <v>30</v>
      </c>
      <c r="BD84">
        <f t="shared" si="60"/>
        <v>29</v>
      </c>
      <c r="BE84">
        <f t="shared" si="60"/>
        <v>28</v>
      </c>
      <c r="BF84" s="25">
        <f t="shared" si="60"/>
        <v>27</v>
      </c>
      <c r="BG84" s="25">
        <f t="shared" si="60"/>
        <v>26</v>
      </c>
      <c r="BH84" s="25">
        <f t="shared" si="60"/>
        <v>25</v>
      </c>
      <c r="BI84" s="25">
        <f t="shared" si="60"/>
        <v>24</v>
      </c>
      <c r="BJ84" s="25">
        <f t="shared" si="60"/>
        <v>23</v>
      </c>
      <c r="BK84" s="25">
        <f t="shared" si="60"/>
        <v>22</v>
      </c>
      <c r="BL84" s="25">
        <f t="shared" si="60"/>
        <v>21</v>
      </c>
      <c r="BM84" s="25">
        <f t="shared" si="60"/>
        <v>20</v>
      </c>
      <c r="BN84" s="25">
        <f t="shared" si="60"/>
        <v>19</v>
      </c>
      <c r="BO84" s="25">
        <f t="shared" si="60"/>
        <v>18</v>
      </c>
      <c r="BP84" s="25">
        <f t="shared" si="60"/>
        <v>17</v>
      </c>
      <c r="BQ84" s="25">
        <f t="shared" si="60"/>
        <v>16</v>
      </c>
      <c r="BR84" s="25">
        <f t="shared" si="60"/>
        <v>15</v>
      </c>
      <c r="BS84" s="25">
        <f t="shared" si="45"/>
        <v>14</v>
      </c>
      <c r="BT84" s="25">
        <f t="shared" si="46"/>
        <v>13</v>
      </c>
      <c r="BU84" s="25">
        <f t="shared" si="48"/>
        <v>12</v>
      </c>
      <c r="BV84" s="25">
        <f t="shared" si="49"/>
        <v>11</v>
      </c>
      <c r="BW84" s="25">
        <f t="shared" si="50"/>
        <v>10</v>
      </c>
      <c r="BX84" s="25">
        <f t="shared" si="51"/>
        <v>9</v>
      </c>
      <c r="BY84" s="25">
        <f t="shared" si="53"/>
        <v>8</v>
      </c>
      <c r="BZ84" s="25">
        <f t="shared" si="54"/>
        <v>7</v>
      </c>
      <c r="CA84" s="25">
        <f t="shared" si="55"/>
        <v>6</v>
      </c>
      <c r="CB84" s="25">
        <f t="shared" si="56"/>
        <v>5</v>
      </c>
      <c r="CC84" s="25">
        <f t="shared" si="58"/>
        <v>4</v>
      </c>
      <c r="CD84" s="25">
        <f t="shared" si="59"/>
        <v>3</v>
      </c>
      <c r="CE84" s="25">
        <f>(CE$103-$C84)</f>
        <v>2</v>
      </c>
      <c r="CF84" s="25">
        <f>(CF$103-$C84)</f>
        <v>1</v>
      </c>
      <c r="CG84" s="25">
        <f>(CG$103-$C84)</f>
        <v>0</v>
      </c>
    </row>
    <row r="85" spans="3:97" ht="13.35" customHeight="1" x14ac:dyDescent="0.25">
      <c r="C85" s="336">
        <v>18</v>
      </c>
      <c r="D85" s="19">
        <f t="shared" si="43"/>
        <v>82</v>
      </c>
      <c r="E85" s="19">
        <f t="shared" si="41"/>
        <v>81</v>
      </c>
      <c r="F85" s="19">
        <f t="shared" si="44"/>
        <v>80</v>
      </c>
      <c r="G85" s="19">
        <f t="shared" si="60"/>
        <v>79</v>
      </c>
      <c r="H85" s="19">
        <f t="shared" si="60"/>
        <v>78</v>
      </c>
      <c r="I85" s="19">
        <f t="shared" si="60"/>
        <v>77</v>
      </c>
      <c r="J85" s="19">
        <f t="shared" si="60"/>
        <v>76</v>
      </c>
      <c r="K85" s="19">
        <f t="shared" si="60"/>
        <v>75</v>
      </c>
      <c r="L85" s="19">
        <f t="shared" si="60"/>
        <v>74</v>
      </c>
      <c r="M85" s="19">
        <f t="shared" si="60"/>
        <v>73</v>
      </c>
      <c r="N85" s="19">
        <f t="shared" si="60"/>
        <v>72</v>
      </c>
      <c r="O85" s="19">
        <f t="shared" si="60"/>
        <v>71</v>
      </c>
      <c r="P85" s="19">
        <f t="shared" si="60"/>
        <v>70</v>
      </c>
      <c r="Q85" s="19">
        <f t="shared" si="60"/>
        <v>69</v>
      </c>
      <c r="R85" s="19">
        <f t="shared" si="60"/>
        <v>68</v>
      </c>
      <c r="S85" s="19">
        <f t="shared" si="60"/>
        <v>67</v>
      </c>
      <c r="T85" s="19">
        <f t="shared" si="60"/>
        <v>66</v>
      </c>
      <c r="U85" s="19">
        <f t="shared" si="60"/>
        <v>65</v>
      </c>
      <c r="V85" s="19">
        <f t="shared" si="60"/>
        <v>64</v>
      </c>
      <c r="W85" s="19">
        <f t="shared" si="60"/>
        <v>63</v>
      </c>
      <c r="X85" s="19">
        <f t="shared" si="60"/>
        <v>62</v>
      </c>
      <c r="Y85" s="19">
        <f t="shared" si="60"/>
        <v>61</v>
      </c>
      <c r="Z85" s="19">
        <f t="shared" si="60"/>
        <v>60</v>
      </c>
      <c r="AA85" s="19">
        <f t="shared" si="60"/>
        <v>59</v>
      </c>
      <c r="AB85" s="19">
        <f t="shared" si="60"/>
        <v>58</v>
      </c>
      <c r="AC85" s="19">
        <f t="shared" si="60"/>
        <v>57</v>
      </c>
      <c r="AD85" s="19">
        <f t="shared" si="60"/>
        <v>56</v>
      </c>
      <c r="AE85" s="19">
        <f t="shared" si="60"/>
        <v>55</v>
      </c>
      <c r="AF85" s="19">
        <f t="shared" si="60"/>
        <v>54</v>
      </c>
      <c r="AG85" s="19">
        <f t="shared" si="60"/>
        <v>53</v>
      </c>
      <c r="AH85" s="19">
        <f t="shared" si="60"/>
        <v>52</v>
      </c>
      <c r="AI85" s="19">
        <f t="shared" si="60"/>
        <v>51</v>
      </c>
      <c r="AJ85" s="19">
        <f t="shared" si="60"/>
        <v>50</v>
      </c>
      <c r="AK85">
        <f t="shared" si="60"/>
        <v>49</v>
      </c>
      <c r="AL85">
        <f t="shared" si="60"/>
        <v>48</v>
      </c>
      <c r="AM85">
        <f t="shared" si="60"/>
        <v>47</v>
      </c>
      <c r="AN85">
        <f t="shared" si="60"/>
        <v>46</v>
      </c>
      <c r="AO85">
        <f t="shared" si="60"/>
        <v>45</v>
      </c>
      <c r="AP85">
        <f t="shared" si="60"/>
        <v>44</v>
      </c>
      <c r="AQ85">
        <f t="shared" si="60"/>
        <v>43</v>
      </c>
      <c r="AR85">
        <f t="shared" si="60"/>
        <v>42</v>
      </c>
      <c r="AS85">
        <f t="shared" si="60"/>
        <v>41</v>
      </c>
      <c r="AT85">
        <f t="shared" si="60"/>
        <v>40</v>
      </c>
      <c r="AU85">
        <f t="shared" si="60"/>
        <v>39</v>
      </c>
      <c r="AV85">
        <f t="shared" si="60"/>
        <v>38</v>
      </c>
      <c r="AW85">
        <f t="shared" si="60"/>
        <v>37</v>
      </c>
      <c r="AX85">
        <f t="shared" si="60"/>
        <v>36</v>
      </c>
      <c r="AY85">
        <f t="shared" si="60"/>
        <v>35</v>
      </c>
      <c r="AZ85">
        <f t="shared" si="60"/>
        <v>34</v>
      </c>
      <c r="BA85">
        <f t="shared" si="60"/>
        <v>33</v>
      </c>
      <c r="BB85">
        <f t="shared" si="60"/>
        <v>32</v>
      </c>
      <c r="BC85">
        <f t="shared" si="60"/>
        <v>31</v>
      </c>
      <c r="BD85">
        <f t="shared" si="60"/>
        <v>30</v>
      </c>
      <c r="BE85">
        <f t="shared" si="60"/>
        <v>29</v>
      </c>
      <c r="BF85" s="25">
        <f t="shared" si="60"/>
        <v>28</v>
      </c>
      <c r="BG85" s="25">
        <f t="shared" si="60"/>
        <v>27</v>
      </c>
      <c r="BH85" s="25">
        <f t="shared" si="60"/>
        <v>26</v>
      </c>
      <c r="BI85" s="25">
        <f t="shared" si="60"/>
        <v>25</v>
      </c>
      <c r="BJ85" s="25">
        <f t="shared" si="60"/>
        <v>24</v>
      </c>
      <c r="BK85" s="25">
        <f t="shared" si="60"/>
        <v>23</v>
      </c>
      <c r="BL85" s="25">
        <f t="shared" si="60"/>
        <v>22</v>
      </c>
      <c r="BM85" s="25">
        <f t="shared" si="60"/>
        <v>21</v>
      </c>
      <c r="BN85" s="25">
        <f t="shared" si="60"/>
        <v>20</v>
      </c>
      <c r="BO85" s="25">
        <f t="shared" si="60"/>
        <v>19</v>
      </c>
      <c r="BP85" s="25">
        <f t="shared" si="60"/>
        <v>18</v>
      </c>
      <c r="BQ85" s="25">
        <f t="shared" si="60"/>
        <v>17</v>
      </c>
      <c r="BR85" s="25">
        <f t="shared" si="60"/>
        <v>16</v>
      </c>
      <c r="BS85" s="25">
        <f t="shared" si="45"/>
        <v>15</v>
      </c>
      <c r="BT85" s="25">
        <f t="shared" si="46"/>
        <v>14</v>
      </c>
      <c r="BU85" s="25">
        <f t="shared" si="48"/>
        <v>13</v>
      </c>
      <c r="BV85" s="25">
        <f t="shared" si="49"/>
        <v>12</v>
      </c>
      <c r="BW85" s="25">
        <f t="shared" si="50"/>
        <v>11</v>
      </c>
      <c r="BX85" s="25">
        <f t="shared" si="51"/>
        <v>10</v>
      </c>
      <c r="BY85" s="25">
        <f t="shared" si="53"/>
        <v>9</v>
      </c>
      <c r="BZ85" s="25">
        <f t="shared" si="54"/>
        <v>8</v>
      </c>
      <c r="CA85" s="25">
        <f t="shared" si="55"/>
        <v>7</v>
      </c>
      <c r="CB85" s="25">
        <f t="shared" si="56"/>
        <v>6</v>
      </c>
      <c r="CC85" s="25">
        <f t="shared" si="58"/>
        <v>5</v>
      </c>
      <c r="CD85" s="25">
        <f t="shared" si="59"/>
        <v>4</v>
      </c>
      <c r="CE85" s="25">
        <f>(CE$103-$C85)</f>
        <v>3</v>
      </c>
      <c r="CF85" s="25">
        <f>(CF$103-$C85)</f>
        <v>2</v>
      </c>
      <c r="CG85" s="25">
        <f>(CG$103-$C85)</f>
        <v>1</v>
      </c>
      <c r="CH85" s="25">
        <f>(CH$103-$C85)</f>
        <v>0</v>
      </c>
    </row>
    <row r="86" spans="3:97" ht="13.35" customHeight="1" x14ac:dyDescent="0.25">
      <c r="C86" s="336">
        <v>17</v>
      </c>
      <c r="D86" s="19">
        <f t="shared" si="43"/>
        <v>83</v>
      </c>
      <c r="E86" s="19">
        <f t="shared" si="41"/>
        <v>82</v>
      </c>
      <c r="F86" s="19">
        <f t="shared" si="44"/>
        <v>81</v>
      </c>
      <c r="G86" s="19">
        <f t="shared" si="60"/>
        <v>80</v>
      </c>
      <c r="H86" s="19">
        <f t="shared" si="60"/>
        <v>79</v>
      </c>
      <c r="I86" s="19">
        <f t="shared" si="60"/>
        <v>78</v>
      </c>
      <c r="J86" s="19">
        <f t="shared" si="60"/>
        <v>77</v>
      </c>
      <c r="K86" s="19">
        <f t="shared" si="60"/>
        <v>76</v>
      </c>
      <c r="L86" s="19">
        <f t="shared" si="60"/>
        <v>75</v>
      </c>
      <c r="M86" s="19">
        <f t="shared" si="60"/>
        <v>74</v>
      </c>
      <c r="N86" s="19">
        <f t="shared" si="60"/>
        <v>73</v>
      </c>
      <c r="O86" s="19">
        <f t="shared" si="60"/>
        <v>72</v>
      </c>
      <c r="P86" s="19">
        <f t="shared" si="60"/>
        <v>71</v>
      </c>
      <c r="Q86" s="19">
        <f t="shared" si="60"/>
        <v>70</v>
      </c>
      <c r="R86" s="19">
        <f t="shared" si="60"/>
        <v>69</v>
      </c>
      <c r="S86" s="19">
        <f t="shared" si="60"/>
        <v>68</v>
      </c>
      <c r="T86" s="19">
        <f t="shared" si="60"/>
        <v>67</v>
      </c>
      <c r="U86" s="19">
        <f t="shared" si="60"/>
        <v>66</v>
      </c>
      <c r="V86" s="19">
        <f t="shared" si="60"/>
        <v>65</v>
      </c>
      <c r="W86" s="19">
        <f t="shared" si="60"/>
        <v>64</v>
      </c>
      <c r="X86" s="19">
        <f t="shared" si="60"/>
        <v>63</v>
      </c>
      <c r="Y86" s="19">
        <f t="shared" si="60"/>
        <v>62</v>
      </c>
      <c r="Z86" s="19">
        <f t="shared" si="60"/>
        <v>61</v>
      </c>
      <c r="AA86" s="19">
        <f t="shared" si="60"/>
        <v>60</v>
      </c>
      <c r="AB86" s="19">
        <f t="shared" si="60"/>
        <v>59</v>
      </c>
      <c r="AC86" s="19">
        <f t="shared" si="60"/>
        <v>58</v>
      </c>
      <c r="AD86" s="19">
        <f t="shared" si="60"/>
        <v>57</v>
      </c>
      <c r="AE86" s="19">
        <f t="shared" si="60"/>
        <v>56</v>
      </c>
      <c r="AF86" s="19">
        <f t="shared" si="60"/>
        <v>55</v>
      </c>
      <c r="AG86" s="19">
        <f t="shared" si="60"/>
        <v>54</v>
      </c>
      <c r="AH86" s="19">
        <f t="shared" si="60"/>
        <v>53</v>
      </c>
      <c r="AI86" s="19">
        <f t="shared" si="60"/>
        <v>52</v>
      </c>
      <c r="AJ86" s="19">
        <f t="shared" si="60"/>
        <v>51</v>
      </c>
      <c r="AK86" s="19">
        <f t="shared" si="60"/>
        <v>50</v>
      </c>
      <c r="AL86">
        <f t="shared" si="60"/>
        <v>49</v>
      </c>
      <c r="AM86">
        <f t="shared" si="60"/>
        <v>48</v>
      </c>
      <c r="AN86">
        <f t="shared" si="60"/>
        <v>47</v>
      </c>
      <c r="AO86">
        <f t="shared" si="60"/>
        <v>46</v>
      </c>
      <c r="AP86">
        <f t="shared" si="60"/>
        <v>45</v>
      </c>
      <c r="AQ86">
        <f t="shared" si="60"/>
        <v>44</v>
      </c>
      <c r="AR86">
        <f t="shared" si="60"/>
        <v>43</v>
      </c>
      <c r="AS86">
        <f t="shared" si="60"/>
        <v>42</v>
      </c>
      <c r="AT86">
        <f t="shared" si="60"/>
        <v>41</v>
      </c>
      <c r="AU86">
        <f t="shared" si="60"/>
        <v>40</v>
      </c>
      <c r="AV86">
        <f t="shared" si="60"/>
        <v>39</v>
      </c>
      <c r="AW86">
        <f t="shared" si="60"/>
        <v>38</v>
      </c>
      <c r="AX86">
        <f t="shared" si="60"/>
        <v>37</v>
      </c>
      <c r="AY86">
        <f t="shared" si="60"/>
        <v>36</v>
      </c>
      <c r="AZ86">
        <f t="shared" si="60"/>
        <v>35</v>
      </c>
      <c r="BA86">
        <f t="shared" si="60"/>
        <v>34</v>
      </c>
      <c r="BB86">
        <f t="shared" si="60"/>
        <v>33</v>
      </c>
      <c r="BC86">
        <f t="shared" si="60"/>
        <v>32</v>
      </c>
      <c r="BD86">
        <f t="shared" si="60"/>
        <v>31</v>
      </c>
      <c r="BE86">
        <f t="shared" si="60"/>
        <v>30</v>
      </c>
      <c r="BF86" s="25">
        <f t="shared" si="60"/>
        <v>29</v>
      </c>
      <c r="BG86" s="25">
        <f t="shared" si="60"/>
        <v>28</v>
      </c>
      <c r="BH86" s="25">
        <f t="shared" si="60"/>
        <v>27</v>
      </c>
      <c r="BI86" s="25">
        <f t="shared" si="60"/>
        <v>26</v>
      </c>
      <c r="BJ86" s="25">
        <f t="shared" si="60"/>
        <v>25</v>
      </c>
      <c r="BK86" s="25">
        <f t="shared" si="60"/>
        <v>24</v>
      </c>
      <c r="BL86" s="25">
        <f t="shared" si="60"/>
        <v>23</v>
      </c>
      <c r="BM86" s="25">
        <f t="shared" si="60"/>
        <v>22</v>
      </c>
      <c r="BN86" s="25">
        <f t="shared" si="60"/>
        <v>21</v>
      </c>
      <c r="BO86" s="25">
        <f t="shared" si="60"/>
        <v>20</v>
      </c>
      <c r="BP86" s="25">
        <f t="shared" si="60"/>
        <v>19</v>
      </c>
      <c r="BQ86" s="25">
        <f t="shared" si="60"/>
        <v>18</v>
      </c>
      <c r="BR86" s="25">
        <f t="shared" si="60"/>
        <v>17</v>
      </c>
      <c r="BS86" s="25">
        <f t="shared" si="45"/>
        <v>16</v>
      </c>
      <c r="BT86" s="25">
        <f t="shared" si="46"/>
        <v>15</v>
      </c>
      <c r="BU86" s="25">
        <f t="shared" si="48"/>
        <v>14</v>
      </c>
      <c r="BV86" s="25">
        <f t="shared" si="49"/>
        <v>13</v>
      </c>
      <c r="BW86" s="25">
        <f t="shared" si="50"/>
        <v>12</v>
      </c>
      <c r="BX86" s="25">
        <f t="shared" si="51"/>
        <v>11</v>
      </c>
      <c r="BY86" s="25">
        <f t="shared" si="53"/>
        <v>10</v>
      </c>
      <c r="BZ86" s="25">
        <f t="shared" si="54"/>
        <v>9</v>
      </c>
      <c r="CA86" s="25">
        <f t="shared" si="55"/>
        <v>8</v>
      </c>
      <c r="CB86" s="25">
        <f t="shared" si="56"/>
        <v>7</v>
      </c>
      <c r="CC86" s="25">
        <f t="shared" si="58"/>
        <v>6</v>
      </c>
      <c r="CD86" s="25">
        <f t="shared" si="59"/>
        <v>5</v>
      </c>
      <c r="CE86" s="25">
        <f>(CE$103-$C86)</f>
        <v>4</v>
      </c>
      <c r="CF86" s="25">
        <f>(CF$103-$C86)</f>
        <v>3</v>
      </c>
      <c r="CG86" s="25">
        <f>(CG$103-$C86)</f>
        <v>2</v>
      </c>
      <c r="CH86" s="25">
        <f>(CH$103-$C86)</f>
        <v>1</v>
      </c>
      <c r="CI86" s="25">
        <f>(CI$103-$C86)</f>
        <v>0</v>
      </c>
    </row>
    <row r="87" spans="3:97" ht="13.35" customHeight="1" x14ac:dyDescent="0.25">
      <c r="C87" s="336">
        <v>16</v>
      </c>
      <c r="D87" s="19">
        <f t="shared" si="43"/>
        <v>84</v>
      </c>
      <c r="E87" s="19">
        <f t="shared" si="41"/>
        <v>83</v>
      </c>
      <c r="F87" s="19">
        <f t="shared" si="44"/>
        <v>82</v>
      </c>
      <c r="G87" s="19">
        <f t="shared" si="60"/>
        <v>81</v>
      </c>
      <c r="H87" s="19">
        <f t="shared" si="60"/>
        <v>80</v>
      </c>
      <c r="I87" s="19">
        <f t="shared" si="60"/>
        <v>79</v>
      </c>
      <c r="J87" s="19">
        <f t="shared" si="60"/>
        <v>78</v>
      </c>
      <c r="K87" s="19">
        <f t="shared" si="60"/>
        <v>77</v>
      </c>
      <c r="L87" s="19">
        <f t="shared" si="60"/>
        <v>76</v>
      </c>
      <c r="M87" s="19">
        <f t="shared" si="60"/>
        <v>75</v>
      </c>
      <c r="N87" s="19">
        <f t="shared" si="60"/>
        <v>74</v>
      </c>
      <c r="O87" s="19">
        <f t="shared" si="60"/>
        <v>73</v>
      </c>
      <c r="P87" s="19">
        <f t="shared" si="60"/>
        <v>72</v>
      </c>
      <c r="Q87" s="19">
        <f t="shared" si="60"/>
        <v>71</v>
      </c>
      <c r="R87" s="19">
        <f t="shared" si="60"/>
        <v>70</v>
      </c>
      <c r="S87" s="19">
        <f t="shared" si="60"/>
        <v>69</v>
      </c>
      <c r="T87" s="19">
        <f t="shared" si="60"/>
        <v>68</v>
      </c>
      <c r="U87" s="19">
        <f t="shared" si="60"/>
        <v>67</v>
      </c>
      <c r="V87" s="19">
        <f t="shared" si="60"/>
        <v>66</v>
      </c>
      <c r="W87" s="19">
        <f t="shared" si="60"/>
        <v>65</v>
      </c>
      <c r="X87" s="19">
        <f t="shared" si="60"/>
        <v>64</v>
      </c>
      <c r="Y87" s="19">
        <f t="shared" si="60"/>
        <v>63</v>
      </c>
      <c r="Z87" s="19">
        <f t="shared" si="60"/>
        <v>62</v>
      </c>
      <c r="AA87" s="19">
        <f t="shared" si="60"/>
        <v>61</v>
      </c>
      <c r="AB87" s="19">
        <f t="shared" si="60"/>
        <v>60</v>
      </c>
      <c r="AC87" s="19">
        <f t="shared" si="60"/>
        <v>59</v>
      </c>
      <c r="AD87" s="19">
        <f t="shared" si="60"/>
        <v>58</v>
      </c>
      <c r="AE87" s="19">
        <f t="shared" si="60"/>
        <v>57</v>
      </c>
      <c r="AF87" s="19">
        <f t="shared" si="60"/>
        <v>56</v>
      </c>
      <c r="AG87" s="19">
        <f t="shared" si="60"/>
        <v>55</v>
      </c>
      <c r="AH87" s="19">
        <f t="shared" si="60"/>
        <v>54</v>
      </c>
      <c r="AI87" s="19">
        <f t="shared" si="60"/>
        <v>53</v>
      </c>
      <c r="AJ87" s="19">
        <f t="shared" si="60"/>
        <v>52</v>
      </c>
      <c r="AK87" s="19">
        <f t="shared" si="60"/>
        <v>51</v>
      </c>
      <c r="AL87" s="19">
        <f t="shared" si="60"/>
        <v>50</v>
      </c>
      <c r="AM87">
        <f t="shared" si="60"/>
        <v>49</v>
      </c>
      <c r="AN87">
        <f t="shared" si="60"/>
        <v>48</v>
      </c>
      <c r="AO87">
        <f t="shared" si="60"/>
        <v>47</v>
      </c>
      <c r="AP87">
        <f t="shared" si="60"/>
        <v>46</v>
      </c>
      <c r="AQ87">
        <f t="shared" si="60"/>
        <v>45</v>
      </c>
      <c r="AR87">
        <f t="shared" si="60"/>
        <v>44</v>
      </c>
      <c r="AS87">
        <f t="shared" si="60"/>
        <v>43</v>
      </c>
      <c r="AT87">
        <f t="shared" si="60"/>
        <v>42</v>
      </c>
      <c r="AU87">
        <f t="shared" si="60"/>
        <v>41</v>
      </c>
      <c r="AV87">
        <f t="shared" si="60"/>
        <v>40</v>
      </c>
      <c r="AW87">
        <f t="shared" si="60"/>
        <v>39</v>
      </c>
      <c r="AX87">
        <f t="shared" si="60"/>
        <v>38</v>
      </c>
      <c r="AY87">
        <f t="shared" si="60"/>
        <v>37</v>
      </c>
      <c r="AZ87">
        <f t="shared" si="60"/>
        <v>36</v>
      </c>
      <c r="BA87">
        <f t="shared" si="60"/>
        <v>35</v>
      </c>
      <c r="BB87">
        <f t="shared" si="60"/>
        <v>34</v>
      </c>
      <c r="BC87">
        <f t="shared" si="60"/>
        <v>33</v>
      </c>
      <c r="BD87">
        <f t="shared" si="60"/>
        <v>32</v>
      </c>
      <c r="BE87">
        <f t="shared" si="60"/>
        <v>31</v>
      </c>
      <c r="BF87" s="25">
        <f t="shared" si="60"/>
        <v>30</v>
      </c>
      <c r="BG87" s="25">
        <f t="shared" si="60"/>
        <v>29</v>
      </c>
      <c r="BH87" s="25">
        <f t="shared" si="60"/>
        <v>28</v>
      </c>
      <c r="BI87" s="25">
        <f t="shared" si="60"/>
        <v>27</v>
      </c>
      <c r="BJ87" s="25">
        <f t="shared" si="60"/>
        <v>26</v>
      </c>
      <c r="BK87" s="25">
        <f t="shared" si="60"/>
        <v>25</v>
      </c>
      <c r="BL87" s="25">
        <f t="shared" si="60"/>
        <v>24</v>
      </c>
      <c r="BM87" s="25">
        <f t="shared" si="60"/>
        <v>23</v>
      </c>
      <c r="BN87" s="25">
        <f t="shared" si="60"/>
        <v>22</v>
      </c>
      <c r="BO87" s="25">
        <f t="shared" si="60"/>
        <v>21</v>
      </c>
      <c r="BP87" s="25">
        <f t="shared" si="60"/>
        <v>20</v>
      </c>
      <c r="BQ87" s="25">
        <f t="shared" si="60"/>
        <v>19</v>
      </c>
      <c r="BR87" s="25">
        <f t="shared" ref="BR87:CM90" si="61">(BR$103-$C87)</f>
        <v>18</v>
      </c>
      <c r="BS87" s="25">
        <f t="shared" si="61"/>
        <v>17</v>
      </c>
      <c r="BT87" s="25">
        <f t="shared" si="61"/>
        <v>16</v>
      </c>
      <c r="BU87" s="25">
        <f t="shared" si="61"/>
        <v>15</v>
      </c>
      <c r="BV87" s="25">
        <f t="shared" si="61"/>
        <v>14</v>
      </c>
      <c r="BW87" s="25">
        <f t="shared" si="61"/>
        <v>13</v>
      </c>
      <c r="BX87" s="25">
        <f t="shared" si="61"/>
        <v>12</v>
      </c>
      <c r="BY87" s="25">
        <f t="shared" si="61"/>
        <v>11</v>
      </c>
      <c r="BZ87" s="25">
        <f t="shared" si="61"/>
        <v>10</v>
      </c>
      <c r="CA87" s="25">
        <f t="shared" si="61"/>
        <v>9</v>
      </c>
      <c r="CB87" s="25">
        <f t="shared" si="61"/>
        <v>8</v>
      </c>
      <c r="CC87" s="25">
        <f t="shared" si="61"/>
        <v>7</v>
      </c>
      <c r="CD87" s="25">
        <f t="shared" si="61"/>
        <v>6</v>
      </c>
      <c r="CE87" s="25">
        <f t="shared" si="61"/>
        <v>5</v>
      </c>
      <c r="CF87" s="25">
        <f t="shared" si="61"/>
        <v>4</v>
      </c>
      <c r="CG87" s="25">
        <f t="shared" si="61"/>
        <v>3</v>
      </c>
      <c r="CH87" s="25">
        <f t="shared" si="61"/>
        <v>2</v>
      </c>
      <c r="CI87" s="25">
        <f t="shared" si="61"/>
        <v>1</v>
      </c>
      <c r="CJ87" s="25">
        <f t="shared" si="61"/>
        <v>0</v>
      </c>
    </row>
    <row r="88" spans="3:97" ht="13.35" customHeight="1" x14ac:dyDescent="0.25">
      <c r="C88" s="336">
        <v>15</v>
      </c>
      <c r="D88" s="19">
        <f t="shared" si="43"/>
        <v>85</v>
      </c>
      <c r="E88" s="19">
        <f t="shared" si="41"/>
        <v>84</v>
      </c>
      <c r="F88" s="19">
        <f t="shared" si="44"/>
        <v>83</v>
      </c>
      <c r="G88" s="19">
        <f t="shared" ref="G88:BR91" si="62">(G$103-$C88)</f>
        <v>82</v>
      </c>
      <c r="H88" s="19">
        <f t="shared" si="62"/>
        <v>81</v>
      </c>
      <c r="I88" s="19">
        <f t="shared" si="62"/>
        <v>80</v>
      </c>
      <c r="J88" s="19">
        <f t="shared" si="62"/>
        <v>79</v>
      </c>
      <c r="K88" s="19">
        <f t="shared" si="62"/>
        <v>78</v>
      </c>
      <c r="L88" s="19">
        <f t="shared" si="62"/>
        <v>77</v>
      </c>
      <c r="M88" s="19">
        <f t="shared" si="62"/>
        <v>76</v>
      </c>
      <c r="N88" s="19">
        <f t="shared" si="62"/>
        <v>75</v>
      </c>
      <c r="O88" s="19">
        <f t="shared" si="62"/>
        <v>74</v>
      </c>
      <c r="P88" s="19">
        <f t="shared" si="62"/>
        <v>73</v>
      </c>
      <c r="Q88" s="19">
        <f t="shared" si="62"/>
        <v>72</v>
      </c>
      <c r="R88" s="19">
        <f t="shared" si="62"/>
        <v>71</v>
      </c>
      <c r="S88" s="19">
        <f t="shared" si="62"/>
        <v>70</v>
      </c>
      <c r="T88" s="19">
        <f t="shared" si="62"/>
        <v>69</v>
      </c>
      <c r="U88" s="19">
        <f t="shared" si="62"/>
        <v>68</v>
      </c>
      <c r="V88" s="19">
        <f t="shared" si="62"/>
        <v>67</v>
      </c>
      <c r="W88" s="19">
        <f t="shared" si="62"/>
        <v>66</v>
      </c>
      <c r="X88" s="19">
        <f t="shared" si="62"/>
        <v>65</v>
      </c>
      <c r="Y88" s="19">
        <f t="shared" si="62"/>
        <v>64</v>
      </c>
      <c r="Z88" s="19">
        <f t="shared" si="62"/>
        <v>63</v>
      </c>
      <c r="AA88" s="19">
        <f t="shared" si="62"/>
        <v>62</v>
      </c>
      <c r="AB88" s="19">
        <f t="shared" si="62"/>
        <v>61</v>
      </c>
      <c r="AC88" s="19">
        <f t="shared" si="62"/>
        <v>60</v>
      </c>
      <c r="AD88" s="19">
        <f t="shared" si="62"/>
        <v>59</v>
      </c>
      <c r="AE88" s="19">
        <f t="shared" si="62"/>
        <v>58</v>
      </c>
      <c r="AF88" s="19">
        <f t="shared" si="62"/>
        <v>57</v>
      </c>
      <c r="AG88" s="19">
        <f t="shared" si="62"/>
        <v>56</v>
      </c>
      <c r="AH88" s="19">
        <f t="shared" si="62"/>
        <v>55</v>
      </c>
      <c r="AI88" s="19">
        <f t="shared" si="62"/>
        <v>54</v>
      </c>
      <c r="AJ88" s="19">
        <f t="shared" si="62"/>
        <v>53</v>
      </c>
      <c r="AK88" s="19">
        <f t="shared" si="62"/>
        <v>52</v>
      </c>
      <c r="AL88" s="19">
        <f t="shared" si="62"/>
        <v>51</v>
      </c>
      <c r="AM88" s="19">
        <f t="shared" si="62"/>
        <v>50</v>
      </c>
      <c r="AN88">
        <f t="shared" si="62"/>
        <v>49</v>
      </c>
      <c r="AO88">
        <f t="shared" si="62"/>
        <v>48</v>
      </c>
      <c r="AP88">
        <f t="shared" si="62"/>
        <v>47</v>
      </c>
      <c r="AQ88">
        <f t="shared" si="62"/>
        <v>46</v>
      </c>
      <c r="AR88">
        <f t="shared" si="62"/>
        <v>45</v>
      </c>
      <c r="AS88">
        <f t="shared" si="62"/>
        <v>44</v>
      </c>
      <c r="AT88">
        <f t="shared" si="62"/>
        <v>43</v>
      </c>
      <c r="AU88">
        <f t="shared" si="62"/>
        <v>42</v>
      </c>
      <c r="AV88">
        <f t="shared" si="62"/>
        <v>41</v>
      </c>
      <c r="AW88">
        <f t="shared" si="62"/>
        <v>40</v>
      </c>
      <c r="AX88">
        <f t="shared" si="62"/>
        <v>39</v>
      </c>
      <c r="AY88">
        <f t="shared" si="62"/>
        <v>38</v>
      </c>
      <c r="AZ88">
        <f t="shared" si="62"/>
        <v>37</v>
      </c>
      <c r="BA88">
        <f t="shared" si="62"/>
        <v>36</v>
      </c>
      <c r="BB88">
        <f t="shared" si="62"/>
        <v>35</v>
      </c>
      <c r="BC88">
        <f t="shared" si="62"/>
        <v>34</v>
      </c>
      <c r="BD88">
        <f t="shared" si="62"/>
        <v>33</v>
      </c>
      <c r="BE88">
        <f t="shared" si="62"/>
        <v>32</v>
      </c>
      <c r="BF88" s="25">
        <f t="shared" si="62"/>
        <v>31</v>
      </c>
      <c r="BG88" s="25">
        <f t="shared" si="62"/>
        <v>30</v>
      </c>
      <c r="BH88" s="25">
        <f t="shared" si="62"/>
        <v>29</v>
      </c>
      <c r="BI88" s="25">
        <f t="shared" si="62"/>
        <v>28</v>
      </c>
      <c r="BJ88" s="25">
        <f t="shared" si="62"/>
        <v>27</v>
      </c>
      <c r="BK88" s="25">
        <f t="shared" si="62"/>
        <v>26</v>
      </c>
      <c r="BL88" s="25">
        <f t="shared" si="62"/>
        <v>25</v>
      </c>
      <c r="BM88" s="25">
        <f t="shared" si="62"/>
        <v>24</v>
      </c>
      <c r="BN88" s="25">
        <f t="shared" si="62"/>
        <v>23</v>
      </c>
      <c r="BO88" s="25">
        <f t="shared" si="62"/>
        <v>22</v>
      </c>
      <c r="BP88" s="25">
        <f t="shared" si="62"/>
        <v>21</v>
      </c>
      <c r="BQ88" s="25">
        <f t="shared" si="62"/>
        <v>20</v>
      </c>
      <c r="BR88" s="25">
        <f t="shared" si="62"/>
        <v>19</v>
      </c>
      <c r="BS88" s="25">
        <f t="shared" si="61"/>
        <v>18</v>
      </c>
      <c r="BT88" s="25">
        <f t="shared" si="61"/>
        <v>17</v>
      </c>
      <c r="BU88" s="25">
        <f t="shared" si="61"/>
        <v>16</v>
      </c>
      <c r="BV88" s="25">
        <f t="shared" si="61"/>
        <v>15</v>
      </c>
      <c r="BW88" s="25">
        <f t="shared" si="61"/>
        <v>14</v>
      </c>
      <c r="BX88" s="25">
        <f t="shared" si="61"/>
        <v>13</v>
      </c>
      <c r="BY88" s="25">
        <f t="shared" si="61"/>
        <v>12</v>
      </c>
      <c r="BZ88" s="25">
        <f t="shared" si="61"/>
        <v>11</v>
      </c>
      <c r="CA88" s="25">
        <f t="shared" si="61"/>
        <v>10</v>
      </c>
      <c r="CB88" s="25">
        <f t="shared" si="61"/>
        <v>9</v>
      </c>
      <c r="CC88" s="25">
        <f t="shared" si="61"/>
        <v>8</v>
      </c>
      <c r="CD88" s="25">
        <f t="shared" si="61"/>
        <v>7</v>
      </c>
      <c r="CE88" s="25">
        <f t="shared" si="61"/>
        <v>6</v>
      </c>
      <c r="CF88" s="25">
        <f t="shared" si="61"/>
        <v>5</v>
      </c>
      <c r="CG88" s="25">
        <f t="shared" si="61"/>
        <v>4</v>
      </c>
      <c r="CH88" s="25">
        <f t="shared" si="61"/>
        <v>3</v>
      </c>
      <c r="CI88" s="25">
        <f t="shared" si="61"/>
        <v>2</v>
      </c>
      <c r="CJ88" s="24">
        <f t="shared" si="61"/>
        <v>1</v>
      </c>
      <c r="CK88" s="24">
        <f t="shared" si="61"/>
        <v>0</v>
      </c>
    </row>
    <row r="89" spans="3:97" ht="13.35" customHeight="1" x14ac:dyDescent="0.25">
      <c r="C89" s="336">
        <v>14</v>
      </c>
      <c r="D89" s="19">
        <f t="shared" si="43"/>
        <v>86</v>
      </c>
      <c r="E89" s="19">
        <f t="shared" si="41"/>
        <v>85</v>
      </c>
      <c r="F89" s="19">
        <f t="shared" si="44"/>
        <v>84</v>
      </c>
      <c r="G89" s="19">
        <f t="shared" si="62"/>
        <v>83</v>
      </c>
      <c r="H89" s="19">
        <f t="shared" si="62"/>
        <v>82</v>
      </c>
      <c r="I89" s="19">
        <f t="shared" si="62"/>
        <v>81</v>
      </c>
      <c r="J89" s="19">
        <f t="shared" si="62"/>
        <v>80</v>
      </c>
      <c r="K89" s="19">
        <f t="shared" si="62"/>
        <v>79</v>
      </c>
      <c r="L89" s="19">
        <f t="shared" si="62"/>
        <v>78</v>
      </c>
      <c r="M89" s="19">
        <f t="shared" si="62"/>
        <v>77</v>
      </c>
      <c r="N89" s="19">
        <f t="shared" si="62"/>
        <v>76</v>
      </c>
      <c r="O89" s="19">
        <f t="shared" si="62"/>
        <v>75</v>
      </c>
      <c r="P89" s="19">
        <f t="shared" si="62"/>
        <v>74</v>
      </c>
      <c r="Q89" s="19">
        <f t="shared" si="62"/>
        <v>73</v>
      </c>
      <c r="R89" s="19">
        <f t="shared" si="62"/>
        <v>72</v>
      </c>
      <c r="S89" s="19">
        <f t="shared" si="62"/>
        <v>71</v>
      </c>
      <c r="T89" s="19">
        <f t="shared" si="62"/>
        <v>70</v>
      </c>
      <c r="U89" s="19">
        <f t="shared" si="62"/>
        <v>69</v>
      </c>
      <c r="V89" s="19">
        <f t="shared" si="62"/>
        <v>68</v>
      </c>
      <c r="W89" s="19">
        <f t="shared" si="62"/>
        <v>67</v>
      </c>
      <c r="X89" s="19">
        <f t="shared" si="62"/>
        <v>66</v>
      </c>
      <c r="Y89" s="19">
        <f t="shared" si="62"/>
        <v>65</v>
      </c>
      <c r="Z89" s="19">
        <f t="shared" si="62"/>
        <v>64</v>
      </c>
      <c r="AA89" s="19">
        <f t="shared" si="62"/>
        <v>63</v>
      </c>
      <c r="AB89" s="19">
        <f t="shared" si="62"/>
        <v>62</v>
      </c>
      <c r="AC89" s="19">
        <f t="shared" si="62"/>
        <v>61</v>
      </c>
      <c r="AD89" s="19">
        <f t="shared" si="62"/>
        <v>60</v>
      </c>
      <c r="AE89" s="19">
        <f t="shared" si="62"/>
        <v>59</v>
      </c>
      <c r="AF89" s="19">
        <f t="shared" si="62"/>
        <v>58</v>
      </c>
      <c r="AG89" s="19">
        <f t="shared" si="62"/>
        <v>57</v>
      </c>
      <c r="AH89" s="19">
        <f t="shared" si="62"/>
        <v>56</v>
      </c>
      <c r="AI89" s="19">
        <f t="shared" si="62"/>
        <v>55</v>
      </c>
      <c r="AJ89" s="19">
        <f t="shared" si="62"/>
        <v>54</v>
      </c>
      <c r="AK89" s="19">
        <f t="shared" si="62"/>
        <v>53</v>
      </c>
      <c r="AL89" s="19">
        <f t="shared" si="62"/>
        <v>52</v>
      </c>
      <c r="AM89" s="19">
        <f t="shared" si="62"/>
        <v>51</v>
      </c>
      <c r="AN89" s="19">
        <f t="shared" si="62"/>
        <v>50</v>
      </c>
      <c r="AO89">
        <f t="shared" si="62"/>
        <v>49</v>
      </c>
      <c r="AP89">
        <f t="shared" si="62"/>
        <v>48</v>
      </c>
      <c r="AQ89">
        <f t="shared" si="62"/>
        <v>47</v>
      </c>
      <c r="AR89">
        <f t="shared" si="62"/>
        <v>46</v>
      </c>
      <c r="AS89">
        <f t="shared" si="62"/>
        <v>45</v>
      </c>
      <c r="AT89">
        <f t="shared" si="62"/>
        <v>44</v>
      </c>
      <c r="AU89">
        <f t="shared" si="62"/>
        <v>43</v>
      </c>
      <c r="AV89">
        <f t="shared" si="62"/>
        <v>42</v>
      </c>
      <c r="AW89">
        <f t="shared" si="62"/>
        <v>41</v>
      </c>
      <c r="AX89">
        <f t="shared" si="62"/>
        <v>40</v>
      </c>
      <c r="AY89">
        <f t="shared" si="62"/>
        <v>39</v>
      </c>
      <c r="AZ89">
        <f t="shared" si="62"/>
        <v>38</v>
      </c>
      <c r="BA89">
        <f t="shared" si="62"/>
        <v>37</v>
      </c>
      <c r="BB89">
        <f t="shared" si="62"/>
        <v>36</v>
      </c>
      <c r="BC89">
        <f t="shared" si="62"/>
        <v>35</v>
      </c>
      <c r="BD89">
        <f t="shared" si="62"/>
        <v>34</v>
      </c>
      <c r="BE89">
        <f t="shared" si="62"/>
        <v>33</v>
      </c>
      <c r="BF89" s="25">
        <f t="shared" si="62"/>
        <v>32</v>
      </c>
      <c r="BG89" s="25">
        <f t="shared" si="62"/>
        <v>31</v>
      </c>
      <c r="BH89" s="25">
        <f t="shared" si="62"/>
        <v>30</v>
      </c>
      <c r="BI89" s="25">
        <f t="shared" si="62"/>
        <v>29</v>
      </c>
      <c r="BJ89" s="25">
        <f t="shared" si="62"/>
        <v>28</v>
      </c>
      <c r="BK89" s="25">
        <f t="shared" si="62"/>
        <v>27</v>
      </c>
      <c r="BL89" s="25">
        <f t="shared" si="62"/>
        <v>26</v>
      </c>
      <c r="BM89" s="25">
        <f t="shared" si="62"/>
        <v>25</v>
      </c>
      <c r="BN89" s="25">
        <f t="shared" si="62"/>
        <v>24</v>
      </c>
      <c r="BO89" s="25">
        <f t="shared" si="62"/>
        <v>23</v>
      </c>
      <c r="BP89" s="25">
        <f t="shared" si="62"/>
        <v>22</v>
      </c>
      <c r="BQ89" s="25">
        <f t="shared" si="62"/>
        <v>21</v>
      </c>
      <c r="BR89" s="25">
        <f t="shared" si="62"/>
        <v>20</v>
      </c>
      <c r="BS89" s="25">
        <f t="shared" si="61"/>
        <v>19</v>
      </c>
      <c r="BT89" s="25">
        <f t="shared" si="61"/>
        <v>18</v>
      </c>
      <c r="BU89" s="25">
        <f t="shared" si="61"/>
        <v>17</v>
      </c>
      <c r="BV89" s="25">
        <f t="shared" si="61"/>
        <v>16</v>
      </c>
      <c r="BW89" s="25">
        <f t="shared" si="61"/>
        <v>15</v>
      </c>
      <c r="BX89" s="25">
        <f t="shared" si="61"/>
        <v>14</v>
      </c>
      <c r="BY89" s="25">
        <f t="shared" si="61"/>
        <v>13</v>
      </c>
      <c r="BZ89" s="25">
        <f t="shared" si="61"/>
        <v>12</v>
      </c>
      <c r="CA89" s="25">
        <f t="shared" si="61"/>
        <v>11</v>
      </c>
      <c r="CB89" s="25">
        <f t="shared" si="61"/>
        <v>10</v>
      </c>
      <c r="CC89" s="25">
        <f t="shared" si="61"/>
        <v>9</v>
      </c>
      <c r="CD89" s="25">
        <f t="shared" si="61"/>
        <v>8</v>
      </c>
      <c r="CE89" s="25">
        <f t="shared" si="61"/>
        <v>7</v>
      </c>
      <c r="CF89" s="25">
        <f t="shared" si="61"/>
        <v>6</v>
      </c>
      <c r="CG89" s="25">
        <f t="shared" si="61"/>
        <v>5</v>
      </c>
      <c r="CH89" s="25">
        <f t="shared" si="61"/>
        <v>4</v>
      </c>
      <c r="CI89" s="24">
        <f t="shared" si="61"/>
        <v>3</v>
      </c>
      <c r="CJ89" s="24">
        <f t="shared" si="61"/>
        <v>2</v>
      </c>
      <c r="CK89" s="24">
        <f t="shared" si="61"/>
        <v>1</v>
      </c>
      <c r="CL89" s="24">
        <f t="shared" si="61"/>
        <v>0</v>
      </c>
    </row>
    <row r="90" spans="3:97" ht="13.35" customHeight="1" x14ac:dyDescent="0.25">
      <c r="C90" s="336">
        <v>13</v>
      </c>
      <c r="D90" s="19">
        <f t="shared" si="43"/>
        <v>87</v>
      </c>
      <c r="E90" s="19">
        <f t="shared" si="41"/>
        <v>86</v>
      </c>
      <c r="F90" s="19">
        <f t="shared" si="44"/>
        <v>85</v>
      </c>
      <c r="G90" s="19">
        <f t="shared" si="62"/>
        <v>84</v>
      </c>
      <c r="H90" s="19">
        <f t="shared" si="62"/>
        <v>83</v>
      </c>
      <c r="I90" s="19">
        <f t="shared" si="62"/>
        <v>82</v>
      </c>
      <c r="J90" s="19">
        <f t="shared" si="62"/>
        <v>81</v>
      </c>
      <c r="K90" s="19">
        <f t="shared" si="62"/>
        <v>80</v>
      </c>
      <c r="L90" s="19">
        <f t="shared" si="62"/>
        <v>79</v>
      </c>
      <c r="M90" s="19">
        <f t="shared" si="62"/>
        <v>78</v>
      </c>
      <c r="N90" s="19">
        <f t="shared" si="62"/>
        <v>77</v>
      </c>
      <c r="O90" s="19">
        <f t="shared" si="62"/>
        <v>76</v>
      </c>
      <c r="P90" s="19">
        <f t="shared" si="62"/>
        <v>75</v>
      </c>
      <c r="Q90" s="19">
        <f t="shared" si="62"/>
        <v>74</v>
      </c>
      <c r="R90" s="19">
        <f t="shared" si="62"/>
        <v>73</v>
      </c>
      <c r="S90" s="19">
        <f t="shared" si="62"/>
        <v>72</v>
      </c>
      <c r="T90" s="19">
        <f t="shared" si="62"/>
        <v>71</v>
      </c>
      <c r="U90" s="19">
        <f t="shared" si="62"/>
        <v>70</v>
      </c>
      <c r="V90" s="19">
        <f t="shared" si="62"/>
        <v>69</v>
      </c>
      <c r="W90" s="19">
        <f t="shared" si="62"/>
        <v>68</v>
      </c>
      <c r="X90" s="19">
        <f t="shared" si="62"/>
        <v>67</v>
      </c>
      <c r="Y90" s="19">
        <f t="shared" si="62"/>
        <v>66</v>
      </c>
      <c r="Z90" s="19">
        <f t="shared" si="62"/>
        <v>65</v>
      </c>
      <c r="AA90" s="19">
        <f t="shared" si="62"/>
        <v>64</v>
      </c>
      <c r="AB90" s="19">
        <f t="shared" si="62"/>
        <v>63</v>
      </c>
      <c r="AC90" s="19">
        <f t="shared" si="62"/>
        <v>62</v>
      </c>
      <c r="AD90" s="19">
        <f t="shared" si="62"/>
        <v>61</v>
      </c>
      <c r="AE90" s="19">
        <f t="shared" si="62"/>
        <v>60</v>
      </c>
      <c r="AF90" s="19">
        <f t="shared" si="62"/>
        <v>59</v>
      </c>
      <c r="AG90" s="19">
        <f t="shared" si="62"/>
        <v>58</v>
      </c>
      <c r="AH90" s="19">
        <f t="shared" si="62"/>
        <v>57</v>
      </c>
      <c r="AI90" s="19">
        <f t="shared" si="62"/>
        <v>56</v>
      </c>
      <c r="AJ90" s="19">
        <f t="shared" si="62"/>
        <v>55</v>
      </c>
      <c r="AK90" s="19">
        <f t="shared" si="62"/>
        <v>54</v>
      </c>
      <c r="AL90" s="19">
        <f t="shared" si="62"/>
        <v>53</v>
      </c>
      <c r="AM90" s="19">
        <f t="shared" si="62"/>
        <v>52</v>
      </c>
      <c r="AN90" s="19">
        <f t="shared" si="62"/>
        <v>51</v>
      </c>
      <c r="AO90" s="19">
        <f t="shared" si="62"/>
        <v>50</v>
      </c>
      <c r="AP90">
        <f t="shared" si="62"/>
        <v>49</v>
      </c>
      <c r="AQ90">
        <f t="shared" si="62"/>
        <v>48</v>
      </c>
      <c r="AR90">
        <f t="shared" si="62"/>
        <v>47</v>
      </c>
      <c r="AS90">
        <f t="shared" si="62"/>
        <v>46</v>
      </c>
      <c r="AT90">
        <f t="shared" si="62"/>
        <v>45</v>
      </c>
      <c r="AU90">
        <f t="shared" si="62"/>
        <v>44</v>
      </c>
      <c r="AV90">
        <f t="shared" si="62"/>
        <v>43</v>
      </c>
      <c r="AW90">
        <f t="shared" si="62"/>
        <v>42</v>
      </c>
      <c r="AX90">
        <f t="shared" si="62"/>
        <v>41</v>
      </c>
      <c r="AY90">
        <f t="shared" si="62"/>
        <v>40</v>
      </c>
      <c r="AZ90">
        <f t="shared" si="62"/>
        <v>39</v>
      </c>
      <c r="BA90">
        <f t="shared" si="62"/>
        <v>38</v>
      </c>
      <c r="BB90">
        <f t="shared" si="62"/>
        <v>37</v>
      </c>
      <c r="BC90">
        <f t="shared" si="62"/>
        <v>36</v>
      </c>
      <c r="BD90">
        <f t="shared" si="62"/>
        <v>35</v>
      </c>
      <c r="BE90">
        <f t="shared" si="62"/>
        <v>34</v>
      </c>
      <c r="BF90" s="25">
        <f t="shared" si="62"/>
        <v>33</v>
      </c>
      <c r="BG90" s="25">
        <f t="shared" si="62"/>
        <v>32</v>
      </c>
      <c r="BH90" s="25">
        <f t="shared" si="62"/>
        <v>31</v>
      </c>
      <c r="BI90" s="25">
        <f t="shared" si="62"/>
        <v>30</v>
      </c>
      <c r="BJ90" s="25">
        <f t="shared" si="62"/>
        <v>29</v>
      </c>
      <c r="BK90" s="25">
        <f t="shared" si="62"/>
        <v>28</v>
      </c>
      <c r="BL90" s="25">
        <f t="shared" si="62"/>
        <v>27</v>
      </c>
      <c r="BM90" s="25">
        <f t="shared" si="62"/>
        <v>26</v>
      </c>
      <c r="BN90" s="25">
        <f t="shared" si="62"/>
        <v>25</v>
      </c>
      <c r="BO90" s="25">
        <f t="shared" si="62"/>
        <v>24</v>
      </c>
      <c r="BP90" s="25">
        <f t="shared" si="62"/>
        <v>23</v>
      </c>
      <c r="BQ90" s="25">
        <f t="shared" si="62"/>
        <v>22</v>
      </c>
      <c r="BR90" s="25">
        <f t="shared" si="62"/>
        <v>21</v>
      </c>
      <c r="BS90" s="25">
        <f t="shared" si="61"/>
        <v>20</v>
      </c>
      <c r="BT90" s="25">
        <f t="shared" si="61"/>
        <v>19</v>
      </c>
      <c r="BU90" s="25">
        <f t="shared" si="61"/>
        <v>18</v>
      </c>
      <c r="BV90" s="25">
        <f t="shared" si="61"/>
        <v>17</v>
      </c>
      <c r="BW90" s="25">
        <f t="shared" si="61"/>
        <v>16</v>
      </c>
      <c r="BX90" s="25">
        <f t="shared" si="61"/>
        <v>15</v>
      </c>
      <c r="BY90" s="25">
        <f t="shared" si="61"/>
        <v>14</v>
      </c>
      <c r="BZ90" s="25">
        <f t="shared" si="61"/>
        <v>13</v>
      </c>
      <c r="CA90" s="25">
        <f t="shared" si="61"/>
        <v>12</v>
      </c>
      <c r="CB90" s="25">
        <f t="shared" si="61"/>
        <v>11</v>
      </c>
      <c r="CC90" s="25">
        <f t="shared" si="61"/>
        <v>10</v>
      </c>
      <c r="CD90" s="25">
        <f t="shared" si="61"/>
        <v>9</v>
      </c>
      <c r="CE90" s="25">
        <f t="shared" si="61"/>
        <v>8</v>
      </c>
      <c r="CF90" s="25">
        <f t="shared" si="61"/>
        <v>7</v>
      </c>
      <c r="CG90" s="25">
        <f t="shared" si="61"/>
        <v>6</v>
      </c>
      <c r="CH90" s="24">
        <f t="shared" si="61"/>
        <v>5</v>
      </c>
      <c r="CI90" s="24">
        <f t="shared" si="61"/>
        <v>4</v>
      </c>
      <c r="CJ90" s="24">
        <f t="shared" si="61"/>
        <v>3</v>
      </c>
      <c r="CK90" s="24">
        <f t="shared" si="61"/>
        <v>2</v>
      </c>
      <c r="CL90" s="24">
        <f t="shared" si="61"/>
        <v>1</v>
      </c>
      <c r="CM90" s="24">
        <f t="shared" si="61"/>
        <v>0</v>
      </c>
    </row>
    <row r="91" spans="3:97" ht="13.35" customHeight="1" x14ac:dyDescent="0.25">
      <c r="C91" s="336">
        <v>12</v>
      </c>
      <c r="D91" s="18">
        <f t="shared" si="43"/>
        <v>88</v>
      </c>
      <c r="E91" s="18">
        <f t="shared" si="41"/>
        <v>87</v>
      </c>
      <c r="F91" s="18">
        <f t="shared" si="44"/>
        <v>86</v>
      </c>
      <c r="G91" s="18">
        <f t="shared" si="62"/>
        <v>85</v>
      </c>
      <c r="H91" s="18">
        <f t="shared" si="62"/>
        <v>84</v>
      </c>
      <c r="I91" s="18">
        <f t="shared" si="62"/>
        <v>83</v>
      </c>
      <c r="J91" s="18">
        <f t="shared" si="62"/>
        <v>82</v>
      </c>
      <c r="K91" s="18">
        <f t="shared" si="62"/>
        <v>81</v>
      </c>
      <c r="L91" s="18">
        <f t="shared" si="62"/>
        <v>80</v>
      </c>
      <c r="M91" s="19">
        <f t="shared" si="62"/>
        <v>79</v>
      </c>
      <c r="N91" s="19">
        <f t="shared" si="62"/>
        <v>78</v>
      </c>
      <c r="O91" s="19">
        <f t="shared" si="62"/>
        <v>77</v>
      </c>
      <c r="P91" s="19">
        <f t="shared" si="62"/>
        <v>76</v>
      </c>
      <c r="Q91" s="19">
        <f t="shared" si="62"/>
        <v>75</v>
      </c>
      <c r="R91" s="19">
        <f t="shared" si="62"/>
        <v>74</v>
      </c>
      <c r="S91" s="19">
        <f t="shared" si="62"/>
        <v>73</v>
      </c>
      <c r="T91" s="19">
        <f t="shared" si="62"/>
        <v>72</v>
      </c>
      <c r="U91" s="19">
        <f t="shared" si="62"/>
        <v>71</v>
      </c>
      <c r="V91" s="19">
        <f t="shared" si="62"/>
        <v>70</v>
      </c>
      <c r="W91" s="19">
        <f t="shared" si="62"/>
        <v>69</v>
      </c>
      <c r="X91" s="19">
        <f t="shared" si="62"/>
        <v>68</v>
      </c>
      <c r="Y91" s="19">
        <f t="shared" si="62"/>
        <v>67</v>
      </c>
      <c r="Z91" s="19">
        <f t="shared" si="62"/>
        <v>66</v>
      </c>
      <c r="AA91" s="19">
        <f t="shared" si="62"/>
        <v>65</v>
      </c>
      <c r="AB91" s="19">
        <f t="shared" si="62"/>
        <v>64</v>
      </c>
      <c r="AC91" s="19">
        <f t="shared" si="62"/>
        <v>63</v>
      </c>
      <c r="AD91" s="19">
        <f t="shared" si="62"/>
        <v>62</v>
      </c>
      <c r="AE91" s="19">
        <f t="shared" si="62"/>
        <v>61</v>
      </c>
      <c r="AF91" s="19">
        <f t="shared" si="62"/>
        <v>60</v>
      </c>
      <c r="AG91" s="19">
        <f t="shared" si="62"/>
        <v>59</v>
      </c>
      <c r="AH91" s="19">
        <f t="shared" si="62"/>
        <v>58</v>
      </c>
      <c r="AI91" s="19">
        <f t="shared" si="62"/>
        <v>57</v>
      </c>
      <c r="AJ91" s="19">
        <f t="shared" si="62"/>
        <v>56</v>
      </c>
      <c r="AK91" s="19">
        <f t="shared" si="62"/>
        <v>55</v>
      </c>
      <c r="AL91" s="19">
        <f t="shared" si="62"/>
        <v>54</v>
      </c>
      <c r="AM91" s="19">
        <f t="shared" si="62"/>
        <v>53</v>
      </c>
      <c r="AN91" s="19">
        <f t="shared" si="62"/>
        <v>52</v>
      </c>
      <c r="AO91" s="19">
        <f t="shared" si="62"/>
        <v>51</v>
      </c>
      <c r="AP91" s="19">
        <f t="shared" si="62"/>
        <v>50</v>
      </c>
      <c r="AQ91">
        <f t="shared" si="62"/>
        <v>49</v>
      </c>
      <c r="AR91">
        <f t="shared" si="62"/>
        <v>48</v>
      </c>
      <c r="AS91">
        <f t="shared" si="62"/>
        <v>47</v>
      </c>
      <c r="AT91">
        <f t="shared" si="62"/>
        <v>46</v>
      </c>
      <c r="AU91">
        <f t="shared" si="62"/>
        <v>45</v>
      </c>
      <c r="AV91">
        <f t="shared" si="62"/>
        <v>44</v>
      </c>
      <c r="AW91">
        <f t="shared" si="62"/>
        <v>43</v>
      </c>
      <c r="AX91">
        <f t="shared" si="62"/>
        <v>42</v>
      </c>
      <c r="AY91">
        <f t="shared" si="62"/>
        <v>41</v>
      </c>
      <c r="AZ91">
        <f t="shared" si="62"/>
        <v>40</v>
      </c>
      <c r="BA91">
        <f t="shared" si="62"/>
        <v>39</v>
      </c>
      <c r="BB91">
        <f t="shared" si="62"/>
        <v>38</v>
      </c>
      <c r="BC91">
        <f t="shared" si="62"/>
        <v>37</v>
      </c>
      <c r="BD91">
        <f t="shared" si="62"/>
        <v>36</v>
      </c>
      <c r="BE91">
        <f t="shared" si="62"/>
        <v>35</v>
      </c>
      <c r="BF91" s="25">
        <f t="shared" si="62"/>
        <v>34</v>
      </c>
      <c r="BG91" s="25">
        <f t="shared" si="62"/>
        <v>33</v>
      </c>
      <c r="BH91" s="25">
        <f t="shared" si="62"/>
        <v>32</v>
      </c>
      <c r="BI91" s="25">
        <f t="shared" si="62"/>
        <v>31</v>
      </c>
      <c r="BJ91" s="25">
        <f t="shared" si="62"/>
        <v>30</v>
      </c>
      <c r="BK91" s="25">
        <f t="shared" si="62"/>
        <v>29</v>
      </c>
      <c r="BL91" s="25">
        <f t="shared" si="62"/>
        <v>28</v>
      </c>
      <c r="BM91" s="25">
        <f t="shared" si="62"/>
        <v>27</v>
      </c>
      <c r="BN91" s="25">
        <f t="shared" si="62"/>
        <v>26</v>
      </c>
      <c r="BO91" s="25">
        <f t="shared" si="62"/>
        <v>25</v>
      </c>
      <c r="BP91" s="25">
        <f t="shared" si="62"/>
        <v>24</v>
      </c>
      <c r="BQ91" s="25">
        <f t="shared" si="62"/>
        <v>23</v>
      </c>
      <c r="BR91" s="25">
        <f t="shared" ref="BR91:CQ94" si="63">(BR$103-$C91)</f>
        <v>22</v>
      </c>
      <c r="BS91" s="25">
        <f t="shared" si="63"/>
        <v>21</v>
      </c>
      <c r="BT91" s="25">
        <f t="shared" si="63"/>
        <v>20</v>
      </c>
      <c r="BU91" s="25">
        <f t="shared" si="63"/>
        <v>19</v>
      </c>
      <c r="BV91" s="25">
        <f t="shared" si="63"/>
        <v>18</v>
      </c>
      <c r="BW91" s="25">
        <f t="shared" si="63"/>
        <v>17</v>
      </c>
      <c r="BX91" s="25">
        <f t="shared" si="63"/>
        <v>16</v>
      </c>
      <c r="BY91" s="25">
        <f t="shared" si="63"/>
        <v>15</v>
      </c>
      <c r="BZ91" s="25">
        <f t="shared" si="63"/>
        <v>14</v>
      </c>
      <c r="CA91" s="25">
        <f t="shared" si="63"/>
        <v>13</v>
      </c>
      <c r="CB91" s="25">
        <f t="shared" si="63"/>
        <v>12</v>
      </c>
      <c r="CC91" s="25">
        <f t="shared" si="63"/>
        <v>11</v>
      </c>
      <c r="CD91" s="25">
        <f t="shared" si="63"/>
        <v>10</v>
      </c>
      <c r="CE91" s="25">
        <f t="shared" si="63"/>
        <v>9</v>
      </c>
      <c r="CF91" s="25">
        <f t="shared" si="63"/>
        <v>8</v>
      </c>
      <c r="CG91" s="24">
        <f t="shared" si="63"/>
        <v>7</v>
      </c>
      <c r="CH91" s="24">
        <f t="shared" si="63"/>
        <v>6</v>
      </c>
      <c r="CI91" s="24">
        <f t="shared" si="63"/>
        <v>5</v>
      </c>
      <c r="CJ91" s="24">
        <f t="shared" si="63"/>
        <v>4</v>
      </c>
      <c r="CK91" s="24">
        <f t="shared" si="63"/>
        <v>3</v>
      </c>
      <c r="CL91" s="24">
        <f t="shared" si="63"/>
        <v>2</v>
      </c>
      <c r="CM91" s="24">
        <f t="shared" si="63"/>
        <v>1</v>
      </c>
      <c r="CN91" s="24">
        <f t="shared" si="63"/>
        <v>0</v>
      </c>
    </row>
    <row r="92" spans="3:97" ht="13.35" customHeight="1" x14ac:dyDescent="0.25">
      <c r="C92" s="336">
        <v>11</v>
      </c>
      <c r="D92" s="18">
        <f t="shared" si="43"/>
        <v>89</v>
      </c>
      <c r="E92" s="18">
        <f t="shared" si="41"/>
        <v>88</v>
      </c>
      <c r="F92" s="18">
        <f t="shared" si="44"/>
        <v>87</v>
      </c>
      <c r="G92" s="18">
        <f t="shared" ref="G92:BR95" si="64">(G$103-$C92)</f>
        <v>86</v>
      </c>
      <c r="H92" s="18">
        <f t="shared" si="64"/>
        <v>85</v>
      </c>
      <c r="I92" s="18">
        <f t="shared" si="64"/>
        <v>84</v>
      </c>
      <c r="J92" s="18">
        <f t="shared" si="64"/>
        <v>83</v>
      </c>
      <c r="K92" s="18">
        <f t="shared" si="64"/>
        <v>82</v>
      </c>
      <c r="L92" s="18">
        <f t="shared" si="64"/>
        <v>81</v>
      </c>
      <c r="M92" s="18">
        <f t="shared" si="64"/>
        <v>80</v>
      </c>
      <c r="N92" s="19">
        <f t="shared" si="64"/>
        <v>79</v>
      </c>
      <c r="O92" s="19">
        <f t="shared" si="64"/>
        <v>78</v>
      </c>
      <c r="P92" s="19">
        <f t="shared" si="64"/>
        <v>77</v>
      </c>
      <c r="Q92" s="19">
        <f t="shared" si="64"/>
        <v>76</v>
      </c>
      <c r="R92" s="19">
        <f t="shared" si="64"/>
        <v>75</v>
      </c>
      <c r="S92" s="19">
        <f t="shared" si="64"/>
        <v>74</v>
      </c>
      <c r="T92" s="19">
        <f t="shared" si="64"/>
        <v>73</v>
      </c>
      <c r="U92" s="19">
        <f t="shared" si="64"/>
        <v>72</v>
      </c>
      <c r="V92" s="19">
        <f t="shared" si="64"/>
        <v>71</v>
      </c>
      <c r="W92" s="19">
        <f t="shared" si="64"/>
        <v>70</v>
      </c>
      <c r="X92" s="19">
        <f t="shared" si="64"/>
        <v>69</v>
      </c>
      <c r="Y92" s="19">
        <f t="shared" si="64"/>
        <v>68</v>
      </c>
      <c r="Z92" s="19">
        <f t="shared" si="64"/>
        <v>67</v>
      </c>
      <c r="AA92" s="19">
        <f t="shared" si="64"/>
        <v>66</v>
      </c>
      <c r="AB92" s="19">
        <f t="shared" si="64"/>
        <v>65</v>
      </c>
      <c r="AC92" s="19">
        <f t="shared" si="64"/>
        <v>64</v>
      </c>
      <c r="AD92" s="19">
        <f t="shared" si="64"/>
        <v>63</v>
      </c>
      <c r="AE92" s="19">
        <f t="shared" si="64"/>
        <v>62</v>
      </c>
      <c r="AF92" s="19">
        <f t="shared" si="64"/>
        <v>61</v>
      </c>
      <c r="AG92" s="19">
        <f t="shared" si="64"/>
        <v>60</v>
      </c>
      <c r="AH92" s="19">
        <f t="shared" si="64"/>
        <v>59</v>
      </c>
      <c r="AI92" s="19">
        <f t="shared" si="64"/>
        <v>58</v>
      </c>
      <c r="AJ92" s="19">
        <f t="shared" si="64"/>
        <v>57</v>
      </c>
      <c r="AK92" s="19">
        <f t="shared" si="64"/>
        <v>56</v>
      </c>
      <c r="AL92" s="19">
        <f t="shared" si="64"/>
        <v>55</v>
      </c>
      <c r="AM92" s="19">
        <f t="shared" si="64"/>
        <v>54</v>
      </c>
      <c r="AN92" s="19">
        <f t="shared" si="64"/>
        <v>53</v>
      </c>
      <c r="AO92" s="19">
        <f t="shared" si="64"/>
        <v>52</v>
      </c>
      <c r="AP92" s="19">
        <f t="shared" si="64"/>
        <v>51</v>
      </c>
      <c r="AQ92" s="19">
        <f t="shared" si="64"/>
        <v>50</v>
      </c>
      <c r="AR92">
        <f t="shared" si="64"/>
        <v>49</v>
      </c>
      <c r="AS92">
        <f t="shared" si="64"/>
        <v>48</v>
      </c>
      <c r="AT92">
        <f t="shared" si="64"/>
        <v>47</v>
      </c>
      <c r="AU92">
        <f t="shared" si="64"/>
        <v>46</v>
      </c>
      <c r="AV92">
        <f t="shared" si="64"/>
        <v>45</v>
      </c>
      <c r="AW92">
        <f t="shared" si="64"/>
        <v>44</v>
      </c>
      <c r="AX92">
        <f t="shared" si="64"/>
        <v>43</v>
      </c>
      <c r="AY92">
        <f t="shared" si="64"/>
        <v>42</v>
      </c>
      <c r="AZ92">
        <f t="shared" si="64"/>
        <v>41</v>
      </c>
      <c r="BA92">
        <f t="shared" si="64"/>
        <v>40</v>
      </c>
      <c r="BB92">
        <f t="shared" si="64"/>
        <v>39</v>
      </c>
      <c r="BC92">
        <f t="shared" si="64"/>
        <v>38</v>
      </c>
      <c r="BD92">
        <f t="shared" si="64"/>
        <v>37</v>
      </c>
      <c r="BE92">
        <f t="shared" si="64"/>
        <v>36</v>
      </c>
      <c r="BF92" s="25">
        <f t="shared" si="64"/>
        <v>35</v>
      </c>
      <c r="BG92" s="25">
        <f t="shared" si="64"/>
        <v>34</v>
      </c>
      <c r="BH92" s="25">
        <f t="shared" si="64"/>
        <v>33</v>
      </c>
      <c r="BI92" s="25">
        <f t="shared" si="64"/>
        <v>32</v>
      </c>
      <c r="BJ92" s="25">
        <f t="shared" si="64"/>
        <v>31</v>
      </c>
      <c r="BK92" s="25">
        <f t="shared" si="64"/>
        <v>30</v>
      </c>
      <c r="BL92" s="25">
        <f t="shared" si="64"/>
        <v>29</v>
      </c>
      <c r="BM92" s="25">
        <f t="shared" si="64"/>
        <v>28</v>
      </c>
      <c r="BN92" s="25">
        <f t="shared" si="64"/>
        <v>27</v>
      </c>
      <c r="BO92" s="25">
        <f t="shared" si="64"/>
        <v>26</v>
      </c>
      <c r="BP92" s="25">
        <f t="shared" si="64"/>
        <v>25</v>
      </c>
      <c r="BQ92" s="25">
        <f t="shared" si="64"/>
        <v>24</v>
      </c>
      <c r="BR92" s="25">
        <f t="shared" si="64"/>
        <v>23</v>
      </c>
      <c r="BS92" s="25">
        <f t="shared" si="63"/>
        <v>22</v>
      </c>
      <c r="BT92" s="25">
        <f t="shared" si="63"/>
        <v>21</v>
      </c>
      <c r="BU92" s="25">
        <f t="shared" si="63"/>
        <v>20</v>
      </c>
      <c r="BV92" s="25">
        <f t="shared" si="63"/>
        <v>19</v>
      </c>
      <c r="BW92" s="25">
        <f t="shared" si="63"/>
        <v>18</v>
      </c>
      <c r="BX92" s="25">
        <f t="shared" si="63"/>
        <v>17</v>
      </c>
      <c r="BY92" s="25">
        <f t="shared" si="63"/>
        <v>16</v>
      </c>
      <c r="BZ92" s="25">
        <f t="shared" si="63"/>
        <v>15</v>
      </c>
      <c r="CA92" s="25">
        <f t="shared" si="63"/>
        <v>14</v>
      </c>
      <c r="CB92" s="25">
        <f t="shared" si="63"/>
        <v>13</v>
      </c>
      <c r="CC92" s="25">
        <f t="shared" si="63"/>
        <v>12</v>
      </c>
      <c r="CD92" s="25">
        <f t="shared" si="63"/>
        <v>11</v>
      </c>
      <c r="CE92" s="25">
        <f t="shared" si="63"/>
        <v>10</v>
      </c>
      <c r="CF92" s="25">
        <f t="shared" si="63"/>
        <v>9</v>
      </c>
      <c r="CG92" s="24">
        <f t="shared" si="63"/>
        <v>8</v>
      </c>
      <c r="CH92" s="24">
        <f t="shared" si="63"/>
        <v>7</v>
      </c>
      <c r="CI92" s="24">
        <f t="shared" si="63"/>
        <v>6</v>
      </c>
      <c r="CJ92" s="24">
        <f t="shared" si="63"/>
        <v>5</v>
      </c>
      <c r="CK92" s="24">
        <f t="shared" si="63"/>
        <v>4</v>
      </c>
      <c r="CL92" s="24">
        <f t="shared" si="63"/>
        <v>3</v>
      </c>
      <c r="CM92" s="24">
        <f t="shared" si="63"/>
        <v>2</v>
      </c>
      <c r="CN92" s="24">
        <f t="shared" si="63"/>
        <v>1</v>
      </c>
      <c r="CO92" s="24">
        <f t="shared" si="63"/>
        <v>0</v>
      </c>
    </row>
    <row r="93" spans="3:97" ht="13.35" customHeight="1" x14ac:dyDescent="0.25">
      <c r="C93" s="336">
        <v>10</v>
      </c>
      <c r="D93" s="18">
        <f t="shared" si="43"/>
        <v>90</v>
      </c>
      <c r="E93" s="18">
        <f t="shared" si="41"/>
        <v>89</v>
      </c>
      <c r="F93" s="18">
        <f t="shared" si="44"/>
        <v>88</v>
      </c>
      <c r="G93" s="18">
        <f t="shared" si="64"/>
        <v>87</v>
      </c>
      <c r="H93" s="18">
        <f t="shared" si="64"/>
        <v>86</v>
      </c>
      <c r="I93" s="18">
        <f t="shared" si="64"/>
        <v>85</v>
      </c>
      <c r="J93" s="18">
        <f t="shared" si="64"/>
        <v>84</v>
      </c>
      <c r="K93" s="18">
        <f t="shared" si="64"/>
        <v>83</v>
      </c>
      <c r="L93" s="18">
        <f t="shared" si="64"/>
        <v>82</v>
      </c>
      <c r="M93" s="18">
        <f t="shared" si="64"/>
        <v>81</v>
      </c>
      <c r="N93" s="18">
        <f t="shared" si="64"/>
        <v>80</v>
      </c>
      <c r="O93" s="19">
        <f t="shared" si="64"/>
        <v>79</v>
      </c>
      <c r="P93" s="19">
        <f t="shared" si="64"/>
        <v>78</v>
      </c>
      <c r="Q93" s="19">
        <f t="shared" si="64"/>
        <v>77</v>
      </c>
      <c r="R93" s="19">
        <f t="shared" si="64"/>
        <v>76</v>
      </c>
      <c r="S93" s="19">
        <f t="shared" si="64"/>
        <v>75</v>
      </c>
      <c r="T93" s="19">
        <f t="shared" si="64"/>
        <v>74</v>
      </c>
      <c r="U93" s="19">
        <f t="shared" si="64"/>
        <v>73</v>
      </c>
      <c r="V93" s="19">
        <f t="shared" si="64"/>
        <v>72</v>
      </c>
      <c r="W93" s="19">
        <f t="shared" si="64"/>
        <v>71</v>
      </c>
      <c r="X93" s="19">
        <f t="shared" si="64"/>
        <v>70</v>
      </c>
      <c r="Y93" s="19">
        <f t="shared" si="64"/>
        <v>69</v>
      </c>
      <c r="Z93" s="19">
        <f t="shared" si="64"/>
        <v>68</v>
      </c>
      <c r="AA93" s="19">
        <f t="shared" si="64"/>
        <v>67</v>
      </c>
      <c r="AB93" s="19">
        <f t="shared" si="64"/>
        <v>66</v>
      </c>
      <c r="AC93" s="19">
        <f t="shared" si="64"/>
        <v>65</v>
      </c>
      <c r="AD93" s="19">
        <f t="shared" si="64"/>
        <v>64</v>
      </c>
      <c r="AE93" s="19">
        <f t="shared" si="64"/>
        <v>63</v>
      </c>
      <c r="AF93" s="19">
        <f t="shared" si="64"/>
        <v>62</v>
      </c>
      <c r="AG93" s="19">
        <f t="shared" si="64"/>
        <v>61</v>
      </c>
      <c r="AH93" s="19">
        <f t="shared" si="64"/>
        <v>60</v>
      </c>
      <c r="AI93" s="19">
        <f t="shared" si="64"/>
        <v>59</v>
      </c>
      <c r="AJ93" s="19">
        <f t="shared" si="64"/>
        <v>58</v>
      </c>
      <c r="AK93" s="19">
        <f t="shared" si="64"/>
        <v>57</v>
      </c>
      <c r="AL93" s="19">
        <f t="shared" si="64"/>
        <v>56</v>
      </c>
      <c r="AM93" s="19">
        <f t="shared" si="64"/>
        <v>55</v>
      </c>
      <c r="AN93" s="19">
        <f t="shared" si="64"/>
        <v>54</v>
      </c>
      <c r="AO93" s="19">
        <f t="shared" si="64"/>
        <v>53</v>
      </c>
      <c r="AP93" s="19">
        <f t="shared" si="64"/>
        <v>52</v>
      </c>
      <c r="AQ93" s="19">
        <f t="shared" si="64"/>
        <v>51</v>
      </c>
      <c r="AR93" s="19">
        <f t="shared" si="64"/>
        <v>50</v>
      </c>
      <c r="AS93">
        <f t="shared" si="64"/>
        <v>49</v>
      </c>
      <c r="AT93">
        <f t="shared" si="64"/>
        <v>48</v>
      </c>
      <c r="AU93">
        <f t="shared" si="64"/>
        <v>47</v>
      </c>
      <c r="AV93">
        <f t="shared" si="64"/>
        <v>46</v>
      </c>
      <c r="AW93">
        <f t="shared" si="64"/>
        <v>45</v>
      </c>
      <c r="AX93">
        <f t="shared" si="64"/>
        <v>44</v>
      </c>
      <c r="AY93">
        <f t="shared" si="64"/>
        <v>43</v>
      </c>
      <c r="AZ93">
        <f t="shared" si="64"/>
        <v>42</v>
      </c>
      <c r="BA93">
        <f t="shared" si="64"/>
        <v>41</v>
      </c>
      <c r="BB93">
        <f t="shared" si="64"/>
        <v>40</v>
      </c>
      <c r="BC93">
        <f t="shared" si="64"/>
        <v>39</v>
      </c>
      <c r="BD93">
        <f t="shared" si="64"/>
        <v>38</v>
      </c>
      <c r="BE93">
        <f t="shared" si="64"/>
        <v>37</v>
      </c>
      <c r="BF93" s="25">
        <f t="shared" si="64"/>
        <v>36</v>
      </c>
      <c r="BG93" s="25">
        <f t="shared" si="64"/>
        <v>35</v>
      </c>
      <c r="BH93" s="25">
        <f t="shared" si="64"/>
        <v>34</v>
      </c>
      <c r="BI93" s="25">
        <f t="shared" si="64"/>
        <v>33</v>
      </c>
      <c r="BJ93" s="25">
        <f t="shared" si="64"/>
        <v>32</v>
      </c>
      <c r="BK93" s="25">
        <f t="shared" si="64"/>
        <v>31</v>
      </c>
      <c r="BL93" s="25">
        <f t="shared" si="64"/>
        <v>30</v>
      </c>
      <c r="BM93" s="25">
        <f t="shared" si="64"/>
        <v>29</v>
      </c>
      <c r="BN93" s="25">
        <f t="shared" si="64"/>
        <v>28</v>
      </c>
      <c r="BO93" s="25">
        <f t="shared" si="64"/>
        <v>27</v>
      </c>
      <c r="BP93" s="25">
        <f t="shared" si="64"/>
        <v>26</v>
      </c>
      <c r="BQ93" s="25">
        <f t="shared" si="64"/>
        <v>25</v>
      </c>
      <c r="BR93" s="25">
        <f t="shared" si="64"/>
        <v>24</v>
      </c>
      <c r="BS93" s="25">
        <f t="shared" si="63"/>
        <v>23</v>
      </c>
      <c r="BT93" s="25">
        <f t="shared" si="63"/>
        <v>22</v>
      </c>
      <c r="BU93" s="25">
        <f t="shared" si="63"/>
        <v>21</v>
      </c>
      <c r="BV93" s="25">
        <f t="shared" si="63"/>
        <v>20</v>
      </c>
      <c r="BW93" s="25">
        <f t="shared" si="63"/>
        <v>19</v>
      </c>
      <c r="BX93" s="25">
        <f t="shared" si="63"/>
        <v>18</v>
      </c>
      <c r="BY93" s="25">
        <f t="shared" si="63"/>
        <v>17</v>
      </c>
      <c r="BZ93" s="25">
        <f t="shared" si="63"/>
        <v>16</v>
      </c>
      <c r="CA93" s="25">
        <f t="shared" si="63"/>
        <v>15</v>
      </c>
      <c r="CB93" s="25">
        <f t="shared" si="63"/>
        <v>14</v>
      </c>
      <c r="CC93" s="25">
        <f t="shared" si="63"/>
        <v>13</v>
      </c>
      <c r="CD93" s="25">
        <f t="shared" si="63"/>
        <v>12</v>
      </c>
      <c r="CE93" s="25">
        <f t="shared" si="63"/>
        <v>11</v>
      </c>
      <c r="CF93" s="24">
        <f t="shared" si="63"/>
        <v>10</v>
      </c>
      <c r="CG93" s="24">
        <f t="shared" si="63"/>
        <v>9</v>
      </c>
      <c r="CH93" s="24">
        <f t="shared" si="63"/>
        <v>8</v>
      </c>
      <c r="CI93" s="24">
        <f t="shared" si="63"/>
        <v>7</v>
      </c>
      <c r="CJ93" s="24">
        <f t="shared" si="63"/>
        <v>6</v>
      </c>
      <c r="CK93" s="24">
        <f t="shared" si="63"/>
        <v>5</v>
      </c>
      <c r="CL93" s="24">
        <f t="shared" si="63"/>
        <v>4</v>
      </c>
      <c r="CM93" s="24">
        <f t="shared" si="63"/>
        <v>3</v>
      </c>
      <c r="CN93" s="24">
        <f t="shared" si="63"/>
        <v>2</v>
      </c>
      <c r="CO93" s="24">
        <f t="shared" si="63"/>
        <v>1</v>
      </c>
      <c r="CP93" s="20">
        <f t="shared" si="63"/>
        <v>0</v>
      </c>
    </row>
    <row r="94" spans="3:97" ht="13.35" customHeight="1" x14ac:dyDescent="0.25">
      <c r="C94" s="336">
        <v>9</v>
      </c>
      <c r="D94" s="18">
        <f t="shared" si="43"/>
        <v>91</v>
      </c>
      <c r="E94" s="18">
        <f t="shared" si="41"/>
        <v>90</v>
      </c>
      <c r="F94" s="18">
        <f t="shared" si="44"/>
        <v>89</v>
      </c>
      <c r="G94" s="18">
        <f t="shared" si="64"/>
        <v>88</v>
      </c>
      <c r="H94" s="18">
        <f t="shared" si="64"/>
        <v>87</v>
      </c>
      <c r="I94" s="18">
        <f t="shared" si="64"/>
        <v>86</v>
      </c>
      <c r="J94" s="18">
        <f t="shared" si="64"/>
        <v>85</v>
      </c>
      <c r="K94" s="18">
        <f t="shared" si="64"/>
        <v>84</v>
      </c>
      <c r="L94" s="18">
        <f t="shared" si="64"/>
        <v>83</v>
      </c>
      <c r="M94" s="18">
        <f t="shared" si="64"/>
        <v>82</v>
      </c>
      <c r="N94" s="18">
        <f t="shared" si="64"/>
        <v>81</v>
      </c>
      <c r="O94" s="18">
        <f t="shared" si="64"/>
        <v>80</v>
      </c>
      <c r="P94" s="19">
        <f t="shared" si="64"/>
        <v>79</v>
      </c>
      <c r="Q94" s="19">
        <f t="shared" si="64"/>
        <v>78</v>
      </c>
      <c r="R94" s="19">
        <f t="shared" si="64"/>
        <v>77</v>
      </c>
      <c r="S94" s="19">
        <f t="shared" si="64"/>
        <v>76</v>
      </c>
      <c r="T94" s="19">
        <f t="shared" si="64"/>
        <v>75</v>
      </c>
      <c r="U94" s="19">
        <f t="shared" si="64"/>
        <v>74</v>
      </c>
      <c r="V94" s="19">
        <f t="shared" si="64"/>
        <v>73</v>
      </c>
      <c r="W94" s="19">
        <f t="shared" si="64"/>
        <v>72</v>
      </c>
      <c r="X94" s="19">
        <f t="shared" si="64"/>
        <v>71</v>
      </c>
      <c r="Y94" s="19">
        <f t="shared" si="64"/>
        <v>70</v>
      </c>
      <c r="Z94" s="19">
        <f t="shared" si="64"/>
        <v>69</v>
      </c>
      <c r="AA94" s="19">
        <f t="shared" si="64"/>
        <v>68</v>
      </c>
      <c r="AB94" s="19">
        <f t="shared" si="64"/>
        <v>67</v>
      </c>
      <c r="AC94" s="19">
        <f t="shared" si="64"/>
        <v>66</v>
      </c>
      <c r="AD94" s="19">
        <f t="shared" si="64"/>
        <v>65</v>
      </c>
      <c r="AE94" s="19">
        <f t="shared" si="64"/>
        <v>64</v>
      </c>
      <c r="AF94" s="19">
        <f t="shared" si="64"/>
        <v>63</v>
      </c>
      <c r="AG94" s="19">
        <f t="shared" si="64"/>
        <v>62</v>
      </c>
      <c r="AH94" s="19">
        <f t="shared" si="64"/>
        <v>61</v>
      </c>
      <c r="AI94" s="19">
        <f t="shared" si="64"/>
        <v>60</v>
      </c>
      <c r="AJ94" s="19">
        <f t="shared" si="64"/>
        <v>59</v>
      </c>
      <c r="AK94" s="19">
        <f t="shared" si="64"/>
        <v>58</v>
      </c>
      <c r="AL94" s="19">
        <f t="shared" si="64"/>
        <v>57</v>
      </c>
      <c r="AM94" s="19">
        <f t="shared" si="64"/>
        <v>56</v>
      </c>
      <c r="AN94" s="19">
        <f t="shared" si="64"/>
        <v>55</v>
      </c>
      <c r="AO94" s="19">
        <f t="shared" si="64"/>
        <v>54</v>
      </c>
      <c r="AP94" s="19">
        <f t="shared" si="64"/>
        <v>53</v>
      </c>
      <c r="AQ94" s="19">
        <f t="shared" si="64"/>
        <v>52</v>
      </c>
      <c r="AR94" s="19">
        <f t="shared" si="64"/>
        <v>51</v>
      </c>
      <c r="AS94" s="19">
        <f t="shared" si="64"/>
        <v>50</v>
      </c>
      <c r="AT94">
        <f t="shared" si="64"/>
        <v>49</v>
      </c>
      <c r="AU94">
        <f t="shared" si="64"/>
        <v>48</v>
      </c>
      <c r="AV94">
        <f t="shared" si="64"/>
        <v>47</v>
      </c>
      <c r="AW94">
        <f t="shared" si="64"/>
        <v>46</v>
      </c>
      <c r="AX94">
        <f t="shared" si="64"/>
        <v>45</v>
      </c>
      <c r="AY94">
        <f t="shared" si="64"/>
        <v>44</v>
      </c>
      <c r="AZ94">
        <f t="shared" si="64"/>
        <v>43</v>
      </c>
      <c r="BA94">
        <f t="shared" si="64"/>
        <v>42</v>
      </c>
      <c r="BB94">
        <f t="shared" si="64"/>
        <v>41</v>
      </c>
      <c r="BC94">
        <f t="shared" si="64"/>
        <v>40</v>
      </c>
      <c r="BD94">
        <f t="shared" si="64"/>
        <v>39</v>
      </c>
      <c r="BE94">
        <f t="shared" si="64"/>
        <v>38</v>
      </c>
      <c r="BF94" s="25">
        <f t="shared" si="64"/>
        <v>37</v>
      </c>
      <c r="BG94" s="25">
        <f t="shared" si="64"/>
        <v>36</v>
      </c>
      <c r="BH94" s="25">
        <f t="shared" si="64"/>
        <v>35</v>
      </c>
      <c r="BI94" s="25">
        <f t="shared" si="64"/>
        <v>34</v>
      </c>
      <c r="BJ94" s="25">
        <f t="shared" si="64"/>
        <v>33</v>
      </c>
      <c r="BK94" s="25">
        <f t="shared" si="64"/>
        <v>32</v>
      </c>
      <c r="BL94" s="25">
        <f t="shared" si="64"/>
        <v>31</v>
      </c>
      <c r="BM94" s="25">
        <f t="shared" si="64"/>
        <v>30</v>
      </c>
      <c r="BN94" s="25">
        <f t="shared" si="64"/>
        <v>29</v>
      </c>
      <c r="BO94" s="25">
        <f t="shared" si="64"/>
        <v>28</v>
      </c>
      <c r="BP94" s="25">
        <f t="shared" si="64"/>
        <v>27</v>
      </c>
      <c r="BQ94" s="25">
        <f t="shared" si="64"/>
        <v>26</v>
      </c>
      <c r="BR94" s="25">
        <f t="shared" si="64"/>
        <v>25</v>
      </c>
      <c r="BS94" s="25">
        <f t="shared" si="63"/>
        <v>24</v>
      </c>
      <c r="BT94" s="25">
        <f t="shared" si="63"/>
        <v>23</v>
      </c>
      <c r="BU94" s="25">
        <f t="shared" si="63"/>
        <v>22</v>
      </c>
      <c r="BV94" s="25">
        <f t="shared" si="63"/>
        <v>21</v>
      </c>
      <c r="BW94" s="25">
        <f t="shared" si="63"/>
        <v>20</v>
      </c>
      <c r="BX94" s="25">
        <f t="shared" si="63"/>
        <v>19</v>
      </c>
      <c r="BY94" s="25">
        <f t="shared" si="63"/>
        <v>18</v>
      </c>
      <c r="BZ94" s="25">
        <f t="shared" si="63"/>
        <v>17</v>
      </c>
      <c r="CA94" s="25">
        <f t="shared" si="63"/>
        <v>16</v>
      </c>
      <c r="CB94" s="25">
        <f t="shared" si="63"/>
        <v>15</v>
      </c>
      <c r="CC94" s="25">
        <f t="shared" si="63"/>
        <v>14</v>
      </c>
      <c r="CD94" s="25">
        <f t="shared" si="63"/>
        <v>13</v>
      </c>
      <c r="CE94" s="24">
        <f t="shared" si="63"/>
        <v>12</v>
      </c>
      <c r="CF94" s="24">
        <f t="shared" si="63"/>
        <v>11</v>
      </c>
      <c r="CG94" s="24">
        <f t="shared" si="63"/>
        <v>10</v>
      </c>
      <c r="CH94" s="24">
        <f t="shared" si="63"/>
        <v>9</v>
      </c>
      <c r="CI94" s="24">
        <f t="shared" si="63"/>
        <v>8</v>
      </c>
      <c r="CJ94" s="24">
        <f t="shared" si="63"/>
        <v>7</v>
      </c>
      <c r="CK94" s="24">
        <f t="shared" si="63"/>
        <v>6</v>
      </c>
      <c r="CL94" s="24">
        <f t="shared" si="63"/>
        <v>5</v>
      </c>
      <c r="CM94" s="24">
        <f t="shared" si="63"/>
        <v>4</v>
      </c>
      <c r="CN94" s="24">
        <f t="shared" si="63"/>
        <v>3</v>
      </c>
      <c r="CO94" s="20">
        <f t="shared" si="63"/>
        <v>2</v>
      </c>
      <c r="CP94" s="20">
        <f t="shared" si="63"/>
        <v>1</v>
      </c>
      <c r="CQ94" s="20">
        <f t="shared" si="63"/>
        <v>0</v>
      </c>
    </row>
    <row r="95" spans="3:97" ht="13.35" customHeight="1" x14ac:dyDescent="0.25">
      <c r="C95" s="336">
        <v>8</v>
      </c>
      <c r="D95" s="18">
        <f t="shared" si="43"/>
        <v>92</v>
      </c>
      <c r="E95" s="18">
        <f t="shared" si="41"/>
        <v>91</v>
      </c>
      <c r="F95" s="18">
        <f t="shared" si="44"/>
        <v>90</v>
      </c>
      <c r="G95" s="18">
        <f t="shared" si="64"/>
        <v>89</v>
      </c>
      <c r="H95" s="18">
        <f t="shared" si="64"/>
        <v>88</v>
      </c>
      <c r="I95" s="18">
        <f t="shared" si="64"/>
        <v>87</v>
      </c>
      <c r="J95" s="18">
        <f t="shared" si="64"/>
        <v>86</v>
      </c>
      <c r="K95" s="18">
        <f t="shared" si="64"/>
        <v>85</v>
      </c>
      <c r="L95" s="18">
        <f t="shared" si="64"/>
        <v>84</v>
      </c>
      <c r="M95" s="18">
        <f t="shared" si="64"/>
        <v>83</v>
      </c>
      <c r="N95" s="18">
        <f t="shared" si="64"/>
        <v>82</v>
      </c>
      <c r="O95" s="18">
        <f t="shared" si="64"/>
        <v>81</v>
      </c>
      <c r="P95" s="18">
        <f t="shared" si="64"/>
        <v>80</v>
      </c>
      <c r="Q95" s="19">
        <f t="shared" si="64"/>
        <v>79</v>
      </c>
      <c r="R95" s="19">
        <f t="shared" si="64"/>
        <v>78</v>
      </c>
      <c r="S95" s="19">
        <f t="shared" si="64"/>
        <v>77</v>
      </c>
      <c r="T95" s="19">
        <f t="shared" si="64"/>
        <v>76</v>
      </c>
      <c r="U95" s="19">
        <f t="shared" si="64"/>
        <v>75</v>
      </c>
      <c r="V95" s="19">
        <f t="shared" si="64"/>
        <v>74</v>
      </c>
      <c r="W95" s="19">
        <f t="shared" si="64"/>
        <v>73</v>
      </c>
      <c r="X95" s="19">
        <f t="shared" si="64"/>
        <v>72</v>
      </c>
      <c r="Y95" s="19">
        <f t="shared" si="64"/>
        <v>71</v>
      </c>
      <c r="Z95" s="19">
        <f t="shared" si="64"/>
        <v>70</v>
      </c>
      <c r="AA95" s="19">
        <f t="shared" si="64"/>
        <v>69</v>
      </c>
      <c r="AB95" s="19">
        <f t="shared" si="64"/>
        <v>68</v>
      </c>
      <c r="AC95" s="19">
        <f t="shared" si="64"/>
        <v>67</v>
      </c>
      <c r="AD95" s="19">
        <f t="shared" si="64"/>
        <v>66</v>
      </c>
      <c r="AE95" s="19">
        <f t="shared" si="64"/>
        <v>65</v>
      </c>
      <c r="AF95" s="19">
        <f t="shared" si="64"/>
        <v>64</v>
      </c>
      <c r="AG95" s="19">
        <f t="shared" si="64"/>
        <v>63</v>
      </c>
      <c r="AH95" s="19">
        <f t="shared" si="64"/>
        <v>62</v>
      </c>
      <c r="AI95" s="19">
        <f t="shared" si="64"/>
        <v>61</v>
      </c>
      <c r="AJ95" s="19">
        <f t="shared" si="64"/>
        <v>60</v>
      </c>
      <c r="AK95" s="19">
        <f t="shared" si="64"/>
        <v>59</v>
      </c>
      <c r="AL95" s="19">
        <f t="shared" si="64"/>
        <v>58</v>
      </c>
      <c r="AM95" s="19">
        <f t="shared" si="64"/>
        <v>57</v>
      </c>
      <c r="AN95" s="19">
        <f t="shared" si="64"/>
        <v>56</v>
      </c>
      <c r="AO95" s="19">
        <f t="shared" si="64"/>
        <v>55</v>
      </c>
      <c r="AP95" s="19">
        <f t="shared" si="64"/>
        <v>54</v>
      </c>
      <c r="AQ95" s="19">
        <f t="shared" si="64"/>
        <v>53</v>
      </c>
      <c r="AR95" s="19">
        <f t="shared" si="64"/>
        <v>52</v>
      </c>
      <c r="AS95" s="19">
        <f t="shared" si="64"/>
        <v>51</v>
      </c>
      <c r="AT95" s="19">
        <f t="shared" si="64"/>
        <v>50</v>
      </c>
      <c r="AU95">
        <f t="shared" si="64"/>
        <v>49</v>
      </c>
      <c r="AV95">
        <f t="shared" si="64"/>
        <v>48</v>
      </c>
      <c r="AW95">
        <f t="shared" si="64"/>
        <v>47</v>
      </c>
      <c r="AX95">
        <f t="shared" si="64"/>
        <v>46</v>
      </c>
      <c r="AY95">
        <f t="shared" si="64"/>
        <v>45</v>
      </c>
      <c r="AZ95">
        <f t="shared" si="64"/>
        <v>44</v>
      </c>
      <c r="BA95">
        <f t="shared" si="64"/>
        <v>43</v>
      </c>
      <c r="BB95">
        <f t="shared" si="64"/>
        <v>42</v>
      </c>
      <c r="BC95">
        <f t="shared" si="64"/>
        <v>41</v>
      </c>
      <c r="BD95">
        <f t="shared" si="64"/>
        <v>40</v>
      </c>
      <c r="BE95">
        <f t="shared" si="64"/>
        <v>39</v>
      </c>
      <c r="BF95" s="25">
        <f t="shared" si="64"/>
        <v>38</v>
      </c>
      <c r="BG95" s="25">
        <f t="shared" si="64"/>
        <v>37</v>
      </c>
      <c r="BH95" s="25">
        <f t="shared" si="64"/>
        <v>36</v>
      </c>
      <c r="BI95" s="25">
        <f t="shared" si="64"/>
        <v>35</v>
      </c>
      <c r="BJ95" s="25">
        <f t="shared" si="64"/>
        <v>34</v>
      </c>
      <c r="BK95" s="25">
        <f t="shared" si="64"/>
        <v>33</v>
      </c>
      <c r="BL95" s="25">
        <f t="shared" si="64"/>
        <v>32</v>
      </c>
      <c r="BM95" s="25">
        <f t="shared" si="64"/>
        <v>31</v>
      </c>
      <c r="BN95" s="25">
        <f t="shared" si="64"/>
        <v>30</v>
      </c>
      <c r="BO95" s="25">
        <f t="shared" si="64"/>
        <v>29</v>
      </c>
      <c r="BP95" s="25">
        <f t="shared" si="64"/>
        <v>28</v>
      </c>
      <c r="BQ95" s="25">
        <f t="shared" si="64"/>
        <v>27</v>
      </c>
      <c r="BR95" s="25">
        <f t="shared" ref="BR95:CU98" si="65">(BR$103-$C95)</f>
        <v>26</v>
      </c>
      <c r="BS95" s="25">
        <f t="shared" si="65"/>
        <v>25</v>
      </c>
      <c r="BT95" s="25">
        <f t="shared" si="65"/>
        <v>24</v>
      </c>
      <c r="BU95" s="25">
        <f t="shared" si="65"/>
        <v>23</v>
      </c>
      <c r="BV95" s="25">
        <f t="shared" si="65"/>
        <v>22</v>
      </c>
      <c r="BW95" s="25">
        <f t="shared" si="65"/>
        <v>21</v>
      </c>
      <c r="BX95" s="25">
        <f t="shared" si="65"/>
        <v>20</v>
      </c>
      <c r="BY95" s="25">
        <f t="shared" si="65"/>
        <v>19</v>
      </c>
      <c r="BZ95" s="25">
        <f t="shared" si="65"/>
        <v>18</v>
      </c>
      <c r="CA95" s="25">
        <f t="shared" si="65"/>
        <v>17</v>
      </c>
      <c r="CB95" s="25">
        <f t="shared" si="65"/>
        <v>16</v>
      </c>
      <c r="CC95" s="25">
        <f t="shared" si="65"/>
        <v>15</v>
      </c>
      <c r="CD95" s="24">
        <f t="shared" si="65"/>
        <v>14</v>
      </c>
      <c r="CE95" s="24">
        <f t="shared" si="65"/>
        <v>13</v>
      </c>
      <c r="CF95" s="24">
        <f t="shared" si="65"/>
        <v>12</v>
      </c>
      <c r="CG95" s="24">
        <f t="shared" si="65"/>
        <v>11</v>
      </c>
      <c r="CH95" s="24">
        <f t="shared" si="65"/>
        <v>10</v>
      </c>
      <c r="CI95" s="24">
        <f t="shared" si="65"/>
        <v>9</v>
      </c>
      <c r="CJ95" s="24">
        <f t="shared" si="65"/>
        <v>8</v>
      </c>
      <c r="CK95" s="24">
        <f t="shared" si="65"/>
        <v>7</v>
      </c>
      <c r="CL95" s="24">
        <f t="shared" si="65"/>
        <v>6</v>
      </c>
      <c r="CM95" s="24">
        <f t="shared" si="65"/>
        <v>5</v>
      </c>
      <c r="CN95" s="24">
        <f t="shared" si="65"/>
        <v>4</v>
      </c>
      <c r="CO95" s="20">
        <f t="shared" si="65"/>
        <v>3</v>
      </c>
      <c r="CP95" s="20">
        <f t="shared" si="65"/>
        <v>2</v>
      </c>
      <c r="CQ95" s="20">
        <f t="shared" si="65"/>
        <v>1</v>
      </c>
      <c r="CR95" s="20">
        <f t="shared" si="65"/>
        <v>0</v>
      </c>
    </row>
    <row r="96" spans="3:97" ht="13.35" customHeight="1" x14ac:dyDescent="0.25">
      <c r="C96" s="336">
        <v>7</v>
      </c>
      <c r="D96" s="18">
        <f t="shared" si="43"/>
        <v>93</v>
      </c>
      <c r="E96" s="18">
        <f t="shared" si="41"/>
        <v>92</v>
      </c>
      <c r="F96" s="18">
        <f t="shared" si="44"/>
        <v>91</v>
      </c>
      <c r="G96" s="18">
        <f t="shared" ref="G96:BR99" si="66">(G$103-$C96)</f>
        <v>90</v>
      </c>
      <c r="H96" s="18">
        <f t="shared" si="66"/>
        <v>89</v>
      </c>
      <c r="I96" s="18">
        <f t="shared" si="66"/>
        <v>88</v>
      </c>
      <c r="J96" s="18">
        <f t="shared" si="66"/>
        <v>87</v>
      </c>
      <c r="K96" s="18">
        <f t="shared" si="66"/>
        <v>86</v>
      </c>
      <c r="L96" s="18">
        <f t="shared" si="66"/>
        <v>85</v>
      </c>
      <c r="M96" s="18">
        <f t="shared" si="66"/>
        <v>84</v>
      </c>
      <c r="N96" s="18">
        <f t="shared" si="66"/>
        <v>83</v>
      </c>
      <c r="O96" s="18">
        <f t="shared" si="66"/>
        <v>82</v>
      </c>
      <c r="P96" s="18">
        <f t="shared" si="66"/>
        <v>81</v>
      </c>
      <c r="Q96" s="18">
        <f t="shared" si="66"/>
        <v>80</v>
      </c>
      <c r="R96" s="19">
        <f t="shared" si="66"/>
        <v>79</v>
      </c>
      <c r="S96" s="19">
        <f t="shared" si="66"/>
        <v>78</v>
      </c>
      <c r="T96" s="19">
        <f t="shared" si="66"/>
        <v>77</v>
      </c>
      <c r="U96" s="19">
        <f t="shared" si="66"/>
        <v>76</v>
      </c>
      <c r="V96" s="19">
        <f t="shared" si="66"/>
        <v>75</v>
      </c>
      <c r="W96" s="19">
        <f t="shared" si="66"/>
        <v>74</v>
      </c>
      <c r="X96" s="19">
        <f t="shared" si="66"/>
        <v>73</v>
      </c>
      <c r="Y96" s="19">
        <f t="shared" si="66"/>
        <v>72</v>
      </c>
      <c r="Z96" s="19">
        <f t="shared" si="66"/>
        <v>71</v>
      </c>
      <c r="AA96" s="19">
        <f t="shared" si="66"/>
        <v>70</v>
      </c>
      <c r="AB96" s="19">
        <f t="shared" si="66"/>
        <v>69</v>
      </c>
      <c r="AC96" s="19">
        <f t="shared" si="66"/>
        <v>68</v>
      </c>
      <c r="AD96" s="19">
        <f t="shared" si="66"/>
        <v>67</v>
      </c>
      <c r="AE96" s="19">
        <f t="shared" si="66"/>
        <v>66</v>
      </c>
      <c r="AF96" s="19">
        <f t="shared" si="66"/>
        <v>65</v>
      </c>
      <c r="AG96" s="19">
        <f t="shared" si="66"/>
        <v>64</v>
      </c>
      <c r="AH96" s="19">
        <f t="shared" si="66"/>
        <v>63</v>
      </c>
      <c r="AI96" s="19">
        <f t="shared" si="66"/>
        <v>62</v>
      </c>
      <c r="AJ96" s="19">
        <f t="shared" si="66"/>
        <v>61</v>
      </c>
      <c r="AK96" s="19">
        <f t="shared" si="66"/>
        <v>60</v>
      </c>
      <c r="AL96" s="19">
        <f t="shared" si="66"/>
        <v>59</v>
      </c>
      <c r="AM96" s="19">
        <f t="shared" si="66"/>
        <v>58</v>
      </c>
      <c r="AN96" s="19">
        <f t="shared" si="66"/>
        <v>57</v>
      </c>
      <c r="AO96" s="19">
        <f t="shared" si="66"/>
        <v>56</v>
      </c>
      <c r="AP96" s="19">
        <f t="shared" si="66"/>
        <v>55</v>
      </c>
      <c r="AQ96" s="19">
        <f t="shared" si="66"/>
        <v>54</v>
      </c>
      <c r="AR96" s="19">
        <f t="shared" si="66"/>
        <v>53</v>
      </c>
      <c r="AS96" s="19">
        <f t="shared" si="66"/>
        <v>52</v>
      </c>
      <c r="AT96" s="19">
        <f t="shared" si="66"/>
        <v>51</v>
      </c>
      <c r="AU96" s="19">
        <f t="shared" si="66"/>
        <v>50</v>
      </c>
      <c r="AV96" s="25">
        <f t="shared" si="66"/>
        <v>49</v>
      </c>
      <c r="AW96" s="25">
        <f t="shared" si="66"/>
        <v>48</v>
      </c>
      <c r="AX96" s="25">
        <f t="shared" si="66"/>
        <v>47</v>
      </c>
      <c r="AY96" s="25">
        <f t="shared" si="66"/>
        <v>46</v>
      </c>
      <c r="AZ96" s="25">
        <f t="shared" si="66"/>
        <v>45</v>
      </c>
      <c r="BA96" s="25">
        <f t="shared" si="66"/>
        <v>44</v>
      </c>
      <c r="BB96" s="25">
        <f t="shared" si="66"/>
        <v>43</v>
      </c>
      <c r="BC96" s="25">
        <f t="shared" si="66"/>
        <v>42</v>
      </c>
      <c r="BD96" s="25">
        <f t="shared" si="66"/>
        <v>41</v>
      </c>
      <c r="BE96" s="25">
        <f t="shared" si="66"/>
        <v>40</v>
      </c>
      <c r="BF96" s="25">
        <f t="shared" si="66"/>
        <v>39</v>
      </c>
      <c r="BG96" s="25">
        <f t="shared" si="66"/>
        <v>38</v>
      </c>
      <c r="BH96" s="25">
        <f t="shared" si="66"/>
        <v>37</v>
      </c>
      <c r="BI96" s="25">
        <f t="shared" si="66"/>
        <v>36</v>
      </c>
      <c r="BJ96" s="25">
        <f t="shared" si="66"/>
        <v>35</v>
      </c>
      <c r="BK96" s="25">
        <f t="shared" si="66"/>
        <v>34</v>
      </c>
      <c r="BL96" s="25">
        <f t="shared" si="66"/>
        <v>33</v>
      </c>
      <c r="BM96" s="25">
        <f t="shared" si="66"/>
        <v>32</v>
      </c>
      <c r="BN96" s="25">
        <f t="shared" si="66"/>
        <v>31</v>
      </c>
      <c r="BO96" s="25">
        <f t="shared" si="66"/>
        <v>30</v>
      </c>
      <c r="BP96" s="25">
        <f t="shared" si="66"/>
        <v>29</v>
      </c>
      <c r="BQ96" s="25">
        <f t="shared" si="66"/>
        <v>28</v>
      </c>
      <c r="BR96" s="25">
        <f t="shared" si="66"/>
        <v>27</v>
      </c>
      <c r="BS96" s="25">
        <f t="shared" si="65"/>
        <v>26</v>
      </c>
      <c r="BT96" s="25">
        <f t="shared" si="65"/>
        <v>25</v>
      </c>
      <c r="BU96" s="25">
        <f t="shared" si="65"/>
        <v>24</v>
      </c>
      <c r="BV96" s="25">
        <f t="shared" si="65"/>
        <v>23</v>
      </c>
      <c r="BW96" s="25">
        <f t="shared" si="65"/>
        <v>22</v>
      </c>
      <c r="BX96" s="25">
        <f t="shared" si="65"/>
        <v>21</v>
      </c>
      <c r="BY96" s="25">
        <f t="shared" si="65"/>
        <v>20</v>
      </c>
      <c r="BZ96" s="25">
        <f t="shared" si="65"/>
        <v>19</v>
      </c>
      <c r="CA96" s="25">
        <f t="shared" si="65"/>
        <v>18</v>
      </c>
      <c r="CB96" s="25">
        <f t="shared" si="65"/>
        <v>17</v>
      </c>
      <c r="CC96" s="24">
        <f t="shared" si="65"/>
        <v>16</v>
      </c>
      <c r="CD96" s="24">
        <f t="shared" si="65"/>
        <v>15</v>
      </c>
      <c r="CE96" s="24">
        <f t="shared" si="65"/>
        <v>14</v>
      </c>
      <c r="CF96" s="24">
        <f t="shared" si="65"/>
        <v>13</v>
      </c>
      <c r="CG96" s="24">
        <f t="shared" si="65"/>
        <v>12</v>
      </c>
      <c r="CH96" s="24">
        <f t="shared" si="65"/>
        <v>11</v>
      </c>
      <c r="CI96" s="24">
        <f t="shared" si="65"/>
        <v>10</v>
      </c>
      <c r="CJ96" s="24">
        <f t="shared" si="65"/>
        <v>9</v>
      </c>
      <c r="CK96" s="24">
        <f t="shared" si="65"/>
        <v>8</v>
      </c>
      <c r="CL96" s="24">
        <f t="shared" si="65"/>
        <v>7</v>
      </c>
      <c r="CM96" s="24">
        <f t="shared" si="65"/>
        <v>6</v>
      </c>
      <c r="CN96" s="20">
        <f t="shared" si="65"/>
        <v>5</v>
      </c>
      <c r="CO96" s="20">
        <f t="shared" si="65"/>
        <v>4</v>
      </c>
      <c r="CP96" s="20">
        <f t="shared" si="65"/>
        <v>3</v>
      </c>
      <c r="CQ96" s="20">
        <f t="shared" si="65"/>
        <v>2</v>
      </c>
      <c r="CR96" s="20">
        <f t="shared" si="65"/>
        <v>1</v>
      </c>
      <c r="CS96" s="20">
        <f t="shared" si="65"/>
        <v>0</v>
      </c>
    </row>
    <row r="97" spans="1:104" ht="13.35" customHeight="1" x14ac:dyDescent="0.25">
      <c r="A97" s="21" t="s">
        <v>15</v>
      </c>
      <c r="C97" s="336">
        <v>6</v>
      </c>
      <c r="D97" s="18">
        <f t="shared" si="43"/>
        <v>94</v>
      </c>
      <c r="E97" s="18">
        <f t="shared" si="41"/>
        <v>93</v>
      </c>
      <c r="F97" s="18">
        <f t="shared" si="44"/>
        <v>92</v>
      </c>
      <c r="G97" s="18">
        <f t="shared" si="66"/>
        <v>91</v>
      </c>
      <c r="H97" s="18">
        <f t="shared" si="66"/>
        <v>90</v>
      </c>
      <c r="I97" s="18">
        <f t="shared" si="66"/>
        <v>89</v>
      </c>
      <c r="J97" s="18">
        <f t="shared" si="66"/>
        <v>88</v>
      </c>
      <c r="K97" s="18">
        <f t="shared" si="66"/>
        <v>87</v>
      </c>
      <c r="L97" s="18">
        <f t="shared" si="66"/>
        <v>86</v>
      </c>
      <c r="M97" s="18">
        <f t="shared" si="66"/>
        <v>85</v>
      </c>
      <c r="N97" s="18">
        <f t="shared" si="66"/>
        <v>84</v>
      </c>
      <c r="O97" s="18">
        <f t="shared" si="66"/>
        <v>83</v>
      </c>
      <c r="P97" s="18">
        <f t="shared" si="66"/>
        <v>82</v>
      </c>
      <c r="Q97" s="18">
        <f t="shared" si="66"/>
        <v>81</v>
      </c>
      <c r="R97" s="18">
        <f t="shared" si="66"/>
        <v>80</v>
      </c>
      <c r="S97" s="19">
        <f t="shared" si="66"/>
        <v>79</v>
      </c>
      <c r="T97" s="19">
        <f t="shared" si="66"/>
        <v>78</v>
      </c>
      <c r="U97" s="19">
        <f t="shared" si="66"/>
        <v>77</v>
      </c>
      <c r="V97" s="19">
        <f t="shared" si="66"/>
        <v>76</v>
      </c>
      <c r="W97" s="19">
        <f t="shared" si="66"/>
        <v>75</v>
      </c>
      <c r="X97" s="19">
        <f t="shared" si="66"/>
        <v>74</v>
      </c>
      <c r="Y97" s="19">
        <f t="shared" si="66"/>
        <v>73</v>
      </c>
      <c r="Z97" s="19">
        <f t="shared" si="66"/>
        <v>72</v>
      </c>
      <c r="AA97" s="19">
        <f t="shared" si="66"/>
        <v>71</v>
      </c>
      <c r="AB97" s="19">
        <f t="shared" si="66"/>
        <v>70</v>
      </c>
      <c r="AC97" s="19">
        <f t="shared" si="66"/>
        <v>69</v>
      </c>
      <c r="AD97" s="19">
        <f t="shared" si="66"/>
        <v>68</v>
      </c>
      <c r="AE97" s="19">
        <f t="shared" si="66"/>
        <v>67</v>
      </c>
      <c r="AF97" s="19">
        <f t="shared" si="66"/>
        <v>66</v>
      </c>
      <c r="AG97" s="19">
        <f t="shared" si="66"/>
        <v>65</v>
      </c>
      <c r="AH97" s="19">
        <f t="shared" si="66"/>
        <v>64</v>
      </c>
      <c r="AI97" s="19">
        <f t="shared" si="66"/>
        <v>63</v>
      </c>
      <c r="AJ97" s="19">
        <f t="shared" si="66"/>
        <v>62</v>
      </c>
      <c r="AK97" s="19">
        <f t="shared" si="66"/>
        <v>61</v>
      </c>
      <c r="AL97" s="19">
        <f t="shared" si="66"/>
        <v>60</v>
      </c>
      <c r="AM97" s="19">
        <f t="shared" si="66"/>
        <v>59</v>
      </c>
      <c r="AN97" s="19">
        <f t="shared" si="66"/>
        <v>58</v>
      </c>
      <c r="AO97" s="19">
        <f t="shared" si="66"/>
        <v>57</v>
      </c>
      <c r="AP97" s="19">
        <f t="shared" si="66"/>
        <v>56</v>
      </c>
      <c r="AQ97" s="19">
        <f t="shared" si="66"/>
        <v>55</v>
      </c>
      <c r="AR97" s="19">
        <f t="shared" si="66"/>
        <v>54</v>
      </c>
      <c r="AS97" s="19">
        <f t="shared" si="66"/>
        <v>53</v>
      </c>
      <c r="AT97" s="19">
        <f t="shared" si="66"/>
        <v>52</v>
      </c>
      <c r="AU97" s="19">
        <f t="shared" si="66"/>
        <v>51</v>
      </c>
      <c r="AV97" s="19">
        <f t="shared" si="66"/>
        <v>50</v>
      </c>
      <c r="AW97" s="25">
        <f t="shared" si="66"/>
        <v>49</v>
      </c>
      <c r="AX97" s="25">
        <f t="shared" si="66"/>
        <v>48</v>
      </c>
      <c r="AY97" s="25">
        <f t="shared" si="66"/>
        <v>47</v>
      </c>
      <c r="AZ97" s="25">
        <f t="shared" si="66"/>
        <v>46</v>
      </c>
      <c r="BA97" s="25">
        <f t="shared" si="66"/>
        <v>45</v>
      </c>
      <c r="BB97" s="25">
        <f t="shared" si="66"/>
        <v>44</v>
      </c>
      <c r="BC97" s="25">
        <f t="shared" si="66"/>
        <v>43</v>
      </c>
      <c r="BD97" s="25">
        <f t="shared" si="66"/>
        <v>42</v>
      </c>
      <c r="BE97" s="25">
        <f t="shared" si="66"/>
        <v>41</v>
      </c>
      <c r="BF97" s="25">
        <f t="shared" si="66"/>
        <v>40</v>
      </c>
      <c r="BG97" s="25">
        <f t="shared" si="66"/>
        <v>39</v>
      </c>
      <c r="BH97" s="25">
        <f t="shared" si="66"/>
        <v>38</v>
      </c>
      <c r="BI97" s="25">
        <f t="shared" si="66"/>
        <v>37</v>
      </c>
      <c r="BJ97" s="25">
        <f t="shared" si="66"/>
        <v>36</v>
      </c>
      <c r="BK97" s="25">
        <f t="shared" si="66"/>
        <v>35</v>
      </c>
      <c r="BL97" s="25">
        <f t="shared" si="66"/>
        <v>34</v>
      </c>
      <c r="BM97" s="25">
        <f t="shared" si="66"/>
        <v>33</v>
      </c>
      <c r="BN97" s="25">
        <f t="shared" si="66"/>
        <v>32</v>
      </c>
      <c r="BO97" s="25">
        <f t="shared" si="66"/>
        <v>31</v>
      </c>
      <c r="BP97" s="25">
        <f t="shared" si="66"/>
        <v>30</v>
      </c>
      <c r="BQ97" s="25">
        <f t="shared" si="66"/>
        <v>29</v>
      </c>
      <c r="BR97" s="25">
        <f t="shared" si="66"/>
        <v>28</v>
      </c>
      <c r="BS97" s="25">
        <f t="shared" si="65"/>
        <v>27</v>
      </c>
      <c r="BT97" s="25">
        <f t="shared" si="65"/>
        <v>26</v>
      </c>
      <c r="BU97" s="25">
        <f t="shared" si="65"/>
        <v>25</v>
      </c>
      <c r="BV97" s="25">
        <f t="shared" si="65"/>
        <v>24</v>
      </c>
      <c r="BW97" s="25">
        <f t="shared" si="65"/>
        <v>23</v>
      </c>
      <c r="BX97" s="25">
        <f t="shared" si="65"/>
        <v>22</v>
      </c>
      <c r="BY97" s="25">
        <f t="shared" si="65"/>
        <v>21</v>
      </c>
      <c r="BZ97" s="25">
        <f t="shared" si="65"/>
        <v>20</v>
      </c>
      <c r="CA97" s="25">
        <f t="shared" si="65"/>
        <v>19</v>
      </c>
      <c r="CB97" s="24">
        <f t="shared" si="65"/>
        <v>18</v>
      </c>
      <c r="CC97" s="24">
        <f t="shared" si="65"/>
        <v>17</v>
      </c>
      <c r="CD97" s="24">
        <f t="shared" si="65"/>
        <v>16</v>
      </c>
      <c r="CE97" s="24">
        <f t="shared" si="65"/>
        <v>15</v>
      </c>
      <c r="CF97" s="24">
        <f t="shared" si="65"/>
        <v>14</v>
      </c>
      <c r="CG97" s="24">
        <f t="shared" si="65"/>
        <v>13</v>
      </c>
      <c r="CH97" s="24">
        <f t="shared" si="65"/>
        <v>12</v>
      </c>
      <c r="CI97" s="24">
        <f t="shared" si="65"/>
        <v>11</v>
      </c>
      <c r="CJ97" s="24">
        <f t="shared" si="65"/>
        <v>10</v>
      </c>
      <c r="CK97" s="24">
        <f t="shared" si="65"/>
        <v>9</v>
      </c>
      <c r="CL97" s="24">
        <f t="shared" si="65"/>
        <v>8</v>
      </c>
      <c r="CM97" s="24">
        <f t="shared" si="65"/>
        <v>7</v>
      </c>
      <c r="CN97" s="20">
        <f t="shared" si="65"/>
        <v>6</v>
      </c>
      <c r="CO97" s="20">
        <f t="shared" si="65"/>
        <v>5</v>
      </c>
      <c r="CP97" s="20">
        <f t="shared" si="65"/>
        <v>4</v>
      </c>
      <c r="CQ97" s="20">
        <f t="shared" si="65"/>
        <v>3</v>
      </c>
      <c r="CR97" s="20">
        <f t="shared" si="65"/>
        <v>2</v>
      </c>
      <c r="CS97" s="20">
        <f t="shared" si="65"/>
        <v>1</v>
      </c>
      <c r="CT97" s="20">
        <f t="shared" si="65"/>
        <v>0</v>
      </c>
    </row>
    <row r="98" spans="1:104" ht="13.35" customHeight="1" x14ac:dyDescent="0.25">
      <c r="A98" s="21" t="s">
        <v>262</v>
      </c>
      <c r="C98" s="336">
        <v>5</v>
      </c>
      <c r="D98" s="18">
        <f t="shared" si="43"/>
        <v>95</v>
      </c>
      <c r="E98" s="18">
        <f t="shared" si="41"/>
        <v>94</v>
      </c>
      <c r="F98" s="18">
        <f t="shared" si="44"/>
        <v>93</v>
      </c>
      <c r="G98" s="18">
        <f t="shared" si="66"/>
        <v>92</v>
      </c>
      <c r="H98" s="18">
        <f t="shared" si="66"/>
        <v>91</v>
      </c>
      <c r="I98" s="18">
        <f t="shared" si="66"/>
        <v>90</v>
      </c>
      <c r="J98" s="18">
        <f t="shared" si="66"/>
        <v>89</v>
      </c>
      <c r="K98" s="18">
        <f t="shared" si="66"/>
        <v>88</v>
      </c>
      <c r="L98" s="18">
        <f t="shared" si="66"/>
        <v>87</v>
      </c>
      <c r="M98" s="18">
        <f t="shared" si="66"/>
        <v>86</v>
      </c>
      <c r="N98" s="18">
        <f t="shared" si="66"/>
        <v>85</v>
      </c>
      <c r="O98" s="18">
        <f t="shared" si="66"/>
        <v>84</v>
      </c>
      <c r="P98" s="18">
        <f t="shared" si="66"/>
        <v>83</v>
      </c>
      <c r="Q98" s="18">
        <f t="shared" si="66"/>
        <v>82</v>
      </c>
      <c r="R98" s="18">
        <f t="shared" si="66"/>
        <v>81</v>
      </c>
      <c r="S98" s="18">
        <f t="shared" si="66"/>
        <v>80</v>
      </c>
      <c r="T98" s="19">
        <f t="shared" si="66"/>
        <v>79</v>
      </c>
      <c r="U98" s="19">
        <f t="shared" si="66"/>
        <v>78</v>
      </c>
      <c r="V98" s="19">
        <f t="shared" si="66"/>
        <v>77</v>
      </c>
      <c r="W98" s="19">
        <f t="shared" si="66"/>
        <v>76</v>
      </c>
      <c r="X98" s="19">
        <f t="shared" si="66"/>
        <v>75</v>
      </c>
      <c r="Y98" s="19">
        <f t="shared" si="66"/>
        <v>74</v>
      </c>
      <c r="Z98" s="19">
        <f t="shared" si="66"/>
        <v>73</v>
      </c>
      <c r="AA98" s="19">
        <f t="shared" si="66"/>
        <v>72</v>
      </c>
      <c r="AB98" s="19">
        <f t="shared" si="66"/>
        <v>71</v>
      </c>
      <c r="AC98" s="19">
        <f t="shared" si="66"/>
        <v>70</v>
      </c>
      <c r="AD98" s="19">
        <f t="shared" si="66"/>
        <v>69</v>
      </c>
      <c r="AE98" s="19">
        <f t="shared" si="66"/>
        <v>68</v>
      </c>
      <c r="AF98" s="19">
        <f t="shared" si="66"/>
        <v>67</v>
      </c>
      <c r="AG98" s="19">
        <f t="shared" si="66"/>
        <v>66</v>
      </c>
      <c r="AH98" s="19">
        <f t="shared" si="66"/>
        <v>65</v>
      </c>
      <c r="AI98" s="19">
        <f t="shared" si="66"/>
        <v>64</v>
      </c>
      <c r="AJ98" s="19">
        <f t="shared" si="66"/>
        <v>63</v>
      </c>
      <c r="AK98" s="19">
        <f t="shared" si="66"/>
        <v>62</v>
      </c>
      <c r="AL98" s="19">
        <f t="shared" si="66"/>
        <v>61</v>
      </c>
      <c r="AM98" s="19">
        <f t="shared" si="66"/>
        <v>60</v>
      </c>
      <c r="AN98" s="19">
        <f t="shared" si="66"/>
        <v>59</v>
      </c>
      <c r="AO98" s="19">
        <f t="shared" si="66"/>
        <v>58</v>
      </c>
      <c r="AP98" s="19">
        <f t="shared" si="66"/>
        <v>57</v>
      </c>
      <c r="AQ98" s="19">
        <f t="shared" si="66"/>
        <v>56</v>
      </c>
      <c r="AR98" s="19">
        <f t="shared" si="66"/>
        <v>55</v>
      </c>
      <c r="AS98" s="19">
        <f t="shared" si="66"/>
        <v>54</v>
      </c>
      <c r="AT98" s="19">
        <f t="shared" si="66"/>
        <v>53</v>
      </c>
      <c r="AU98" s="19">
        <f t="shared" si="66"/>
        <v>52</v>
      </c>
      <c r="AV98" s="19">
        <f t="shared" si="66"/>
        <v>51</v>
      </c>
      <c r="AW98" s="19">
        <f t="shared" si="66"/>
        <v>50</v>
      </c>
      <c r="AX98" s="25">
        <f t="shared" si="66"/>
        <v>49</v>
      </c>
      <c r="AY98" s="25">
        <f t="shared" si="66"/>
        <v>48</v>
      </c>
      <c r="AZ98" s="25">
        <f t="shared" si="66"/>
        <v>47</v>
      </c>
      <c r="BA98" s="25">
        <f t="shared" si="66"/>
        <v>46</v>
      </c>
      <c r="BB98" s="25">
        <f t="shared" si="66"/>
        <v>45</v>
      </c>
      <c r="BC98" s="25">
        <f t="shared" si="66"/>
        <v>44</v>
      </c>
      <c r="BD98" s="25">
        <f t="shared" si="66"/>
        <v>43</v>
      </c>
      <c r="BE98" s="25">
        <f t="shared" si="66"/>
        <v>42</v>
      </c>
      <c r="BF98" s="25">
        <f t="shared" si="66"/>
        <v>41</v>
      </c>
      <c r="BG98" s="25">
        <f t="shared" si="66"/>
        <v>40</v>
      </c>
      <c r="BH98" s="25">
        <f t="shared" si="66"/>
        <v>39</v>
      </c>
      <c r="BI98" s="25">
        <f t="shared" si="66"/>
        <v>38</v>
      </c>
      <c r="BJ98" s="25">
        <f t="shared" si="66"/>
        <v>37</v>
      </c>
      <c r="BK98" s="25">
        <f t="shared" si="66"/>
        <v>36</v>
      </c>
      <c r="BL98" s="25">
        <f t="shared" si="66"/>
        <v>35</v>
      </c>
      <c r="BM98" s="25">
        <f t="shared" si="66"/>
        <v>34</v>
      </c>
      <c r="BN98" s="25">
        <f t="shared" si="66"/>
        <v>33</v>
      </c>
      <c r="BO98" s="25">
        <f t="shared" si="66"/>
        <v>32</v>
      </c>
      <c r="BP98" s="25">
        <f t="shared" si="66"/>
        <v>31</v>
      </c>
      <c r="BQ98" s="25">
        <f t="shared" si="66"/>
        <v>30</v>
      </c>
      <c r="BR98" s="25">
        <f t="shared" si="66"/>
        <v>29</v>
      </c>
      <c r="BS98" s="25">
        <f t="shared" si="65"/>
        <v>28</v>
      </c>
      <c r="BT98" s="25">
        <f t="shared" si="65"/>
        <v>27</v>
      </c>
      <c r="BU98" s="25">
        <f t="shared" si="65"/>
        <v>26</v>
      </c>
      <c r="BV98" s="25">
        <f t="shared" si="65"/>
        <v>25</v>
      </c>
      <c r="BW98" s="25">
        <f t="shared" si="65"/>
        <v>24</v>
      </c>
      <c r="BX98" s="25">
        <f t="shared" si="65"/>
        <v>23</v>
      </c>
      <c r="BY98" s="25">
        <f t="shared" si="65"/>
        <v>22</v>
      </c>
      <c r="BZ98" s="25">
        <f t="shared" si="65"/>
        <v>21</v>
      </c>
      <c r="CA98" s="24">
        <f t="shared" si="65"/>
        <v>20</v>
      </c>
      <c r="CB98" s="24">
        <f t="shared" si="65"/>
        <v>19</v>
      </c>
      <c r="CC98" s="24">
        <f t="shared" si="65"/>
        <v>18</v>
      </c>
      <c r="CD98" s="24">
        <f t="shared" si="65"/>
        <v>17</v>
      </c>
      <c r="CE98" s="24">
        <f t="shared" si="65"/>
        <v>16</v>
      </c>
      <c r="CF98" s="24">
        <f t="shared" si="65"/>
        <v>15</v>
      </c>
      <c r="CG98" s="24">
        <f t="shared" si="65"/>
        <v>14</v>
      </c>
      <c r="CH98" s="24">
        <f t="shared" si="65"/>
        <v>13</v>
      </c>
      <c r="CI98" s="24">
        <f t="shared" si="65"/>
        <v>12</v>
      </c>
      <c r="CJ98" s="24">
        <f t="shared" si="65"/>
        <v>11</v>
      </c>
      <c r="CK98" s="24">
        <f t="shared" si="65"/>
        <v>10</v>
      </c>
      <c r="CL98" s="24">
        <f t="shared" si="65"/>
        <v>9</v>
      </c>
      <c r="CM98" s="20">
        <f t="shared" si="65"/>
        <v>8</v>
      </c>
      <c r="CN98" s="20">
        <f t="shared" si="65"/>
        <v>7</v>
      </c>
      <c r="CO98" s="20">
        <f t="shared" si="65"/>
        <v>6</v>
      </c>
      <c r="CP98" s="20">
        <f t="shared" si="65"/>
        <v>5</v>
      </c>
      <c r="CQ98" s="20">
        <f t="shared" si="65"/>
        <v>4</v>
      </c>
      <c r="CR98" s="20">
        <f t="shared" si="65"/>
        <v>3</v>
      </c>
      <c r="CS98" s="20">
        <f t="shared" si="65"/>
        <v>2</v>
      </c>
      <c r="CT98" s="20">
        <f t="shared" si="65"/>
        <v>1</v>
      </c>
      <c r="CU98" s="20">
        <f t="shared" si="65"/>
        <v>0</v>
      </c>
    </row>
    <row r="99" spans="1:104" ht="13.35" customHeight="1" x14ac:dyDescent="0.25">
      <c r="A99" s="21" t="s">
        <v>262</v>
      </c>
      <c r="C99" s="336">
        <v>4</v>
      </c>
      <c r="D99" s="18">
        <f t="shared" si="43"/>
        <v>96</v>
      </c>
      <c r="E99" s="18">
        <f t="shared" si="41"/>
        <v>95</v>
      </c>
      <c r="F99" s="18">
        <f t="shared" si="44"/>
        <v>94</v>
      </c>
      <c r="G99" s="18">
        <f t="shared" si="66"/>
        <v>93</v>
      </c>
      <c r="H99" s="18">
        <f t="shared" si="66"/>
        <v>92</v>
      </c>
      <c r="I99" s="18">
        <f t="shared" si="66"/>
        <v>91</v>
      </c>
      <c r="J99" s="18">
        <f t="shared" si="66"/>
        <v>90</v>
      </c>
      <c r="K99" s="18">
        <f t="shared" si="66"/>
        <v>89</v>
      </c>
      <c r="L99" s="18">
        <f t="shared" si="66"/>
        <v>88</v>
      </c>
      <c r="M99" s="18">
        <f t="shared" si="66"/>
        <v>87</v>
      </c>
      <c r="N99" s="18">
        <f t="shared" si="66"/>
        <v>86</v>
      </c>
      <c r="O99" s="18">
        <f t="shared" si="66"/>
        <v>85</v>
      </c>
      <c r="P99" s="18">
        <f t="shared" si="66"/>
        <v>84</v>
      </c>
      <c r="Q99" s="18">
        <f t="shared" si="66"/>
        <v>83</v>
      </c>
      <c r="R99" s="18">
        <f t="shared" si="66"/>
        <v>82</v>
      </c>
      <c r="S99" s="18">
        <f t="shared" si="66"/>
        <v>81</v>
      </c>
      <c r="T99" s="18">
        <f t="shared" si="66"/>
        <v>80</v>
      </c>
      <c r="U99" s="19">
        <f t="shared" si="66"/>
        <v>79</v>
      </c>
      <c r="V99" s="19">
        <f t="shared" si="66"/>
        <v>78</v>
      </c>
      <c r="W99" s="19">
        <f t="shared" si="66"/>
        <v>77</v>
      </c>
      <c r="X99" s="19">
        <f t="shared" si="66"/>
        <v>76</v>
      </c>
      <c r="Y99" s="19">
        <f t="shared" si="66"/>
        <v>75</v>
      </c>
      <c r="Z99" s="19">
        <f t="shared" si="66"/>
        <v>74</v>
      </c>
      <c r="AA99" s="19">
        <f t="shared" si="66"/>
        <v>73</v>
      </c>
      <c r="AB99" s="19">
        <f t="shared" si="66"/>
        <v>72</v>
      </c>
      <c r="AC99" s="19">
        <f t="shared" si="66"/>
        <v>71</v>
      </c>
      <c r="AD99" s="19">
        <f t="shared" si="66"/>
        <v>70</v>
      </c>
      <c r="AE99" s="19">
        <f t="shared" si="66"/>
        <v>69</v>
      </c>
      <c r="AF99" s="19">
        <f t="shared" si="66"/>
        <v>68</v>
      </c>
      <c r="AG99" s="19">
        <f t="shared" si="66"/>
        <v>67</v>
      </c>
      <c r="AH99" s="19">
        <f t="shared" si="66"/>
        <v>66</v>
      </c>
      <c r="AI99" s="19">
        <f t="shared" si="66"/>
        <v>65</v>
      </c>
      <c r="AJ99" s="19">
        <f t="shared" si="66"/>
        <v>64</v>
      </c>
      <c r="AK99" s="19">
        <f t="shared" si="66"/>
        <v>63</v>
      </c>
      <c r="AL99" s="19">
        <f t="shared" si="66"/>
        <v>62</v>
      </c>
      <c r="AM99" s="19">
        <f t="shared" si="66"/>
        <v>61</v>
      </c>
      <c r="AN99" s="19">
        <f t="shared" si="66"/>
        <v>60</v>
      </c>
      <c r="AO99" s="19">
        <f t="shared" si="66"/>
        <v>59</v>
      </c>
      <c r="AP99" s="19">
        <f t="shared" si="66"/>
        <v>58</v>
      </c>
      <c r="AQ99" s="19">
        <f t="shared" si="66"/>
        <v>57</v>
      </c>
      <c r="AR99" s="19">
        <f t="shared" si="66"/>
        <v>56</v>
      </c>
      <c r="AS99" s="19">
        <f t="shared" si="66"/>
        <v>55</v>
      </c>
      <c r="AT99" s="19">
        <f t="shared" si="66"/>
        <v>54</v>
      </c>
      <c r="AU99" s="19">
        <f t="shared" si="66"/>
        <v>53</v>
      </c>
      <c r="AV99" s="19">
        <f t="shared" si="66"/>
        <v>52</v>
      </c>
      <c r="AW99" s="19">
        <f t="shared" si="66"/>
        <v>51</v>
      </c>
      <c r="AX99" s="19">
        <f t="shared" si="66"/>
        <v>50</v>
      </c>
      <c r="AY99" s="25">
        <f t="shared" si="66"/>
        <v>49</v>
      </c>
      <c r="AZ99" s="25">
        <f t="shared" si="66"/>
        <v>48</v>
      </c>
      <c r="BA99" s="25">
        <f t="shared" si="66"/>
        <v>47</v>
      </c>
      <c r="BB99" s="25">
        <f t="shared" si="66"/>
        <v>46</v>
      </c>
      <c r="BC99" s="25">
        <f t="shared" si="66"/>
        <v>45</v>
      </c>
      <c r="BD99" s="25">
        <f t="shared" si="66"/>
        <v>44</v>
      </c>
      <c r="BE99" s="25">
        <f t="shared" si="66"/>
        <v>43</v>
      </c>
      <c r="BF99" s="25">
        <f t="shared" si="66"/>
        <v>42</v>
      </c>
      <c r="BG99" s="25">
        <f t="shared" si="66"/>
        <v>41</v>
      </c>
      <c r="BH99" s="25">
        <f t="shared" si="66"/>
        <v>40</v>
      </c>
      <c r="BI99" s="25">
        <f t="shared" si="66"/>
        <v>39</v>
      </c>
      <c r="BJ99" s="25">
        <f t="shared" si="66"/>
        <v>38</v>
      </c>
      <c r="BK99" s="25">
        <f t="shared" si="66"/>
        <v>37</v>
      </c>
      <c r="BL99" s="25">
        <f t="shared" si="66"/>
        <v>36</v>
      </c>
      <c r="BM99" s="25">
        <f t="shared" si="66"/>
        <v>35</v>
      </c>
      <c r="BN99" s="25">
        <f t="shared" si="66"/>
        <v>34</v>
      </c>
      <c r="BO99" s="25">
        <f t="shared" si="66"/>
        <v>33</v>
      </c>
      <c r="BP99" s="25">
        <f t="shared" si="66"/>
        <v>32</v>
      </c>
      <c r="BQ99" s="25">
        <f t="shared" si="66"/>
        <v>31</v>
      </c>
      <c r="BR99" s="25">
        <f t="shared" ref="BR99:CX101" si="67">(BR$103-$C99)</f>
        <v>30</v>
      </c>
      <c r="BS99" s="25">
        <f t="shared" si="67"/>
        <v>29</v>
      </c>
      <c r="BT99" s="25">
        <f t="shared" si="67"/>
        <v>28</v>
      </c>
      <c r="BU99" s="25">
        <f t="shared" si="67"/>
        <v>27</v>
      </c>
      <c r="BV99" s="25">
        <f t="shared" si="67"/>
        <v>26</v>
      </c>
      <c r="BW99" s="25">
        <f t="shared" si="67"/>
        <v>25</v>
      </c>
      <c r="BX99" s="25">
        <f t="shared" si="67"/>
        <v>24</v>
      </c>
      <c r="BY99" s="25">
        <f t="shared" si="67"/>
        <v>23</v>
      </c>
      <c r="BZ99" s="24">
        <f t="shared" si="67"/>
        <v>22</v>
      </c>
      <c r="CA99" s="24">
        <f t="shared" si="67"/>
        <v>21</v>
      </c>
      <c r="CB99" s="24">
        <f t="shared" si="67"/>
        <v>20</v>
      </c>
      <c r="CC99" s="24">
        <f t="shared" si="67"/>
        <v>19</v>
      </c>
      <c r="CD99" s="24">
        <f t="shared" si="67"/>
        <v>18</v>
      </c>
      <c r="CE99" s="24">
        <f t="shared" si="67"/>
        <v>17</v>
      </c>
      <c r="CF99" s="24">
        <f t="shared" si="67"/>
        <v>16</v>
      </c>
      <c r="CG99" s="24">
        <f t="shared" si="67"/>
        <v>15</v>
      </c>
      <c r="CH99" s="24">
        <f t="shared" si="67"/>
        <v>14</v>
      </c>
      <c r="CI99" s="24">
        <f t="shared" si="67"/>
        <v>13</v>
      </c>
      <c r="CJ99" s="24">
        <f t="shared" si="67"/>
        <v>12</v>
      </c>
      <c r="CK99" s="24">
        <f t="shared" si="67"/>
        <v>11</v>
      </c>
      <c r="CL99" s="24">
        <f t="shared" si="67"/>
        <v>10</v>
      </c>
      <c r="CM99" s="20">
        <f t="shared" si="67"/>
        <v>9</v>
      </c>
      <c r="CN99" s="20">
        <f t="shared" si="67"/>
        <v>8</v>
      </c>
      <c r="CO99" s="20">
        <f t="shared" si="67"/>
        <v>7</v>
      </c>
      <c r="CP99" s="20">
        <f t="shared" si="67"/>
        <v>6</v>
      </c>
      <c r="CQ99" s="20">
        <f t="shared" si="67"/>
        <v>5</v>
      </c>
      <c r="CR99" s="20">
        <f t="shared" si="67"/>
        <v>4</v>
      </c>
      <c r="CS99" s="20">
        <f t="shared" si="67"/>
        <v>3</v>
      </c>
      <c r="CT99" s="20">
        <f t="shared" si="67"/>
        <v>2</v>
      </c>
      <c r="CU99" s="20">
        <f t="shared" si="67"/>
        <v>1</v>
      </c>
      <c r="CV99" s="20">
        <f t="shared" si="67"/>
        <v>0</v>
      </c>
    </row>
    <row r="100" spans="1:104" ht="13.35" customHeight="1" x14ac:dyDescent="0.25">
      <c r="A100" s="21" t="s">
        <v>287</v>
      </c>
      <c r="C100" s="336">
        <v>3</v>
      </c>
      <c r="D100" s="18">
        <f t="shared" si="43"/>
        <v>97</v>
      </c>
      <c r="E100" s="18">
        <f t="shared" si="41"/>
        <v>96</v>
      </c>
      <c r="F100" s="18">
        <f t="shared" si="44"/>
        <v>95</v>
      </c>
      <c r="G100" s="18">
        <f t="shared" ref="G100:BR101" si="68">(G$103-$C100)</f>
        <v>94</v>
      </c>
      <c r="H100" s="18">
        <f t="shared" si="68"/>
        <v>93</v>
      </c>
      <c r="I100" s="18">
        <f t="shared" si="68"/>
        <v>92</v>
      </c>
      <c r="J100" s="18">
        <f t="shared" si="68"/>
        <v>91</v>
      </c>
      <c r="K100" s="18">
        <f t="shared" si="68"/>
        <v>90</v>
      </c>
      <c r="L100" s="18">
        <f t="shared" si="68"/>
        <v>89</v>
      </c>
      <c r="M100" s="18">
        <f t="shared" si="68"/>
        <v>88</v>
      </c>
      <c r="N100" s="18">
        <f t="shared" si="68"/>
        <v>87</v>
      </c>
      <c r="O100" s="18">
        <f t="shared" si="68"/>
        <v>86</v>
      </c>
      <c r="P100" s="18">
        <f t="shared" si="68"/>
        <v>85</v>
      </c>
      <c r="Q100" s="18">
        <f t="shared" si="68"/>
        <v>84</v>
      </c>
      <c r="R100" s="18">
        <f t="shared" si="68"/>
        <v>83</v>
      </c>
      <c r="S100" s="18">
        <f t="shared" si="68"/>
        <v>82</v>
      </c>
      <c r="T100" s="18">
        <f t="shared" si="68"/>
        <v>81</v>
      </c>
      <c r="U100" s="18">
        <f t="shared" si="68"/>
        <v>80</v>
      </c>
      <c r="V100" s="19">
        <f t="shared" si="68"/>
        <v>79</v>
      </c>
      <c r="W100" s="19">
        <f t="shared" si="68"/>
        <v>78</v>
      </c>
      <c r="X100" s="19">
        <f t="shared" si="68"/>
        <v>77</v>
      </c>
      <c r="Y100" s="19">
        <f t="shared" si="68"/>
        <v>76</v>
      </c>
      <c r="Z100" s="19">
        <f t="shared" si="68"/>
        <v>75</v>
      </c>
      <c r="AA100" s="19">
        <f t="shared" si="68"/>
        <v>74</v>
      </c>
      <c r="AB100" s="19">
        <f t="shared" si="68"/>
        <v>73</v>
      </c>
      <c r="AC100" s="19">
        <f t="shared" si="68"/>
        <v>72</v>
      </c>
      <c r="AD100" s="19">
        <f t="shared" si="68"/>
        <v>71</v>
      </c>
      <c r="AE100" s="19">
        <f t="shared" si="68"/>
        <v>70</v>
      </c>
      <c r="AF100" s="19">
        <f t="shared" si="68"/>
        <v>69</v>
      </c>
      <c r="AG100" s="19">
        <f t="shared" si="68"/>
        <v>68</v>
      </c>
      <c r="AH100" s="19">
        <f t="shared" si="68"/>
        <v>67</v>
      </c>
      <c r="AI100" s="19">
        <f t="shared" si="68"/>
        <v>66</v>
      </c>
      <c r="AJ100" s="19">
        <f t="shared" si="68"/>
        <v>65</v>
      </c>
      <c r="AK100" s="19">
        <f t="shared" si="68"/>
        <v>64</v>
      </c>
      <c r="AL100" s="19">
        <f t="shared" si="68"/>
        <v>63</v>
      </c>
      <c r="AM100" s="19">
        <f t="shared" si="68"/>
        <v>62</v>
      </c>
      <c r="AN100" s="19">
        <f t="shared" si="68"/>
        <v>61</v>
      </c>
      <c r="AO100" s="19">
        <f t="shared" si="68"/>
        <v>60</v>
      </c>
      <c r="AP100" s="19">
        <f t="shared" si="68"/>
        <v>59</v>
      </c>
      <c r="AQ100" s="19">
        <f t="shared" si="68"/>
        <v>58</v>
      </c>
      <c r="AR100" s="19">
        <f t="shared" si="68"/>
        <v>57</v>
      </c>
      <c r="AS100" s="19">
        <f t="shared" si="68"/>
        <v>56</v>
      </c>
      <c r="AT100" s="19">
        <f t="shared" si="68"/>
        <v>55</v>
      </c>
      <c r="AU100" s="19">
        <f t="shared" si="68"/>
        <v>54</v>
      </c>
      <c r="AV100" s="19">
        <f t="shared" si="68"/>
        <v>53</v>
      </c>
      <c r="AW100" s="19">
        <f t="shared" si="68"/>
        <v>52</v>
      </c>
      <c r="AX100" s="19">
        <f t="shared" si="68"/>
        <v>51</v>
      </c>
      <c r="AY100" s="19">
        <f t="shared" si="68"/>
        <v>50</v>
      </c>
      <c r="AZ100" s="25">
        <f t="shared" si="68"/>
        <v>49</v>
      </c>
      <c r="BA100" s="25">
        <f t="shared" si="68"/>
        <v>48</v>
      </c>
      <c r="BB100" s="25">
        <f t="shared" si="68"/>
        <v>47</v>
      </c>
      <c r="BC100" s="25">
        <f t="shared" si="68"/>
        <v>46</v>
      </c>
      <c r="BD100" s="25">
        <f t="shared" si="68"/>
        <v>45</v>
      </c>
      <c r="BE100" s="25">
        <f t="shared" si="68"/>
        <v>44</v>
      </c>
      <c r="BF100" s="25">
        <f t="shared" si="68"/>
        <v>43</v>
      </c>
      <c r="BG100" s="25">
        <f t="shared" si="68"/>
        <v>42</v>
      </c>
      <c r="BH100" s="25">
        <f t="shared" si="68"/>
        <v>41</v>
      </c>
      <c r="BI100" s="25">
        <f t="shared" si="68"/>
        <v>40</v>
      </c>
      <c r="BJ100" s="25">
        <f t="shared" si="68"/>
        <v>39</v>
      </c>
      <c r="BK100" s="25">
        <f t="shared" si="68"/>
        <v>38</v>
      </c>
      <c r="BL100" s="25">
        <f t="shared" si="68"/>
        <v>37</v>
      </c>
      <c r="BM100" s="25">
        <f t="shared" si="68"/>
        <v>36</v>
      </c>
      <c r="BN100" s="25">
        <f t="shared" si="68"/>
        <v>35</v>
      </c>
      <c r="BO100" s="25">
        <f t="shared" si="68"/>
        <v>34</v>
      </c>
      <c r="BP100" s="25">
        <f t="shared" si="68"/>
        <v>33</v>
      </c>
      <c r="BQ100" s="25">
        <f t="shared" si="68"/>
        <v>32</v>
      </c>
      <c r="BR100" s="25">
        <f t="shared" si="68"/>
        <v>31</v>
      </c>
      <c r="BS100" s="25">
        <f t="shared" si="67"/>
        <v>30</v>
      </c>
      <c r="BT100" s="25">
        <f t="shared" si="67"/>
        <v>29</v>
      </c>
      <c r="BU100" s="25">
        <f t="shared" si="67"/>
        <v>28</v>
      </c>
      <c r="BV100" s="25">
        <f t="shared" si="67"/>
        <v>27</v>
      </c>
      <c r="BW100" s="25">
        <f t="shared" si="67"/>
        <v>26</v>
      </c>
      <c r="BX100" s="25">
        <f t="shared" si="67"/>
        <v>25</v>
      </c>
      <c r="BY100" s="24">
        <f t="shared" si="67"/>
        <v>24</v>
      </c>
      <c r="BZ100" s="24">
        <f t="shared" si="67"/>
        <v>23</v>
      </c>
      <c r="CA100" s="24">
        <f t="shared" si="67"/>
        <v>22</v>
      </c>
      <c r="CB100" s="24">
        <f t="shared" si="67"/>
        <v>21</v>
      </c>
      <c r="CC100" s="24">
        <f t="shared" si="67"/>
        <v>20</v>
      </c>
      <c r="CD100" s="24">
        <f t="shared" si="67"/>
        <v>19</v>
      </c>
      <c r="CE100" s="24">
        <f t="shared" si="67"/>
        <v>18</v>
      </c>
      <c r="CF100" s="24">
        <f t="shared" si="67"/>
        <v>17</v>
      </c>
      <c r="CG100" s="24">
        <f t="shared" si="67"/>
        <v>16</v>
      </c>
      <c r="CH100" s="24">
        <f t="shared" si="67"/>
        <v>15</v>
      </c>
      <c r="CI100" s="24">
        <f t="shared" si="67"/>
        <v>14</v>
      </c>
      <c r="CJ100" s="24">
        <f t="shared" si="67"/>
        <v>13</v>
      </c>
      <c r="CK100" s="24">
        <f t="shared" si="67"/>
        <v>12</v>
      </c>
      <c r="CL100" s="20">
        <f t="shared" si="67"/>
        <v>11</v>
      </c>
      <c r="CM100" s="20">
        <f t="shared" si="67"/>
        <v>10</v>
      </c>
      <c r="CN100" s="20">
        <f t="shared" si="67"/>
        <v>9</v>
      </c>
      <c r="CO100" s="20">
        <f t="shared" si="67"/>
        <v>8</v>
      </c>
      <c r="CP100" s="20">
        <f t="shared" si="67"/>
        <v>7</v>
      </c>
      <c r="CQ100" s="20">
        <f t="shared" si="67"/>
        <v>6</v>
      </c>
      <c r="CR100" s="20">
        <f t="shared" si="67"/>
        <v>5</v>
      </c>
      <c r="CS100" s="20">
        <f t="shared" si="67"/>
        <v>4</v>
      </c>
      <c r="CT100" s="20">
        <f t="shared" si="67"/>
        <v>3</v>
      </c>
      <c r="CU100" s="20">
        <f t="shared" si="67"/>
        <v>2</v>
      </c>
      <c r="CV100" s="20">
        <f t="shared" si="67"/>
        <v>1</v>
      </c>
      <c r="CW100" s="20">
        <f t="shared" si="67"/>
        <v>0</v>
      </c>
    </row>
    <row r="101" spans="1:104" ht="13.35" customHeight="1" x14ac:dyDescent="0.25">
      <c r="A101" s="21" t="s">
        <v>286</v>
      </c>
      <c r="C101" s="336">
        <v>2</v>
      </c>
      <c r="D101" s="18">
        <f t="shared" si="43"/>
        <v>98</v>
      </c>
      <c r="E101" s="18">
        <f t="shared" si="41"/>
        <v>97</v>
      </c>
      <c r="F101" s="18">
        <f t="shared" si="44"/>
        <v>96</v>
      </c>
      <c r="G101" s="18">
        <f t="shared" si="68"/>
        <v>95</v>
      </c>
      <c r="H101" s="18">
        <f t="shared" si="68"/>
        <v>94</v>
      </c>
      <c r="I101" s="18">
        <f t="shared" si="68"/>
        <v>93</v>
      </c>
      <c r="J101" s="18">
        <f t="shared" si="68"/>
        <v>92</v>
      </c>
      <c r="K101" s="18">
        <f t="shared" si="68"/>
        <v>91</v>
      </c>
      <c r="L101" s="18">
        <f t="shared" si="68"/>
        <v>90</v>
      </c>
      <c r="M101" s="18">
        <f t="shared" si="68"/>
        <v>89</v>
      </c>
      <c r="N101" s="18">
        <f t="shared" si="68"/>
        <v>88</v>
      </c>
      <c r="O101" s="18">
        <f t="shared" si="68"/>
        <v>87</v>
      </c>
      <c r="P101" s="18">
        <f t="shared" si="68"/>
        <v>86</v>
      </c>
      <c r="Q101" s="18">
        <f t="shared" si="68"/>
        <v>85</v>
      </c>
      <c r="R101" s="18">
        <f t="shared" si="68"/>
        <v>84</v>
      </c>
      <c r="S101" s="18">
        <f t="shared" si="68"/>
        <v>83</v>
      </c>
      <c r="T101" s="18">
        <f t="shared" si="68"/>
        <v>82</v>
      </c>
      <c r="U101" s="18">
        <f t="shared" si="68"/>
        <v>81</v>
      </c>
      <c r="V101" s="18">
        <f t="shared" si="68"/>
        <v>80</v>
      </c>
      <c r="W101" s="19">
        <f t="shared" si="68"/>
        <v>79</v>
      </c>
      <c r="X101" s="19">
        <f t="shared" si="68"/>
        <v>78</v>
      </c>
      <c r="Y101" s="19">
        <f t="shared" si="68"/>
        <v>77</v>
      </c>
      <c r="Z101" s="19">
        <f t="shared" si="68"/>
        <v>76</v>
      </c>
      <c r="AA101" s="19">
        <f t="shared" si="68"/>
        <v>75</v>
      </c>
      <c r="AB101" s="19">
        <f t="shared" si="68"/>
        <v>74</v>
      </c>
      <c r="AC101" s="19">
        <f t="shared" si="68"/>
        <v>73</v>
      </c>
      <c r="AD101" s="19">
        <f t="shared" si="68"/>
        <v>72</v>
      </c>
      <c r="AE101" s="19">
        <f t="shared" si="68"/>
        <v>71</v>
      </c>
      <c r="AF101" s="19">
        <f t="shared" si="68"/>
        <v>70</v>
      </c>
      <c r="AG101" s="19">
        <f t="shared" si="68"/>
        <v>69</v>
      </c>
      <c r="AH101" s="19">
        <f t="shared" si="68"/>
        <v>68</v>
      </c>
      <c r="AI101" s="19">
        <f t="shared" si="68"/>
        <v>67</v>
      </c>
      <c r="AJ101" s="19">
        <f t="shared" si="68"/>
        <v>66</v>
      </c>
      <c r="AK101" s="19">
        <f t="shared" si="68"/>
        <v>65</v>
      </c>
      <c r="AL101" s="19">
        <f t="shared" si="68"/>
        <v>64</v>
      </c>
      <c r="AM101" s="19">
        <f t="shared" si="68"/>
        <v>63</v>
      </c>
      <c r="AN101" s="19">
        <f t="shared" si="68"/>
        <v>62</v>
      </c>
      <c r="AO101" s="19">
        <f t="shared" si="68"/>
        <v>61</v>
      </c>
      <c r="AP101" s="19">
        <f t="shared" si="68"/>
        <v>60</v>
      </c>
      <c r="AQ101" s="19">
        <f t="shared" si="68"/>
        <v>59</v>
      </c>
      <c r="AR101" s="19">
        <f t="shared" si="68"/>
        <v>58</v>
      </c>
      <c r="AS101" s="19">
        <f t="shared" si="68"/>
        <v>57</v>
      </c>
      <c r="AT101" s="19">
        <f t="shared" si="68"/>
        <v>56</v>
      </c>
      <c r="AU101" s="19">
        <f t="shared" si="68"/>
        <v>55</v>
      </c>
      <c r="AV101" s="19">
        <f t="shared" si="68"/>
        <v>54</v>
      </c>
      <c r="AW101" s="19">
        <f t="shared" si="68"/>
        <v>53</v>
      </c>
      <c r="AX101" s="19">
        <f t="shared" si="68"/>
        <v>52</v>
      </c>
      <c r="AY101" s="19">
        <f t="shared" si="68"/>
        <v>51</v>
      </c>
      <c r="AZ101" s="19">
        <f t="shared" si="68"/>
        <v>50</v>
      </c>
      <c r="BA101" s="25">
        <f t="shared" si="68"/>
        <v>49</v>
      </c>
      <c r="BB101" s="25">
        <f t="shared" si="68"/>
        <v>48</v>
      </c>
      <c r="BC101" s="25">
        <f t="shared" si="68"/>
        <v>47</v>
      </c>
      <c r="BD101" s="25">
        <f t="shared" si="68"/>
        <v>46</v>
      </c>
      <c r="BE101" s="25">
        <f t="shared" si="68"/>
        <v>45</v>
      </c>
      <c r="BF101" s="25">
        <f t="shared" si="68"/>
        <v>44</v>
      </c>
      <c r="BG101" s="25">
        <f t="shared" si="68"/>
        <v>43</v>
      </c>
      <c r="BH101" s="25">
        <f t="shared" si="68"/>
        <v>42</v>
      </c>
      <c r="BI101" s="25">
        <f t="shared" si="68"/>
        <v>41</v>
      </c>
      <c r="BJ101" s="25">
        <f t="shared" si="68"/>
        <v>40</v>
      </c>
      <c r="BK101" s="25">
        <f t="shared" si="68"/>
        <v>39</v>
      </c>
      <c r="BL101" s="25">
        <f t="shared" si="68"/>
        <v>38</v>
      </c>
      <c r="BM101" s="25">
        <f t="shared" si="68"/>
        <v>37</v>
      </c>
      <c r="BN101" s="25">
        <f t="shared" si="68"/>
        <v>36</v>
      </c>
      <c r="BO101" s="25">
        <f t="shared" si="68"/>
        <v>35</v>
      </c>
      <c r="BP101" s="25">
        <f t="shared" si="68"/>
        <v>34</v>
      </c>
      <c r="BQ101" s="25">
        <f t="shared" si="68"/>
        <v>33</v>
      </c>
      <c r="BR101" s="25">
        <f t="shared" si="68"/>
        <v>32</v>
      </c>
      <c r="BS101" s="25">
        <f t="shared" si="67"/>
        <v>31</v>
      </c>
      <c r="BT101" s="25">
        <f t="shared" si="67"/>
        <v>30</v>
      </c>
      <c r="BU101" s="25">
        <f t="shared" si="67"/>
        <v>29</v>
      </c>
      <c r="BV101" s="25">
        <f t="shared" si="67"/>
        <v>28</v>
      </c>
      <c r="BW101" s="25">
        <f t="shared" si="67"/>
        <v>27</v>
      </c>
      <c r="BX101" s="24">
        <f t="shared" si="67"/>
        <v>26</v>
      </c>
      <c r="BY101" s="24">
        <f t="shared" si="67"/>
        <v>25</v>
      </c>
      <c r="BZ101" s="24">
        <f t="shared" si="67"/>
        <v>24</v>
      </c>
      <c r="CA101" s="24">
        <f t="shared" si="67"/>
        <v>23</v>
      </c>
      <c r="CB101" s="24">
        <f t="shared" si="67"/>
        <v>22</v>
      </c>
      <c r="CC101" s="24">
        <f t="shared" si="67"/>
        <v>21</v>
      </c>
      <c r="CD101" s="24">
        <f t="shared" si="67"/>
        <v>20</v>
      </c>
      <c r="CE101" s="24">
        <f t="shared" si="67"/>
        <v>19</v>
      </c>
      <c r="CF101" s="24">
        <f t="shared" si="67"/>
        <v>18</v>
      </c>
      <c r="CG101" s="24">
        <f t="shared" si="67"/>
        <v>17</v>
      </c>
      <c r="CH101" s="24">
        <f t="shared" si="67"/>
        <v>16</v>
      </c>
      <c r="CI101" s="24">
        <f t="shared" si="67"/>
        <v>15</v>
      </c>
      <c r="CJ101" s="24">
        <f t="shared" si="67"/>
        <v>14</v>
      </c>
      <c r="CK101" s="24">
        <f t="shared" si="67"/>
        <v>13</v>
      </c>
      <c r="CL101" s="20">
        <f t="shared" si="67"/>
        <v>12</v>
      </c>
      <c r="CM101" s="20">
        <f t="shared" si="67"/>
        <v>11</v>
      </c>
      <c r="CN101" s="20">
        <f t="shared" si="67"/>
        <v>10</v>
      </c>
      <c r="CO101" s="20">
        <f t="shared" si="67"/>
        <v>9</v>
      </c>
      <c r="CP101" s="20">
        <f t="shared" si="67"/>
        <v>8</v>
      </c>
      <c r="CQ101" s="20">
        <f t="shared" si="67"/>
        <v>7</v>
      </c>
      <c r="CR101" s="20">
        <f t="shared" si="67"/>
        <v>6</v>
      </c>
      <c r="CS101" s="20">
        <f t="shared" si="67"/>
        <v>5</v>
      </c>
      <c r="CT101" s="20">
        <f t="shared" si="67"/>
        <v>4</v>
      </c>
      <c r="CU101" s="20">
        <f t="shared" si="67"/>
        <v>3</v>
      </c>
      <c r="CV101" s="20">
        <f t="shared" si="67"/>
        <v>2</v>
      </c>
      <c r="CW101" s="20">
        <f t="shared" si="67"/>
        <v>1</v>
      </c>
      <c r="CX101" s="20">
        <f t="shared" si="67"/>
        <v>0</v>
      </c>
    </row>
    <row r="102" spans="1:104" ht="13.35" customHeight="1" x14ac:dyDescent="0.25">
      <c r="A102" s="21" t="s">
        <v>285</v>
      </c>
      <c r="C102" s="336">
        <v>1</v>
      </c>
      <c r="D102" s="18">
        <f t="shared" si="43"/>
        <v>99</v>
      </c>
      <c r="E102" s="18">
        <f>(E103-$C102)</f>
        <v>98</v>
      </c>
      <c r="F102" s="18">
        <f t="shared" ref="F102:BQ102" si="69">(F103-$C102)</f>
        <v>97</v>
      </c>
      <c r="G102" s="18">
        <f t="shared" si="69"/>
        <v>96</v>
      </c>
      <c r="H102" s="18">
        <f t="shared" si="69"/>
        <v>95</v>
      </c>
      <c r="I102" s="18">
        <f t="shared" si="69"/>
        <v>94</v>
      </c>
      <c r="J102" s="18">
        <f t="shared" si="69"/>
        <v>93</v>
      </c>
      <c r="K102" s="18">
        <f t="shared" si="69"/>
        <v>92</v>
      </c>
      <c r="L102" s="18">
        <f t="shared" si="69"/>
        <v>91</v>
      </c>
      <c r="M102" s="18">
        <f t="shared" si="69"/>
        <v>90</v>
      </c>
      <c r="N102" s="18">
        <f t="shared" si="69"/>
        <v>89</v>
      </c>
      <c r="O102" s="18">
        <f t="shared" si="69"/>
        <v>88</v>
      </c>
      <c r="P102" s="18">
        <f t="shared" si="69"/>
        <v>87</v>
      </c>
      <c r="Q102" s="18">
        <f t="shared" si="69"/>
        <v>86</v>
      </c>
      <c r="R102" s="18">
        <f t="shared" si="69"/>
        <v>85</v>
      </c>
      <c r="S102" s="18">
        <f t="shared" si="69"/>
        <v>84</v>
      </c>
      <c r="T102" s="18">
        <f t="shared" si="69"/>
        <v>83</v>
      </c>
      <c r="U102" s="18">
        <f t="shared" si="69"/>
        <v>82</v>
      </c>
      <c r="V102" s="18">
        <f t="shared" si="69"/>
        <v>81</v>
      </c>
      <c r="W102" s="18">
        <f t="shared" si="69"/>
        <v>80</v>
      </c>
      <c r="X102" s="19">
        <f t="shared" si="69"/>
        <v>79</v>
      </c>
      <c r="Y102" s="19">
        <f t="shared" si="69"/>
        <v>78</v>
      </c>
      <c r="Z102" s="19">
        <f t="shared" si="69"/>
        <v>77</v>
      </c>
      <c r="AA102" s="19">
        <f t="shared" si="69"/>
        <v>76</v>
      </c>
      <c r="AB102" s="19">
        <f t="shared" si="69"/>
        <v>75</v>
      </c>
      <c r="AC102" s="19">
        <f t="shared" si="69"/>
        <v>74</v>
      </c>
      <c r="AD102" s="19">
        <f t="shared" si="69"/>
        <v>73</v>
      </c>
      <c r="AE102" s="19">
        <f t="shared" si="69"/>
        <v>72</v>
      </c>
      <c r="AF102" s="19">
        <f t="shared" si="69"/>
        <v>71</v>
      </c>
      <c r="AG102" s="19">
        <f t="shared" si="69"/>
        <v>70</v>
      </c>
      <c r="AH102" s="19">
        <f t="shared" si="69"/>
        <v>69</v>
      </c>
      <c r="AI102" s="19">
        <f t="shared" si="69"/>
        <v>68</v>
      </c>
      <c r="AJ102" s="19">
        <f t="shared" si="69"/>
        <v>67</v>
      </c>
      <c r="AK102" s="19">
        <f t="shared" si="69"/>
        <v>66</v>
      </c>
      <c r="AL102" s="19">
        <f t="shared" si="69"/>
        <v>65</v>
      </c>
      <c r="AM102" s="19">
        <f t="shared" si="69"/>
        <v>64</v>
      </c>
      <c r="AN102" s="19">
        <f t="shared" si="69"/>
        <v>63</v>
      </c>
      <c r="AO102" s="19">
        <f t="shared" si="69"/>
        <v>62</v>
      </c>
      <c r="AP102" s="19">
        <f t="shared" si="69"/>
        <v>61</v>
      </c>
      <c r="AQ102" s="19">
        <f t="shared" si="69"/>
        <v>60</v>
      </c>
      <c r="AR102" s="19">
        <f t="shared" si="69"/>
        <v>59</v>
      </c>
      <c r="AS102" s="19">
        <f t="shared" si="69"/>
        <v>58</v>
      </c>
      <c r="AT102" s="19">
        <f t="shared" si="69"/>
        <v>57</v>
      </c>
      <c r="AU102" s="19">
        <f t="shared" si="69"/>
        <v>56</v>
      </c>
      <c r="AV102" s="19">
        <f t="shared" si="69"/>
        <v>55</v>
      </c>
      <c r="AW102" s="19">
        <f t="shared" si="69"/>
        <v>54</v>
      </c>
      <c r="AX102" s="19">
        <f t="shared" si="69"/>
        <v>53</v>
      </c>
      <c r="AY102" s="19">
        <f t="shared" si="69"/>
        <v>52</v>
      </c>
      <c r="AZ102" s="19">
        <f t="shared" si="69"/>
        <v>51</v>
      </c>
      <c r="BA102" s="19">
        <f t="shared" si="69"/>
        <v>50</v>
      </c>
      <c r="BB102" s="25">
        <f t="shared" si="69"/>
        <v>49</v>
      </c>
      <c r="BC102" s="25">
        <f t="shared" si="69"/>
        <v>48</v>
      </c>
      <c r="BD102" s="25">
        <f t="shared" si="69"/>
        <v>47</v>
      </c>
      <c r="BE102" s="25">
        <f t="shared" si="69"/>
        <v>46</v>
      </c>
      <c r="BF102" s="25">
        <f t="shared" si="69"/>
        <v>45</v>
      </c>
      <c r="BG102" s="25">
        <f t="shared" si="69"/>
        <v>44</v>
      </c>
      <c r="BH102" s="25">
        <f t="shared" si="69"/>
        <v>43</v>
      </c>
      <c r="BI102" s="25">
        <f t="shared" si="69"/>
        <v>42</v>
      </c>
      <c r="BJ102" s="25">
        <f t="shared" si="69"/>
        <v>41</v>
      </c>
      <c r="BK102" s="25">
        <f t="shared" si="69"/>
        <v>40</v>
      </c>
      <c r="BL102" s="25">
        <f t="shared" si="69"/>
        <v>39</v>
      </c>
      <c r="BM102" s="25">
        <f t="shared" si="69"/>
        <v>38</v>
      </c>
      <c r="BN102" s="25">
        <f t="shared" si="69"/>
        <v>37</v>
      </c>
      <c r="BO102" s="25">
        <f t="shared" si="69"/>
        <v>36</v>
      </c>
      <c r="BP102" s="25">
        <f t="shared" si="69"/>
        <v>35</v>
      </c>
      <c r="BQ102" s="25">
        <f t="shared" si="69"/>
        <v>34</v>
      </c>
      <c r="BR102" s="25">
        <f t="shared" ref="BR102:CY102" si="70">(BR103-$C102)</f>
        <v>33</v>
      </c>
      <c r="BS102" s="25">
        <f t="shared" si="70"/>
        <v>32</v>
      </c>
      <c r="BT102" s="25">
        <f t="shared" si="70"/>
        <v>31</v>
      </c>
      <c r="BU102" s="25">
        <f t="shared" si="70"/>
        <v>30</v>
      </c>
      <c r="BV102" s="25">
        <f t="shared" si="70"/>
        <v>29</v>
      </c>
      <c r="BW102" s="25">
        <f t="shared" si="70"/>
        <v>28</v>
      </c>
      <c r="BX102" s="24">
        <f t="shared" si="70"/>
        <v>27</v>
      </c>
      <c r="BY102" s="24">
        <f t="shared" si="70"/>
        <v>26</v>
      </c>
      <c r="BZ102" s="24">
        <f t="shared" si="70"/>
        <v>25</v>
      </c>
      <c r="CA102" s="24">
        <f t="shared" si="70"/>
        <v>24</v>
      </c>
      <c r="CB102" s="24">
        <f t="shared" si="70"/>
        <v>23</v>
      </c>
      <c r="CC102" s="24">
        <f t="shared" si="70"/>
        <v>22</v>
      </c>
      <c r="CD102" s="24">
        <f t="shared" si="70"/>
        <v>21</v>
      </c>
      <c r="CE102" s="24">
        <f t="shared" si="70"/>
        <v>20</v>
      </c>
      <c r="CF102" s="24">
        <f t="shared" si="70"/>
        <v>19</v>
      </c>
      <c r="CG102" s="24">
        <f t="shared" si="70"/>
        <v>18</v>
      </c>
      <c r="CH102" s="24">
        <f t="shared" si="70"/>
        <v>17</v>
      </c>
      <c r="CI102" s="24">
        <f t="shared" si="70"/>
        <v>16</v>
      </c>
      <c r="CJ102" s="24">
        <f t="shared" si="70"/>
        <v>15</v>
      </c>
      <c r="CK102" s="20">
        <f t="shared" si="70"/>
        <v>14</v>
      </c>
      <c r="CL102" s="20">
        <f t="shared" si="70"/>
        <v>13</v>
      </c>
      <c r="CM102" s="20">
        <f t="shared" si="70"/>
        <v>12</v>
      </c>
      <c r="CN102" s="20">
        <f t="shared" si="70"/>
        <v>11</v>
      </c>
      <c r="CO102" s="20">
        <f t="shared" si="70"/>
        <v>10</v>
      </c>
      <c r="CP102" s="20">
        <f t="shared" si="70"/>
        <v>9</v>
      </c>
      <c r="CQ102" s="20">
        <f t="shared" si="70"/>
        <v>8</v>
      </c>
      <c r="CR102" s="20">
        <f t="shared" si="70"/>
        <v>7</v>
      </c>
      <c r="CS102" s="20">
        <f t="shared" si="70"/>
        <v>6</v>
      </c>
      <c r="CT102" s="20">
        <f t="shared" si="70"/>
        <v>5</v>
      </c>
      <c r="CU102" s="20">
        <f t="shared" si="70"/>
        <v>4</v>
      </c>
      <c r="CV102" s="20">
        <f t="shared" si="70"/>
        <v>3</v>
      </c>
      <c r="CW102" s="20">
        <f t="shared" si="70"/>
        <v>2</v>
      </c>
      <c r="CX102" s="20">
        <f t="shared" si="70"/>
        <v>1</v>
      </c>
      <c r="CY102" s="20">
        <f t="shared" si="70"/>
        <v>0</v>
      </c>
    </row>
    <row r="103" spans="1:104" ht="13.35" customHeight="1" thickBot="1" x14ac:dyDescent="0.3">
      <c r="A103" s="334" t="s">
        <v>15</v>
      </c>
      <c r="B103" s="181"/>
      <c r="C103" s="334">
        <v>0</v>
      </c>
      <c r="D103" s="18">
        <f t="shared" si="43"/>
        <v>100</v>
      </c>
      <c r="E103" s="18">
        <f>(100-E104)</f>
        <v>99</v>
      </c>
      <c r="F103" s="18">
        <f t="shared" ref="F103:BQ103" si="71">(100-F104)</f>
        <v>98</v>
      </c>
      <c r="G103" s="18">
        <f t="shared" si="71"/>
        <v>97</v>
      </c>
      <c r="H103" s="18">
        <f t="shared" si="71"/>
        <v>96</v>
      </c>
      <c r="I103" s="18">
        <f t="shared" si="71"/>
        <v>95</v>
      </c>
      <c r="J103" s="18">
        <f t="shared" si="71"/>
        <v>94</v>
      </c>
      <c r="K103" s="18">
        <f t="shared" si="71"/>
        <v>93</v>
      </c>
      <c r="L103" s="18">
        <f t="shared" si="71"/>
        <v>92</v>
      </c>
      <c r="M103" s="18">
        <f t="shared" si="71"/>
        <v>91</v>
      </c>
      <c r="N103" s="18">
        <f t="shared" si="71"/>
        <v>90</v>
      </c>
      <c r="O103" s="18">
        <f t="shared" si="71"/>
        <v>89</v>
      </c>
      <c r="P103" s="18">
        <f t="shared" si="71"/>
        <v>88</v>
      </c>
      <c r="Q103" s="18">
        <f t="shared" si="71"/>
        <v>87</v>
      </c>
      <c r="R103" s="18">
        <f t="shared" si="71"/>
        <v>86</v>
      </c>
      <c r="S103" s="18">
        <f t="shared" si="71"/>
        <v>85</v>
      </c>
      <c r="T103" s="18">
        <f t="shared" si="71"/>
        <v>84</v>
      </c>
      <c r="U103" s="18">
        <f t="shared" si="71"/>
        <v>83</v>
      </c>
      <c r="V103" s="18">
        <f t="shared" si="71"/>
        <v>82</v>
      </c>
      <c r="W103" s="18">
        <f t="shared" si="71"/>
        <v>81</v>
      </c>
      <c r="X103" s="18">
        <f t="shared" si="71"/>
        <v>80</v>
      </c>
      <c r="Y103" s="19">
        <f t="shared" si="71"/>
        <v>79</v>
      </c>
      <c r="Z103" s="19">
        <f t="shared" si="71"/>
        <v>78</v>
      </c>
      <c r="AA103" s="19">
        <f t="shared" si="71"/>
        <v>77</v>
      </c>
      <c r="AB103" s="19">
        <f t="shared" si="71"/>
        <v>76</v>
      </c>
      <c r="AC103" s="19">
        <f t="shared" si="71"/>
        <v>75</v>
      </c>
      <c r="AD103" s="19">
        <f t="shared" si="71"/>
        <v>74</v>
      </c>
      <c r="AE103" s="19">
        <f t="shared" si="71"/>
        <v>73</v>
      </c>
      <c r="AF103" s="19">
        <f t="shared" si="71"/>
        <v>72</v>
      </c>
      <c r="AG103" s="19">
        <f t="shared" si="71"/>
        <v>71</v>
      </c>
      <c r="AH103" s="19">
        <f t="shared" si="71"/>
        <v>70</v>
      </c>
      <c r="AI103" s="19">
        <f t="shared" si="71"/>
        <v>69</v>
      </c>
      <c r="AJ103" s="19">
        <f t="shared" si="71"/>
        <v>68</v>
      </c>
      <c r="AK103" s="19">
        <f t="shared" si="71"/>
        <v>67</v>
      </c>
      <c r="AL103" s="19">
        <f t="shared" si="71"/>
        <v>66</v>
      </c>
      <c r="AM103" s="19">
        <f t="shared" si="71"/>
        <v>65</v>
      </c>
      <c r="AN103" s="19">
        <f t="shared" si="71"/>
        <v>64</v>
      </c>
      <c r="AO103" s="19">
        <f t="shared" si="71"/>
        <v>63</v>
      </c>
      <c r="AP103" s="19">
        <f t="shared" si="71"/>
        <v>62</v>
      </c>
      <c r="AQ103" s="19">
        <f t="shared" si="71"/>
        <v>61</v>
      </c>
      <c r="AR103" s="19">
        <f t="shared" si="71"/>
        <v>60</v>
      </c>
      <c r="AS103" s="19">
        <f t="shared" si="71"/>
        <v>59</v>
      </c>
      <c r="AT103" s="19">
        <f t="shared" si="71"/>
        <v>58</v>
      </c>
      <c r="AU103" s="19">
        <f t="shared" si="71"/>
        <v>57</v>
      </c>
      <c r="AV103" s="19">
        <f t="shared" si="71"/>
        <v>56</v>
      </c>
      <c r="AW103" s="19">
        <f t="shared" si="71"/>
        <v>55</v>
      </c>
      <c r="AX103" s="19">
        <f t="shared" si="71"/>
        <v>54</v>
      </c>
      <c r="AY103" s="19">
        <f t="shared" si="71"/>
        <v>53</v>
      </c>
      <c r="AZ103" s="19">
        <f t="shared" si="71"/>
        <v>52</v>
      </c>
      <c r="BA103" s="19">
        <f t="shared" si="71"/>
        <v>51</v>
      </c>
      <c r="BB103" s="19">
        <f t="shared" si="71"/>
        <v>50</v>
      </c>
      <c r="BC103" s="25">
        <f t="shared" si="71"/>
        <v>49</v>
      </c>
      <c r="BD103" s="25">
        <f t="shared" si="71"/>
        <v>48</v>
      </c>
      <c r="BE103" s="25">
        <f t="shared" si="71"/>
        <v>47</v>
      </c>
      <c r="BF103" s="25">
        <f t="shared" si="71"/>
        <v>46</v>
      </c>
      <c r="BG103" s="25">
        <f t="shared" si="71"/>
        <v>45</v>
      </c>
      <c r="BH103" s="25">
        <f t="shared" si="71"/>
        <v>44</v>
      </c>
      <c r="BI103" s="25">
        <f t="shared" si="71"/>
        <v>43</v>
      </c>
      <c r="BJ103" s="25">
        <f t="shared" si="71"/>
        <v>42</v>
      </c>
      <c r="BK103" s="25">
        <f t="shared" si="71"/>
        <v>41</v>
      </c>
      <c r="BL103" s="25">
        <f t="shared" si="71"/>
        <v>40</v>
      </c>
      <c r="BM103" s="25">
        <f t="shared" si="71"/>
        <v>39</v>
      </c>
      <c r="BN103" s="25">
        <f t="shared" si="71"/>
        <v>38</v>
      </c>
      <c r="BO103" s="25">
        <f t="shared" si="71"/>
        <v>37</v>
      </c>
      <c r="BP103" s="25">
        <f t="shared" si="71"/>
        <v>36</v>
      </c>
      <c r="BQ103" s="25">
        <f t="shared" si="71"/>
        <v>35</v>
      </c>
      <c r="BR103" s="25">
        <f t="shared" ref="BR103:CZ103" si="72">(100-BR104)</f>
        <v>34</v>
      </c>
      <c r="BS103" s="25">
        <f t="shared" si="72"/>
        <v>33</v>
      </c>
      <c r="BT103" s="25">
        <f t="shared" si="72"/>
        <v>32</v>
      </c>
      <c r="BU103" s="25">
        <f t="shared" si="72"/>
        <v>31</v>
      </c>
      <c r="BV103" s="25">
        <f t="shared" si="72"/>
        <v>30</v>
      </c>
      <c r="BW103" s="24">
        <f t="shared" si="72"/>
        <v>29</v>
      </c>
      <c r="BX103" s="24">
        <f t="shared" si="72"/>
        <v>28</v>
      </c>
      <c r="BY103" s="24">
        <f t="shared" si="72"/>
        <v>27</v>
      </c>
      <c r="BZ103" s="24">
        <f t="shared" si="72"/>
        <v>26</v>
      </c>
      <c r="CA103" s="24">
        <f t="shared" si="72"/>
        <v>25</v>
      </c>
      <c r="CB103" s="24">
        <f t="shared" si="72"/>
        <v>24</v>
      </c>
      <c r="CC103" s="24">
        <f t="shared" si="72"/>
        <v>23</v>
      </c>
      <c r="CD103" s="24">
        <f t="shared" si="72"/>
        <v>22</v>
      </c>
      <c r="CE103" s="24">
        <f t="shared" si="72"/>
        <v>21</v>
      </c>
      <c r="CF103" s="24">
        <f t="shared" si="72"/>
        <v>20</v>
      </c>
      <c r="CG103" s="24">
        <f t="shared" si="72"/>
        <v>19</v>
      </c>
      <c r="CH103" s="24">
        <f t="shared" si="72"/>
        <v>18</v>
      </c>
      <c r="CI103" s="24">
        <f t="shared" si="72"/>
        <v>17</v>
      </c>
      <c r="CJ103" s="24">
        <f t="shared" si="72"/>
        <v>16</v>
      </c>
      <c r="CK103" s="20">
        <f t="shared" si="72"/>
        <v>15</v>
      </c>
      <c r="CL103" s="20">
        <f t="shared" si="72"/>
        <v>14</v>
      </c>
      <c r="CM103" s="20">
        <f t="shared" si="72"/>
        <v>13</v>
      </c>
      <c r="CN103" s="20">
        <f t="shared" si="72"/>
        <v>12</v>
      </c>
      <c r="CO103" s="20">
        <f t="shared" si="72"/>
        <v>11</v>
      </c>
      <c r="CP103" s="20">
        <f t="shared" si="72"/>
        <v>10</v>
      </c>
      <c r="CQ103" s="20">
        <f t="shared" si="72"/>
        <v>9</v>
      </c>
      <c r="CR103" s="20">
        <f t="shared" si="72"/>
        <v>8</v>
      </c>
      <c r="CS103" s="20">
        <f t="shared" si="72"/>
        <v>7</v>
      </c>
      <c r="CT103" s="20">
        <f t="shared" si="72"/>
        <v>6</v>
      </c>
      <c r="CU103" s="20">
        <f t="shared" si="72"/>
        <v>5</v>
      </c>
      <c r="CV103" s="20">
        <f t="shared" si="72"/>
        <v>4</v>
      </c>
      <c r="CW103" s="20">
        <f t="shared" si="72"/>
        <v>3</v>
      </c>
      <c r="CX103" s="20">
        <f t="shared" si="72"/>
        <v>2</v>
      </c>
      <c r="CY103" s="20">
        <f t="shared" si="72"/>
        <v>1</v>
      </c>
      <c r="CZ103" s="20">
        <f t="shared" si="72"/>
        <v>0</v>
      </c>
    </row>
    <row r="104" spans="1:104" x14ac:dyDescent="0.25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5">
      <c r="E105" s="14"/>
      <c r="F105" s="14"/>
      <c r="G105" s="14"/>
      <c r="H105" s="14"/>
      <c r="I105" s="14"/>
      <c r="J105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oglio35"/>
  <dimension ref="A1:CZ108"/>
  <sheetViews>
    <sheetView topLeftCell="A86" zoomScale="136" zoomScaleNormal="136" workbookViewId="0">
      <selection activeCell="M108" sqref="M108"/>
    </sheetView>
  </sheetViews>
  <sheetFormatPr defaultRowHeight="13.2" x14ac:dyDescent="0.25"/>
  <cols>
    <col min="1" max="1" width="5.33203125" customWidth="1"/>
    <col min="2" max="2" width="3.5546875" customWidth="1"/>
    <col min="3" max="3" width="5" customWidth="1"/>
    <col min="4" max="103" width="3.5546875" customWidth="1"/>
    <col min="104" max="104" width="4.33203125" customWidth="1"/>
  </cols>
  <sheetData>
    <row r="1" spans="2:104" ht="48" x14ac:dyDescent="0.7">
      <c r="B1" s="338" t="s">
        <v>1064</v>
      </c>
      <c r="C1" s="337" t="s">
        <v>1063</v>
      </c>
      <c r="D1" s="329" t="s">
        <v>243</v>
      </c>
      <c r="E1" s="329"/>
      <c r="F1" s="329" t="s">
        <v>599</v>
      </c>
      <c r="G1" s="329"/>
      <c r="H1" s="329" t="s">
        <v>604</v>
      </c>
      <c r="I1" s="329"/>
      <c r="J1" s="329" t="s">
        <v>603</v>
      </c>
      <c r="K1" s="329"/>
      <c r="L1" s="329" t="s">
        <v>597</v>
      </c>
      <c r="M1" s="329"/>
      <c r="N1" s="329" t="s">
        <v>601</v>
      </c>
      <c r="O1" s="329"/>
    </row>
    <row r="2" spans="2:104" x14ac:dyDescent="0.25">
      <c r="D2" s="14">
        <v>0</v>
      </c>
      <c r="E2" s="14">
        <v>1</v>
      </c>
      <c r="F2" s="14">
        <v>2</v>
      </c>
      <c r="G2" s="14">
        <v>3</v>
      </c>
      <c r="H2" s="14">
        <v>4</v>
      </c>
      <c r="I2" s="14">
        <v>5</v>
      </c>
      <c r="J2" s="14">
        <v>6</v>
      </c>
      <c r="K2" s="14">
        <v>7</v>
      </c>
      <c r="L2" s="14">
        <v>8</v>
      </c>
      <c r="M2" s="14">
        <v>9</v>
      </c>
      <c r="N2" s="14">
        <v>10</v>
      </c>
      <c r="O2" s="14">
        <v>11</v>
      </c>
      <c r="P2" s="14">
        <v>12</v>
      </c>
      <c r="Q2" s="14">
        <v>13</v>
      </c>
      <c r="R2" s="14">
        <v>14</v>
      </c>
      <c r="S2" s="14">
        <v>15</v>
      </c>
      <c r="T2" s="14">
        <v>16</v>
      </c>
      <c r="U2" s="14">
        <v>17</v>
      </c>
      <c r="V2" s="14">
        <v>18</v>
      </c>
      <c r="W2" s="14">
        <v>19</v>
      </c>
      <c r="X2" s="14">
        <v>20</v>
      </c>
      <c r="Y2" s="14">
        <v>21</v>
      </c>
      <c r="Z2" s="14">
        <v>22</v>
      </c>
      <c r="AA2" s="14">
        <v>23</v>
      </c>
      <c r="AB2" s="14">
        <v>24</v>
      </c>
      <c r="AC2" s="14">
        <v>25</v>
      </c>
      <c r="AD2" s="14">
        <v>26</v>
      </c>
      <c r="AE2" s="14">
        <v>27</v>
      </c>
      <c r="AF2" s="14">
        <v>28</v>
      </c>
      <c r="AG2" s="14">
        <v>29</v>
      </c>
      <c r="AH2" s="14">
        <v>30</v>
      </c>
      <c r="AI2" s="14">
        <v>31</v>
      </c>
      <c r="AJ2" s="14">
        <v>32</v>
      </c>
      <c r="AK2" s="14">
        <v>33</v>
      </c>
      <c r="AL2" s="14">
        <v>34</v>
      </c>
      <c r="AM2" s="14">
        <v>35</v>
      </c>
      <c r="AN2" s="14">
        <v>36</v>
      </c>
      <c r="AO2" s="14">
        <v>37</v>
      </c>
      <c r="AP2" s="14">
        <v>38</v>
      </c>
      <c r="AQ2" s="14">
        <v>39</v>
      </c>
      <c r="AR2" s="14">
        <v>40</v>
      </c>
      <c r="AS2" s="14">
        <v>41</v>
      </c>
      <c r="AT2" s="14">
        <v>42</v>
      </c>
      <c r="AU2" s="14">
        <v>43</v>
      </c>
      <c r="AV2" s="14">
        <v>44</v>
      </c>
      <c r="AW2" s="14">
        <v>45</v>
      </c>
      <c r="AX2" s="14">
        <v>46</v>
      </c>
      <c r="AY2" s="14">
        <v>47</v>
      </c>
      <c r="AZ2" s="14">
        <v>48</v>
      </c>
      <c r="BA2" s="14">
        <v>49</v>
      </c>
      <c r="BB2" s="14">
        <v>50</v>
      </c>
      <c r="BC2" s="14">
        <v>51</v>
      </c>
      <c r="BD2" s="14">
        <v>52</v>
      </c>
      <c r="BE2" s="14">
        <v>53</v>
      </c>
      <c r="BF2" s="14">
        <v>54</v>
      </c>
      <c r="BG2" s="14">
        <v>55</v>
      </c>
      <c r="BH2" s="14">
        <v>56</v>
      </c>
      <c r="BI2" s="14">
        <v>57</v>
      </c>
      <c r="BJ2" s="14">
        <v>58</v>
      </c>
      <c r="BK2" s="14">
        <v>59</v>
      </c>
      <c r="BL2" s="14">
        <v>60</v>
      </c>
      <c r="BM2" s="14">
        <v>61</v>
      </c>
      <c r="BN2" s="14">
        <v>62</v>
      </c>
      <c r="BO2" s="14">
        <v>63</v>
      </c>
      <c r="BP2" s="14">
        <v>64</v>
      </c>
      <c r="BQ2" s="14">
        <v>65</v>
      </c>
      <c r="BR2" s="14">
        <v>66</v>
      </c>
      <c r="BS2" s="14">
        <v>67</v>
      </c>
      <c r="BT2" s="14">
        <v>68</v>
      </c>
      <c r="BU2" s="14">
        <v>69</v>
      </c>
      <c r="BV2" s="14">
        <v>70</v>
      </c>
      <c r="BW2" s="14">
        <v>71</v>
      </c>
      <c r="BX2" s="14">
        <v>72</v>
      </c>
      <c r="BY2" s="14">
        <v>73</v>
      </c>
      <c r="BZ2" s="14">
        <v>74</v>
      </c>
      <c r="CA2" s="14">
        <v>75</v>
      </c>
      <c r="CB2" s="14">
        <v>76</v>
      </c>
      <c r="CC2" s="14">
        <v>77</v>
      </c>
      <c r="CD2" s="14">
        <v>78</v>
      </c>
      <c r="CE2" s="14">
        <v>79</v>
      </c>
      <c r="CF2" s="14">
        <v>80</v>
      </c>
      <c r="CG2" s="14">
        <v>81</v>
      </c>
      <c r="CH2" s="14">
        <v>82</v>
      </c>
      <c r="CI2" s="14">
        <v>83</v>
      </c>
      <c r="CJ2" s="14">
        <v>84</v>
      </c>
      <c r="CK2" s="14">
        <v>85</v>
      </c>
      <c r="CL2" s="14">
        <v>86</v>
      </c>
      <c r="CM2" s="14">
        <v>87</v>
      </c>
      <c r="CN2" s="14">
        <v>88</v>
      </c>
      <c r="CO2" s="14">
        <v>89</v>
      </c>
      <c r="CP2" s="14">
        <v>90</v>
      </c>
      <c r="CQ2" s="14">
        <v>91</v>
      </c>
      <c r="CR2" s="14">
        <v>92</v>
      </c>
      <c r="CS2" s="14">
        <v>93</v>
      </c>
      <c r="CT2" s="14">
        <v>94</v>
      </c>
      <c r="CU2" s="14">
        <v>95</v>
      </c>
      <c r="CV2" s="14">
        <v>96</v>
      </c>
      <c r="CW2" s="14">
        <v>97</v>
      </c>
      <c r="CX2" s="14">
        <v>98</v>
      </c>
      <c r="CY2" s="14">
        <v>99</v>
      </c>
      <c r="CZ2" s="14">
        <v>100</v>
      </c>
    </row>
    <row r="3" spans="2:104" ht="13.2" customHeight="1" x14ac:dyDescent="0.25">
      <c r="B3">
        <v>1</v>
      </c>
      <c r="C3" s="21">
        <v>100</v>
      </c>
      <c r="D3" s="6">
        <v>12</v>
      </c>
    </row>
    <row r="4" spans="2:104" ht="13.2" customHeight="1" x14ac:dyDescent="0.25">
      <c r="B4" s="2">
        <f>(B3+1)</f>
        <v>2</v>
      </c>
      <c r="C4" s="21">
        <v>99</v>
      </c>
      <c r="D4" s="6">
        <v>12</v>
      </c>
      <c r="E4" s="6">
        <v>12</v>
      </c>
    </row>
    <row r="5" spans="2:104" ht="13.2" customHeight="1" x14ac:dyDescent="0.25">
      <c r="B5" s="2">
        <f t="shared" ref="B5:B68" si="0">(B4+1)</f>
        <v>3</v>
      </c>
      <c r="C5" s="21">
        <v>98</v>
      </c>
      <c r="D5" s="6">
        <v>12</v>
      </c>
      <c r="E5" s="6">
        <v>12</v>
      </c>
      <c r="F5" s="6">
        <v>12</v>
      </c>
    </row>
    <row r="6" spans="2:104" ht="13.2" customHeight="1" x14ac:dyDescent="0.25">
      <c r="B6" s="2">
        <f t="shared" si="0"/>
        <v>4</v>
      </c>
      <c r="C6" s="21">
        <v>97</v>
      </c>
      <c r="D6" s="6">
        <v>12</v>
      </c>
      <c r="E6" s="6">
        <v>12</v>
      </c>
      <c r="F6" s="6">
        <v>12</v>
      </c>
      <c r="G6" s="6">
        <v>12</v>
      </c>
    </row>
    <row r="7" spans="2:104" ht="13.2" customHeight="1" x14ac:dyDescent="0.25">
      <c r="B7" s="2">
        <f t="shared" si="0"/>
        <v>5</v>
      </c>
      <c r="C7" s="21">
        <v>96</v>
      </c>
      <c r="D7" s="6">
        <v>12</v>
      </c>
      <c r="E7" s="6">
        <v>12</v>
      </c>
      <c r="F7" s="6">
        <v>12</v>
      </c>
      <c r="G7" s="6">
        <v>12</v>
      </c>
      <c r="H7" s="6">
        <v>12</v>
      </c>
    </row>
    <row r="8" spans="2:104" ht="13.2" customHeight="1" x14ac:dyDescent="0.25">
      <c r="B8" s="2">
        <f t="shared" si="0"/>
        <v>6</v>
      </c>
      <c r="C8" s="21">
        <v>95</v>
      </c>
      <c r="D8" s="6">
        <v>12</v>
      </c>
      <c r="E8" s="6">
        <v>12</v>
      </c>
      <c r="F8" s="6">
        <v>12</v>
      </c>
      <c r="G8" s="6">
        <v>12</v>
      </c>
      <c r="H8" s="6">
        <v>12</v>
      </c>
      <c r="I8" s="6">
        <v>12</v>
      </c>
    </row>
    <row r="9" spans="2:104" ht="13.2" customHeight="1" x14ac:dyDescent="0.25">
      <c r="B9" s="2">
        <f t="shared" si="0"/>
        <v>7</v>
      </c>
      <c r="C9" s="21">
        <v>94</v>
      </c>
      <c r="D9" s="6">
        <v>12</v>
      </c>
      <c r="E9" s="6">
        <v>12</v>
      </c>
      <c r="F9" s="6">
        <v>12</v>
      </c>
      <c r="G9" s="6">
        <v>12</v>
      </c>
      <c r="H9" s="6">
        <v>12</v>
      </c>
      <c r="I9" s="6">
        <v>12</v>
      </c>
      <c r="J9" s="6">
        <v>12</v>
      </c>
    </row>
    <row r="10" spans="2:104" ht="13.2" customHeight="1" x14ac:dyDescent="0.25">
      <c r="B10" s="2">
        <f t="shared" si="0"/>
        <v>8</v>
      </c>
      <c r="C10" s="21">
        <v>93</v>
      </c>
      <c r="D10" s="6">
        <v>12</v>
      </c>
      <c r="E10" s="6">
        <v>12</v>
      </c>
      <c r="F10" s="6">
        <v>12</v>
      </c>
      <c r="G10" s="6">
        <v>12</v>
      </c>
      <c r="H10" s="6">
        <v>12</v>
      </c>
      <c r="I10" s="6">
        <v>12</v>
      </c>
      <c r="J10" s="6">
        <v>12</v>
      </c>
      <c r="K10" s="6">
        <v>12</v>
      </c>
    </row>
    <row r="11" spans="2:104" ht="13.2" customHeight="1" x14ac:dyDescent="0.25">
      <c r="B11" s="2">
        <f t="shared" si="0"/>
        <v>9</v>
      </c>
      <c r="C11" s="21">
        <v>92</v>
      </c>
      <c r="D11" s="6">
        <v>12</v>
      </c>
      <c r="E11" s="6">
        <v>12</v>
      </c>
      <c r="F11" s="6">
        <v>12</v>
      </c>
      <c r="G11" s="6">
        <v>12</v>
      </c>
      <c r="H11" s="6">
        <v>12</v>
      </c>
      <c r="I11" s="6">
        <v>12</v>
      </c>
      <c r="J11" s="6">
        <v>12</v>
      </c>
      <c r="K11" s="6">
        <v>12</v>
      </c>
      <c r="L11" s="6">
        <v>12</v>
      </c>
    </row>
    <row r="12" spans="2:104" ht="13.2" customHeight="1" x14ac:dyDescent="0.25">
      <c r="B12" s="2">
        <f t="shared" si="0"/>
        <v>10</v>
      </c>
      <c r="C12" s="21">
        <v>91</v>
      </c>
      <c r="D12" s="6">
        <v>12</v>
      </c>
      <c r="E12" s="6">
        <v>12</v>
      </c>
      <c r="F12" s="6">
        <v>12</v>
      </c>
      <c r="G12" s="6">
        <v>12</v>
      </c>
      <c r="H12" s="6">
        <v>12</v>
      </c>
      <c r="I12" s="6">
        <v>12</v>
      </c>
      <c r="J12" s="6">
        <v>12</v>
      </c>
      <c r="K12" s="6">
        <v>12</v>
      </c>
      <c r="L12" s="6">
        <v>12</v>
      </c>
      <c r="M12" s="6">
        <v>12</v>
      </c>
    </row>
    <row r="13" spans="2:104" ht="13.2" customHeight="1" x14ac:dyDescent="0.25">
      <c r="B13" s="2">
        <f t="shared" si="0"/>
        <v>11</v>
      </c>
      <c r="C13" s="21">
        <v>90</v>
      </c>
      <c r="D13" s="6">
        <v>12</v>
      </c>
      <c r="E13" s="6">
        <v>12</v>
      </c>
      <c r="F13" s="6">
        <v>12</v>
      </c>
      <c r="G13" s="6">
        <v>12</v>
      </c>
      <c r="H13" s="6">
        <v>12</v>
      </c>
      <c r="I13" s="6">
        <v>12</v>
      </c>
      <c r="J13" s="6">
        <v>12</v>
      </c>
      <c r="K13" s="6">
        <v>12</v>
      </c>
      <c r="L13" s="6">
        <v>12</v>
      </c>
      <c r="M13" s="6">
        <v>12</v>
      </c>
      <c r="N13" s="6">
        <v>12</v>
      </c>
    </row>
    <row r="14" spans="2:104" ht="13.2" customHeight="1" x14ac:dyDescent="0.25">
      <c r="B14" s="2">
        <f t="shared" si="0"/>
        <v>12</v>
      </c>
      <c r="C14" s="21">
        <v>89</v>
      </c>
      <c r="D14" s="6">
        <v>12</v>
      </c>
      <c r="E14" s="6">
        <v>12</v>
      </c>
      <c r="F14" s="6">
        <v>12</v>
      </c>
      <c r="G14" s="6">
        <v>12</v>
      </c>
      <c r="H14" s="6">
        <v>12</v>
      </c>
      <c r="I14" s="6">
        <v>12</v>
      </c>
      <c r="J14" s="6">
        <v>12</v>
      </c>
      <c r="K14" s="6">
        <v>12</v>
      </c>
      <c r="L14" s="6">
        <v>12</v>
      </c>
      <c r="M14" s="6">
        <v>12</v>
      </c>
      <c r="N14" s="6">
        <v>12</v>
      </c>
      <c r="O14" s="6">
        <v>12</v>
      </c>
    </row>
    <row r="15" spans="2:104" ht="13.2" customHeight="1" x14ac:dyDescent="0.25">
      <c r="B15" s="2">
        <f t="shared" si="0"/>
        <v>13</v>
      </c>
      <c r="C15" s="21">
        <v>88</v>
      </c>
      <c r="D15" s="6">
        <v>12</v>
      </c>
      <c r="E15" s="6">
        <v>12</v>
      </c>
      <c r="F15" s="6">
        <v>12</v>
      </c>
      <c r="G15" s="6">
        <v>12</v>
      </c>
      <c r="H15" s="6">
        <v>12</v>
      </c>
      <c r="I15" s="6">
        <v>12</v>
      </c>
      <c r="J15" s="6">
        <v>12</v>
      </c>
      <c r="K15" s="6">
        <v>12</v>
      </c>
      <c r="L15" s="6">
        <v>12</v>
      </c>
      <c r="M15" s="6">
        <v>12</v>
      </c>
      <c r="N15" s="6">
        <v>12</v>
      </c>
      <c r="O15" s="6">
        <v>12</v>
      </c>
      <c r="P15" s="6">
        <v>12</v>
      </c>
    </row>
    <row r="16" spans="2:104" ht="13.2" customHeight="1" x14ac:dyDescent="0.25">
      <c r="B16" s="2">
        <f t="shared" si="0"/>
        <v>14</v>
      </c>
      <c r="C16" s="21">
        <v>87</v>
      </c>
      <c r="D16" s="6">
        <v>12</v>
      </c>
      <c r="E16" s="6">
        <v>12</v>
      </c>
      <c r="F16" s="6">
        <v>12</v>
      </c>
      <c r="G16" s="6">
        <v>12</v>
      </c>
      <c r="H16" s="6">
        <v>12</v>
      </c>
      <c r="I16" s="6">
        <v>12</v>
      </c>
      <c r="J16" s="6">
        <v>12</v>
      </c>
      <c r="K16" s="6">
        <v>12</v>
      </c>
      <c r="L16" s="6">
        <v>12</v>
      </c>
      <c r="M16" s="6">
        <v>12</v>
      </c>
      <c r="N16" s="6">
        <v>12</v>
      </c>
      <c r="O16" s="6">
        <v>12</v>
      </c>
      <c r="P16" s="6">
        <v>12</v>
      </c>
      <c r="Q16" s="6">
        <v>12</v>
      </c>
    </row>
    <row r="17" spans="2:33" ht="13.2" customHeight="1" x14ac:dyDescent="0.25">
      <c r="B17" s="2">
        <f t="shared" si="0"/>
        <v>15</v>
      </c>
      <c r="C17" s="21">
        <v>86</v>
      </c>
      <c r="D17" s="6">
        <v>12</v>
      </c>
      <c r="E17" s="6">
        <v>12</v>
      </c>
      <c r="F17" s="6">
        <v>12</v>
      </c>
      <c r="G17" s="6">
        <v>12</v>
      </c>
      <c r="H17" s="6">
        <v>12</v>
      </c>
      <c r="I17" s="6">
        <v>12</v>
      </c>
      <c r="J17" s="6">
        <v>12</v>
      </c>
      <c r="K17" s="6">
        <v>12</v>
      </c>
      <c r="L17" s="6">
        <v>12</v>
      </c>
      <c r="M17" s="6">
        <v>12</v>
      </c>
      <c r="N17" s="6">
        <v>12</v>
      </c>
      <c r="O17" s="6">
        <v>12</v>
      </c>
      <c r="P17" s="6">
        <v>12</v>
      </c>
      <c r="Q17" s="6">
        <v>12</v>
      </c>
      <c r="R17" s="6">
        <v>12</v>
      </c>
    </row>
    <row r="18" spans="2:33" ht="13.2" customHeight="1" x14ac:dyDescent="0.25">
      <c r="B18" s="2">
        <f t="shared" si="0"/>
        <v>16</v>
      </c>
      <c r="C18" s="21">
        <v>85</v>
      </c>
      <c r="D18" s="6">
        <v>12</v>
      </c>
      <c r="E18" s="6">
        <v>12</v>
      </c>
      <c r="F18" s="6">
        <v>12</v>
      </c>
      <c r="G18" s="6">
        <v>12</v>
      </c>
      <c r="H18" s="6">
        <v>12</v>
      </c>
      <c r="I18" s="6">
        <v>12</v>
      </c>
      <c r="J18" s="6">
        <v>12</v>
      </c>
      <c r="K18" s="6">
        <v>12</v>
      </c>
      <c r="L18" s="6">
        <v>12</v>
      </c>
      <c r="M18" s="6">
        <v>12</v>
      </c>
      <c r="N18" s="6">
        <v>12</v>
      </c>
      <c r="O18" s="6">
        <v>12</v>
      </c>
      <c r="P18" s="6">
        <v>12</v>
      </c>
      <c r="Q18" s="6">
        <v>12</v>
      </c>
      <c r="R18" s="6">
        <v>12</v>
      </c>
      <c r="S18" s="6">
        <v>12</v>
      </c>
    </row>
    <row r="19" spans="2:33" ht="13.2" customHeight="1" x14ac:dyDescent="0.25">
      <c r="B19" s="2">
        <f t="shared" si="0"/>
        <v>17</v>
      </c>
      <c r="C19" s="21">
        <v>84</v>
      </c>
      <c r="D19" s="6">
        <v>12</v>
      </c>
      <c r="E19" s="6">
        <v>12</v>
      </c>
      <c r="F19" s="6">
        <v>12</v>
      </c>
      <c r="G19" s="6">
        <v>12</v>
      </c>
      <c r="H19" s="6">
        <v>12</v>
      </c>
      <c r="I19" s="6">
        <v>12</v>
      </c>
      <c r="J19" s="6">
        <v>12</v>
      </c>
      <c r="K19" s="6">
        <v>12</v>
      </c>
      <c r="L19" s="6">
        <v>12</v>
      </c>
      <c r="M19" s="6">
        <v>12</v>
      </c>
      <c r="N19" s="6">
        <v>12</v>
      </c>
      <c r="O19" s="6">
        <v>12</v>
      </c>
      <c r="P19" s="6">
        <v>12</v>
      </c>
      <c r="Q19" s="6">
        <v>12</v>
      </c>
      <c r="R19" s="6">
        <v>12</v>
      </c>
      <c r="S19" s="6">
        <v>12</v>
      </c>
      <c r="T19" s="6">
        <v>12</v>
      </c>
    </row>
    <row r="20" spans="2:33" ht="13.2" customHeight="1" x14ac:dyDescent="0.25">
      <c r="B20" s="2">
        <f t="shared" si="0"/>
        <v>18</v>
      </c>
      <c r="C20" s="21">
        <v>83</v>
      </c>
      <c r="D20" s="6">
        <v>12</v>
      </c>
      <c r="E20" s="6">
        <v>12</v>
      </c>
      <c r="F20" s="6">
        <v>12</v>
      </c>
      <c r="G20" s="6">
        <v>12</v>
      </c>
      <c r="H20" s="6">
        <v>12</v>
      </c>
      <c r="I20" s="6">
        <v>12</v>
      </c>
      <c r="J20" s="6">
        <v>12</v>
      </c>
      <c r="K20" s="6">
        <v>12</v>
      </c>
      <c r="L20" s="6">
        <v>12</v>
      </c>
      <c r="M20" s="6">
        <v>12</v>
      </c>
      <c r="N20" s="6">
        <v>12</v>
      </c>
      <c r="O20" s="6">
        <v>12</v>
      </c>
      <c r="P20" s="6">
        <v>12</v>
      </c>
      <c r="Q20" s="6">
        <v>12</v>
      </c>
      <c r="R20" s="6">
        <v>12</v>
      </c>
      <c r="S20" s="6">
        <v>12</v>
      </c>
      <c r="T20" s="6">
        <v>12</v>
      </c>
      <c r="U20" s="6">
        <v>12</v>
      </c>
    </row>
    <row r="21" spans="2:33" ht="13.2" customHeight="1" x14ac:dyDescent="0.25">
      <c r="B21" s="2">
        <f t="shared" si="0"/>
        <v>19</v>
      </c>
      <c r="C21" s="21">
        <v>82</v>
      </c>
      <c r="D21" s="6">
        <v>12</v>
      </c>
      <c r="E21" s="6">
        <v>12</v>
      </c>
      <c r="F21" s="6">
        <v>12</v>
      </c>
      <c r="G21" s="6">
        <v>12</v>
      </c>
      <c r="H21" s="6">
        <v>12</v>
      </c>
      <c r="I21" s="6">
        <v>12</v>
      </c>
      <c r="J21" s="6">
        <v>12</v>
      </c>
      <c r="K21" s="6">
        <v>12</v>
      </c>
      <c r="L21" s="6">
        <v>12</v>
      </c>
      <c r="M21" s="6">
        <v>12</v>
      </c>
      <c r="N21" s="6">
        <v>12</v>
      </c>
      <c r="O21" s="6">
        <v>12</v>
      </c>
      <c r="P21" s="6">
        <v>12</v>
      </c>
      <c r="Q21" s="6">
        <v>12</v>
      </c>
      <c r="R21" s="6">
        <v>12</v>
      </c>
      <c r="S21" s="6">
        <v>12</v>
      </c>
      <c r="T21" s="6">
        <v>12</v>
      </c>
      <c r="U21" s="6">
        <v>12</v>
      </c>
      <c r="V21" s="6">
        <v>12</v>
      </c>
    </row>
    <row r="22" spans="2:33" ht="13.2" customHeight="1" x14ac:dyDescent="0.25">
      <c r="B22" s="2">
        <f t="shared" si="0"/>
        <v>20</v>
      </c>
      <c r="C22" s="21">
        <v>81</v>
      </c>
      <c r="D22" s="6">
        <v>12</v>
      </c>
      <c r="E22" s="6">
        <v>12</v>
      </c>
      <c r="F22" s="6">
        <v>12</v>
      </c>
      <c r="G22" s="6">
        <v>12</v>
      </c>
      <c r="H22" s="6">
        <v>12</v>
      </c>
      <c r="I22" s="6">
        <v>12</v>
      </c>
      <c r="J22" s="6">
        <v>12</v>
      </c>
      <c r="K22" s="6">
        <v>12</v>
      </c>
      <c r="L22" s="6">
        <v>12</v>
      </c>
      <c r="M22" s="6">
        <v>12</v>
      </c>
      <c r="N22" s="6">
        <v>12</v>
      </c>
      <c r="O22" s="6">
        <v>12</v>
      </c>
      <c r="P22" s="6">
        <v>12</v>
      </c>
      <c r="Q22" s="6">
        <v>12</v>
      </c>
      <c r="R22" s="6">
        <v>12</v>
      </c>
      <c r="S22" s="6">
        <v>12</v>
      </c>
      <c r="T22" s="6">
        <v>12</v>
      </c>
      <c r="U22" s="6">
        <v>12</v>
      </c>
      <c r="V22" s="6">
        <v>12</v>
      </c>
      <c r="W22" s="6">
        <v>12</v>
      </c>
    </row>
    <row r="23" spans="2:33" ht="13.2" customHeight="1" x14ac:dyDescent="0.25">
      <c r="B23" s="2">
        <f t="shared" si="0"/>
        <v>21</v>
      </c>
      <c r="C23" s="21">
        <v>80</v>
      </c>
      <c r="D23" s="6">
        <v>12</v>
      </c>
      <c r="E23" s="6">
        <v>12</v>
      </c>
      <c r="F23" s="6">
        <v>12</v>
      </c>
      <c r="G23" s="6">
        <v>12</v>
      </c>
      <c r="H23" s="6">
        <v>12</v>
      </c>
      <c r="I23" s="6">
        <v>12</v>
      </c>
      <c r="J23" s="6">
        <v>12</v>
      </c>
      <c r="K23" s="6">
        <v>12</v>
      </c>
      <c r="L23" s="6">
        <v>12</v>
      </c>
      <c r="M23" s="6">
        <v>12</v>
      </c>
      <c r="N23" s="6">
        <v>12</v>
      </c>
      <c r="O23" s="6">
        <v>12</v>
      </c>
      <c r="P23" s="6">
        <v>12</v>
      </c>
      <c r="Q23" s="6">
        <v>12</v>
      </c>
      <c r="R23" s="6">
        <v>12</v>
      </c>
      <c r="S23" s="6">
        <v>12</v>
      </c>
      <c r="T23" s="6">
        <v>12</v>
      </c>
      <c r="U23" s="6">
        <v>12</v>
      </c>
      <c r="V23" s="6">
        <v>12</v>
      </c>
      <c r="W23" s="6">
        <v>12</v>
      </c>
      <c r="X23" s="6">
        <v>12</v>
      </c>
    </row>
    <row r="24" spans="2:33" ht="13.2" customHeight="1" x14ac:dyDescent="0.25">
      <c r="B24" s="2">
        <f t="shared" si="0"/>
        <v>22</v>
      </c>
      <c r="C24" s="21">
        <v>79</v>
      </c>
      <c r="D24" s="6">
        <v>12</v>
      </c>
      <c r="E24" s="6">
        <v>12</v>
      </c>
      <c r="F24" s="6">
        <v>12</v>
      </c>
      <c r="G24" s="6">
        <v>12</v>
      </c>
      <c r="H24" s="6">
        <v>12</v>
      </c>
      <c r="I24" s="6">
        <v>12</v>
      </c>
      <c r="J24" s="6">
        <v>12</v>
      </c>
      <c r="K24" s="6">
        <v>12</v>
      </c>
      <c r="L24" s="6">
        <v>12</v>
      </c>
      <c r="M24" s="6">
        <v>12</v>
      </c>
      <c r="N24" s="6">
        <v>12</v>
      </c>
      <c r="O24" s="6">
        <v>12</v>
      </c>
      <c r="P24" s="6">
        <v>12</v>
      </c>
      <c r="Q24" s="6">
        <v>12</v>
      </c>
      <c r="R24" s="6">
        <v>12</v>
      </c>
      <c r="S24" s="6">
        <v>12</v>
      </c>
      <c r="T24" s="6">
        <v>12</v>
      </c>
      <c r="U24" s="6">
        <v>12</v>
      </c>
      <c r="V24" s="6">
        <v>12</v>
      </c>
      <c r="W24" s="6">
        <v>12</v>
      </c>
      <c r="X24" s="6">
        <v>12</v>
      </c>
      <c r="Y24" s="6">
        <v>12</v>
      </c>
    </row>
    <row r="25" spans="2:33" ht="13.2" customHeight="1" x14ac:dyDescent="0.25">
      <c r="B25" s="2">
        <f t="shared" si="0"/>
        <v>23</v>
      </c>
      <c r="C25" s="21">
        <v>78</v>
      </c>
      <c r="D25" s="6">
        <v>12</v>
      </c>
      <c r="E25" s="6">
        <v>12</v>
      </c>
      <c r="F25" s="6">
        <v>12</v>
      </c>
      <c r="G25" s="6">
        <v>12</v>
      </c>
      <c r="H25" s="6">
        <v>12</v>
      </c>
      <c r="I25" s="6">
        <v>12</v>
      </c>
      <c r="J25" s="6">
        <v>12</v>
      </c>
      <c r="K25" s="6">
        <v>12</v>
      </c>
      <c r="L25" s="6">
        <v>12</v>
      </c>
      <c r="M25" s="6">
        <v>12</v>
      </c>
      <c r="N25" s="6">
        <v>12</v>
      </c>
      <c r="O25" s="6">
        <v>12</v>
      </c>
      <c r="P25" s="6">
        <v>12</v>
      </c>
      <c r="Q25" s="6">
        <v>12</v>
      </c>
      <c r="R25" s="6">
        <v>12</v>
      </c>
      <c r="S25" s="6">
        <v>12</v>
      </c>
      <c r="T25" s="6">
        <v>12</v>
      </c>
      <c r="U25" s="6">
        <v>12</v>
      </c>
      <c r="V25" s="6">
        <v>12</v>
      </c>
      <c r="W25" s="6">
        <v>12</v>
      </c>
      <c r="X25" s="6">
        <v>12</v>
      </c>
      <c r="Y25" s="6">
        <v>12</v>
      </c>
      <c r="Z25" s="6">
        <v>12</v>
      </c>
    </row>
    <row r="26" spans="2:33" ht="13.2" customHeight="1" x14ac:dyDescent="0.25">
      <c r="B26" s="2">
        <f t="shared" si="0"/>
        <v>24</v>
      </c>
      <c r="C26" s="21">
        <v>77</v>
      </c>
      <c r="D26" s="6">
        <v>12</v>
      </c>
      <c r="E26" s="6">
        <v>12</v>
      </c>
      <c r="F26" s="6">
        <v>12</v>
      </c>
      <c r="G26" s="6">
        <v>12</v>
      </c>
      <c r="H26" s="6">
        <v>12</v>
      </c>
      <c r="I26" s="6">
        <v>12</v>
      </c>
      <c r="J26" s="6">
        <v>12</v>
      </c>
      <c r="K26" s="6">
        <v>12</v>
      </c>
      <c r="L26" s="6">
        <v>12</v>
      </c>
      <c r="M26" s="6">
        <v>12</v>
      </c>
      <c r="N26" s="6">
        <v>12</v>
      </c>
      <c r="O26" s="6">
        <v>12</v>
      </c>
      <c r="P26" s="6">
        <v>12</v>
      </c>
      <c r="Q26" s="6">
        <v>12</v>
      </c>
      <c r="R26" s="6">
        <v>12</v>
      </c>
      <c r="S26" s="6">
        <v>12</v>
      </c>
      <c r="T26" s="6">
        <v>12</v>
      </c>
      <c r="U26" s="6">
        <v>12</v>
      </c>
      <c r="V26" s="6">
        <v>12</v>
      </c>
      <c r="W26" s="6">
        <v>12</v>
      </c>
      <c r="X26" s="6">
        <v>12</v>
      </c>
      <c r="Y26" s="6">
        <v>12</v>
      </c>
      <c r="Z26" s="6">
        <v>12</v>
      </c>
      <c r="AA26" s="6">
        <v>12</v>
      </c>
    </row>
    <row r="27" spans="2:33" ht="13.2" customHeight="1" x14ac:dyDescent="0.25">
      <c r="B27" s="2">
        <f t="shared" si="0"/>
        <v>25</v>
      </c>
      <c r="C27" s="21">
        <v>76</v>
      </c>
      <c r="D27" s="6">
        <v>12</v>
      </c>
      <c r="E27" s="6">
        <v>12</v>
      </c>
      <c r="F27" s="6">
        <v>12</v>
      </c>
      <c r="G27" s="6">
        <v>12</v>
      </c>
      <c r="H27" s="6">
        <v>12</v>
      </c>
      <c r="I27" s="6">
        <v>12</v>
      </c>
      <c r="J27" s="6">
        <v>12</v>
      </c>
      <c r="K27" s="6">
        <v>12</v>
      </c>
      <c r="L27" s="6">
        <v>12</v>
      </c>
      <c r="M27" s="6">
        <v>12</v>
      </c>
      <c r="N27" s="6">
        <v>12</v>
      </c>
      <c r="O27" s="6">
        <v>12</v>
      </c>
      <c r="P27" s="6">
        <v>12</v>
      </c>
      <c r="Q27" s="6">
        <v>12</v>
      </c>
      <c r="R27" s="6">
        <v>12</v>
      </c>
      <c r="S27" s="6">
        <v>12</v>
      </c>
      <c r="T27" s="6">
        <v>12</v>
      </c>
      <c r="U27" s="6">
        <v>12</v>
      </c>
      <c r="V27" s="6">
        <v>12</v>
      </c>
      <c r="W27" s="6">
        <v>12</v>
      </c>
      <c r="X27" s="6">
        <v>12</v>
      </c>
      <c r="Y27" s="6">
        <v>12</v>
      </c>
      <c r="Z27" s="6">
        <v>12</v>
      </c>
      <c r="AA27" s="6">
        <v>12</v>
      </c>
      <c r="AB27" s="6">
        <v>12</v>
      </c>
    </row>
    <row r="28" spans="2:33" ht="13.2" customHeight="1" x14ac:dyDescent="0.25">
      <c r="B28" s="2">
        <f t="shared" si="0"/>
        <v>26</v>
      </c>
      <c r="C28" s="21">
        <v>75</v>
      </c>
      <c r="D28" s="6">
        <v>12</v>
      </c>
      <c r="E28" s="6">
        <v>12</v>
      </c>
      <c r="F28" s="6">
        <v>12</v>
      </c>
      <c r="G28" s="6">
        <v>12</v>
      </c>
      <c r="H28" s="6">
        <v>12</v>
      </c>
      <c r="I28" s="6">
        <v>12</v>
      </c>
      <c r="J28" s="6">
        <v>12</v>
      </c>
      <c r="K28" s="6">
        <v>12</v>
      </c>
      <c r="L28" s="6">
        <v>12</v>
      </c>
      <c r="M28" s="6">
        <v>12</v>
      </c>
      <c r="N28" s="6">
        <v>12</v>
      </c>
      <c r="O28" s="6">
        <v>12</v>
      </c>
      <c r="P28" s="6">
        <v>12</v>
      </c>
      <c r="Q28" s="6">
        <v>12</v>
      </c>
      <c r="R28" s="6">
        <v>12</v>
      </c>
      <c r="S28" s="6">
        <v>12</v>
      </c>
      <c r="T28" s="6">
        <v>12</v>
      </c>
      <c r="U28" s="6">
        <v>12</v>
      </c>
      <c r="V28" s="6">
        <v>12</v>
      </c>
      <c r="W28" s="6">
        <v>12</v>
      </c>
      <c r="X28" s="6">
        <v>12</v>
      </c>
      <c r="Y28" s="6">
        <v>12</v>
      </c>
      <c r="Z28" s="6">
        <v>12</v>
      </c>
      <c r="AA28" s="6">
        <v>12</v>
      </c>
      <c r="AB28" s="6">
        <v>12</v>
      </c>
      <c r="AC28" s="6">
        <v>12</v>
      </c>
    </row>
    <row r="29" spans="2:33" ht="13.2" customHeight="1" x14ac:dyDescent="0.25">
      <c r="B29" s="2">
        <f t="shared" si="0"/>
        <v>27</v>
      </c>
      <c r="C29" s="21">
        <v>74</v>
      </c>
      <c r="D29" s="6">
        <v>12</v>
      </c>
      <c r="E29" s="6">
        <v>12</v>
      </c>
      <c r="F29" s="6">
        <v>12</v>
      </c>
      <c r="G29" s="6">
        <v>12</v>
      </c>
      <c r="H29" s="6">
        <v>12</v>
      </c>
      <c r="I29" s="6">
        <v>12</v>
      </c>
      <c r="J29" s="6">
        <v>12</v>
      </c>
      <c r="K29" s="6">
        <v>12</v>
      </c>
      <c r="L29" s="6">
        <v>12</v>
      </c>
      <c r="M29" s="6">
        <v>12</v>
      </c>
      <c r="N29" s="6">
        <v>12</v>
      </c>
      <c r="O29" s="6">
        <v>12</v>
      </c>
      <c r="P29" s="6">
        <v>12</v>
      </c>
      <c r="Q29" s="6">
        <v>12</v>
      </c>
      <c r="R29" s="6">
        <v>12</v>
      </c>
      <c r="S29" s="6">
        <v>12</v>
      </c>
      <c r="T29" s="6">
        <v>12</v>
      </c>
      <c r="U29" s="6">
        <v>12</v>
      </c>
      <c r="V29" s="6">
        <v>12</v>
      </c>
      <c r="W29" s="6">
        <v>12</v>
      </c>
      <c r="X29" s="6">
        <v>12</v>
      </c>
      <c r="Y29" s="6">
        <v>12</v>
      </c>
      <c r="Z29" s="6">
        <v>12</v>
      </c>
      <c r="AA29" s="6">
        <v>12</v>
      </c>
      <c r="AB29" s="6">
        <v>12</v>
      </c>
      <c r="AC29" s="6">
        <v>12</v>
      </c>
      <c r="AD29" s="6">
        <v>12</v>
      </c>
    </row>
    <row r="30" spans="2:33" ht="13.2" customHeight="1" x14ac:dyDescent="0.25">
      <c r="B30" s="2">
        <f t="shared" si="0"/>
        <v>28</v>
      </c>
      <c r="C30" s="21">
        <v>73</v>
      </c>
      <c r="D30" s="6">
        <v>12</v>
      </c>
      <c r="E30" s="6">
        <v>12</v>
      </c>
      <c r="F30" s="6">
        <v>12</v>
      </c>
      <c r="G30" s="6">
        <v>12</v>
      </c>
      <c r="H30" s="6">
        <v>12</v>
      </c>
      <c r="I30" s="6">
        <v>12</v>
      </c>
      <c r="J30" s="6">
        <v>12</v>
      </c>
      <c r="K30" s="6">
        <v>12</v>
      </c>
      <c r="L30" s="6">
        <v>12</v>
      </c>
      <c r="M30" s="6">
        <v>12</v>
      </c>
      <c r="N30" s="6">
        <v>12</v>
      </c>
      <c r="O30" s="6">
        <v>12</v>
      </c>
      <c r="P30" s="6">
        <v>12</v>
      </c>
      <c r="Q30" s="6">
        <v>12</v>
      </c>
      <c r="R30" s="6">
        <v>12</v>
      </c>
      <c r="S30" s="6">
        <v>12</v>
      </c>
      <c r="T30" s="6">
        <v>12</v>
      </c>
      <c r="U30" s="6">
        <v>12</v>
      </c>
      <c r="V30" s="6">
        <v>12</v>
      </c>
      <c r="W30" s="6">
        <v>12</v>
      </c>
      <c r="X30" s="6">
        <v>12</v>
      </c>
      <c r="Y30" s="6">
        <v>12</v>
      </c>
      <c r="Z30" s="6">
        <v>12</v>
      </c>
      <c r="AA30" s="6">
        <v>12</v>
      </c>
      <c r="AB30" s="6">
        <v>12</v>
      </c>
      <c r="AC30" s="6">
        <v>12</v>
      </c>
      <c r="AD30" s="6">
        <v>12</v>
      </c>
      <c r="AE30" s="6">
        <v>12</v>
      </c>
    </row>
    <row r="31" spans="2:33" ht="13.2" customHeight="1" x14ac:dyDescent="0.25">
      <c r="B31" s="2">
        <f t="shared" si="0"/>
        <v>29</v>
      </c>
      <c r="C31" s="21">
        <v>72</v>
      </c>
      <c r="D31" s="6">
        <v>12</v>
      </c>
      <c r="E31" s="6">
        <v>12</v>
      </c>
      <c r="F31" s="6">
        <v>12</v>
      </c>
      <c r="G31" s="6">
        <v>12</v>
      </c>
      <c r="H31" s="6">
        <v>12</v>
      </c>
      <c r="I31" s="6">
        <v>12</v>
      </c>
      <c r="J31" s="6">
        <v>12</v>
      </c>
      <c r="K31" s="6">
        <v>12</v>
      </c>
      <c r="L31" s="6">
        <v>12</v>
      </c>
      <c r="M31" s="6">
        <v>12</v>
      </c>
      <c r="N31" s="6">
        <v>12</v>
      </c>
      <c r="O31" s="6">
        <v>12</v>
      </c>
      <c r="P31" s="6">
        <v>12</v>
      </c>
      <c r="Q31" s="6">
        <v>12</v>
      </c>
      <c r="R31" s="6">
        <v>12</v>
      </c>
      <c r="S31" s="6">
        <v>12</v>
      </c>
      <c r="T31" s="6">
        <v>12</v>
      </c>
      <c r="U31" s="6">
        <v>12</v>
      </c>
      <c r="V31" s="6">
        <v>12</v>
      </c>
      <c r="W31" s="6">
        <v>12</v>
      </c>
      <c r="X31" s="6">
        <v>12</v>
      </c>
      <c r="Y31" s="6">
        <v>12</v>
      </c>
      <c r="Z31" s="6">
        <v>12</v>
      </c>
      <c r="AA31" s="6">
        <v>12</v>
      </c>
      <c r="AB31" s="6">
        <v>12</v>
      </c>
      <c r="AC31" s="6">
        <v>12</v>
      </c>
      <c r="AD31" s="6">
        <v>12</v>
      </c>
      <c r="AE31" s="6">
        <v>12</v>
      </c>
      <c r="AF31" s="6">
        <v>12</v>
      </c>
    </row>
    <row r="32" spans="2:33" ht="13.2" customHeight="1" x14ac:dyDescent="0.25">
      <c r="B32" s="2">
        <f t="shared" si="0"/>
        <v>30</v>
      </c>
      <c r="C32" s="21">
        <v>71</v>
      </c>
      <c r="D32" s="6">
        <v>12</v>
      </c>
      <c r="E32" s="6">
        <v>12</v>
      </c>
      <c r="F32" s="6">
        <v>12</v>
      </c>
      <c r="G32" s="6">
        <v>12</v>
      </c>
      <c r="H32" s="6">
        <v>12</v>
      </c>
      <c r="I32" s="6">
        <v>12</v>
      </c>
      <c r="J32" s="6">
        <v>12</v>
      </c>
      <c r="K32" s="6">
        <v>12</v>
      </c>
      <c r="L32" s="6">
        <v>12</v>
      </c>
      <c r="M32" s="6">
        <v>12</v>
      </c>
      <c r="N32" s="6">
        <v>12</v>
      </c>
      <c r="O32" s="6">
        <v>12</v>
      </c>
      <c r="P32" s="6">
        <v>12</v>
      </c>
      <c r="Q32" s="6">
        <v>12</v>
      </c>
      <c r="R32" s="6">
        <v>12</v>
      </c>
      <c r="S32" s="6">
        <v>12</v>
      </c>
      <c r="T32" s="6">
        <v>12</v>
      </c>
      <c r="U32" s="6">
        <v>12</v>
      </c>
      <c r="V32" s="6">
        <v>12</v>
      </c>
      <c r="W32" s="6">
        <v>12</v>
      </c>
      <c r="X32" s="6">
        <v>12</v>
      </c>
      <c r="Y32" s="6">
        <v>12</v>
      </c>
      <c r="Z32" s="6">
        <v>12</v>
      </c>
      <c r="AA32" s="6">
        <v>12</v>
      </c>
      <c r="AB32" s="6">
        <v>12</v>
      </c>
      <c r="AC32" s="6">
        <v>12</v>
      </c>
      <c r="AD32" s="6">
        <v>12</v>
      </c>
      <c r="AE32" s="6">
        <v>12</v>
      </c>
      <c r="AF32" s="6">
        <v>12</v>
      </c>
      <c r="AG32" s="6">
        <v>12</v>
      </c>
    </row>
    <row r="33" spans="2:49" ht="13.2" customHeight="1" x14ac:dyDescent="0.25">
      <c r="B33" s="2">
        <f t="shared" si="0"/>
        <v>31</v>
      </c>
      <c r="C33" s="21">
        <v>70</v>
      </c>
      <c r="D33" s="6">
        <v>12</v>
      </c>
      <c r="E33" s="6">
        <v>12</v>
      </c>
      <c r="F33" s="6">
        <v>12</v>
      </c>
      <c r="G33" s="6">
        <v>12</v>
      </c>
      <c r="H33" s="6">
        <v>12</v>
      </c>
      <c r="I33" s="6">
        <v>12</v>
      </c>
      <c r="J33" s="6">
        <v>12</v>
      </c>
      <c r="K33" s="6">
        <v>12</v>
      </c>
      <c r="L33" s="6">
        <v>12</v>
      </c>
      <c r="M33" s="6">
        <v>12</v>
      </c>
      <c r="N33" s="6">
        <v>12</v>
      </c>
      <c r="O33" s="6">
        <v>12</v>
      </c>
      <c r="P33" s="6">
        <v>12</v>
      </c>
      <c r="Q33" s="6">
        <v>12</v>
      </c>
      <c r="R33" s="6">
        <v>12</v>
      </c>
      <c r="S33" s="6">
        <v>12</v>
      </c>
      <c r="T33" s="6">
        <v>12</v>
      </c>
      <c r="U33" s="6">
        <v>12</v>
      </c>
      <c r="V33" s="6">
        <v>12</v>
      </c>
      <c r="W33" s="6">
        <v>12</v>
      </c>
      <c r="X33" s="6">
        <v>12</v>
      </c>
      <c r="Y33" s="6">
        <v>12</v>
      </c>
      <c r="Z33" s="6">
        <v>12</v>
      </c>
      <c r="AA33" s="6">
        <v>12</v>
      </c>
      <c r="AB33" s="6">
        <v>12</v>
      </c>
      <c r="AC33" s="6">
        <v>12</v>
      </c>
      <c r="AD33" s="6">
        <v>12</v>
      </c>
      <c r="AE33" s="6">
        <v>12</v>
      </c>
      <c r="AF33" s="6">
        <v>12</v>
      </c>
      <c r="AG33" s="6">
        <v>12</v>
      </c>
      <c r="AH33" s="6">
        <v>12</v>
      </c>
    </row>
    <row r="34" spans="2:49" ht="13.2" customHeight="1" x14ac:dyDescent="0.25">
      <c r="B34" s="2">
        <f t="shared" si="0"/>
        <v>32</v>
      </c>
      <c r="C34" s="21">
        <v>69</v>
      </c>
      <c r="D34" s="6">
        <v>12</v>
      </c>
      <c r="E34" s="6">
        <v>12</v>
      </c>
      <c r="F34" s="6">
        <v>12</v>
      </c>
      <c r="G34" s="6">
        <v>12</v>
      </c>
      <c r="H34" s="6">
        <v>12</v>
      </c>
      <c r="I34" s="6">
        <v>12</v>
      </c>
      <c r="J34" s="6">
        <v>12</v>
      </c>
      <c r="K34" s="6">
        <v>12</v>
      </c>
      <c r="L34" s="6">
        <v>12</v>
      </c>
      <c r="M34" s="6">
        <v>12</v>
      </c>
      <c r="N34" s="6">
        <v>12</v>
      </c>
      <c r="O34" s="6">
        <v>12</v>
      </c>
      <c r="P34" s="6">
        <v>12</v>
      </c>
      <c r="Q34" s="6">
        <v>12</v>
      </c>
      <c r="R34" s="6">
        <v>12</v>
      </c>
      <c r="S34" s="6">
        <v>12</v>
      </c>
      <c r="T34" s="6">
        <v>12</v>
      </c>
      <c r="U34" s="6">
        <v>12</v>
      </c>
      <c r="V34" s="6">
        <v>12</v>
      </c>
      <c r="W34" s="6">
        <v>12</v>
      </c>
      <c r="X34" s="6">
        <v>12</v>
      </c>
      <c r="Y34" s="6">
        <v>12</v>
      </c>
      <c r="Z34" s="6">
        <v>12</v>
      </c>
      <c r="AA34" s="6">
        <v>12</v>
      </c>
      <c r="AB34" s="6">
        <v>12</v>
      </c>
      <c r="AC34" s="6">
        <v>12</v>
      </c>
      <c r="AD34" s="6">
        <v>12</v>
      </c>
      <c r="AE34" s="6">
        <v>12</v>
      </c>
      <c r="AF34" s="6">
        <v>12</v>
      </c>
      <c r="AG34" s="6">
        <v>12</v>
      </c>
      <c r="AH34" s="6">
        <v>12</v>
      </c>
      <c r="AI34" s="6">
        <v>12</v>
      </c>
    </row>
    <row r="35" spans="2:49" ht="13.2" customHeight="1" x14ac:dyDescent="0.25">
      <c r="B35" s="2">
        <f t="shared" si="0"/>
        <v>33</v>
      </c>
      <c r="C35" s="21">
        <v>68</v>
      </c>
      <c r="D35" s="6">
        <v>12</v>
      </c>
      <c r="E35" s="6">
        <v>12</v>
      </c>
      <c r="F35" s="6">
        <v>12</v>
      </c>
      <c r="G35" s="6">
        <v>12</v>
      </c>
      <c r="H35" s="6">
        <v>12</v>
      </c>
      <c r="I35" s="6">
        <v>12</v>
      </c>
      <c r="J35" s="6">
        <v>12</v>
      </c>
      <c r="K35" s="6">
        <v>12</v>
      </c>
      <c r="L35" s="6">
        <v>12</v>
      </c>
      <c r="M35" s="6">
        <v>12</v>
      </c>
      <c r="N35" s="6">
        <v>12</v>
      </c>
      <c r="O35" s="6">
        <v>12</v>
      </c>
      <c r="P35" s="6">
        <v>12</v>
      </c>
      <c r="Q35" s="6">
        <v>12</v>
      </c>
      <c r="R35" s="6">
        <v>12</v>
      </c>
      <c r="S35" s="6">
        <v>12</v>
      </c>
      <c r="T35" s="6">
        <v>12</v>
      </c>
      <c r="U35" s="6">
        <v>12</v>
      </c>
      <c r="V35" s="6">
        <v>12</v>
      </c>
      <c r="W35" s="6">
        <v>12</v>
      </c>
      <c r="X35" s="6">
        <v>12</v>
      </c>
      <c r="Y35" s="6">
        <v>12</v>
      </c>
      <c r="Z35" s="6">
        <v>12</v>
      </c>
      <c r="AA35" s="6">
        <v>12</v>
      </c>
      <c r="AB35" s="6">
        <v>12</v>
      </c>
      <c r="AC35" s="6">
        <v>12</v>
      </c>
      <c r="AD35" s="6">
        <v>12</v>
      </c>
      <c r="AE35" s="6">
        <v>12</v>
      </c>
      <c r="AF35" s="6">
        <v>12</v>
      </c>
      <c r="AG35" s="6">
        <v>12</v>
      </c>
      <c r="AH35" s="6">
        <v>12</v>
      </c>
      <c r="AI35" s="6">
        <v>12</v>
      </c>
      <c r="AJ35" s="6">
        <v>12</v>
      </c>
    </row>
    <row r="36" spans="2:49" ht="13.2" customHeight="1" x14ac:dyDescent="0.25">
      <c r="B36" s="2">
        <f t="shared" si="0"/>
        <v>34</v>
      </c>
      <c r="C36" s="21">
        <v>67</v>
      </c>
      <c r="D36" s="6">
        <v>12</v>
      </c>
      <c r="E36" s="6">
        <v>12</v>
      </c>
      <c r="F36" s="6">
        <v>12</v>
      </c>
      <c r="G36" s="6">
        <v>12</v>
      </c>
      <c r="H36" s="6">
        <v>12</v>
      </c>
      <c r="I36" s="6">
        <v>12</v>
      </c>
      <c r="J36" s="6">
        <v>12</v>
      </c>
      <c r="K36" s="6">
        <v>12</v>
      </c>
      <c r="L36" s="6">
        <v>12</v>
      </c>
      <c r="M36" s="6">
        <v>12</v>
      </c>
      <c r="N36" s="6">
        <v>12</v>
      </c>
      <c r="O36" s="6">
        <v>12</v>
      </c>
      <c r="P36" s="6">
        <v>12</v>
      </c>
      <c r="Q36" s="6">
        <v>12</v>
      </c>
      <c r="R36" s="6">
        <v>12</v>
      </c>
      <c r="S36" s="6">
        <v>12</v>
      </c>
      <c r="T36" s="6">
        <v>12</v>
      </c>
      <c r="U36" s="6">
        <v>12</v>
      </c>
      <c r="V36" s="6">
        <v>12</v>
      </c>
      <c r="W36" s="6">
        <v>12</v>
      </c>
      <c r="X36" s="6">
        <v>13</v>
      </c>
      <c r="Y36" s="6">
        <v>12</v>
      </c>
      <c r="Z36" s="6">
        <v>12</v>
      </c>
      <c r="AA36" s="6">
        <v>12</v>
      </c>
      <c r="AB36" s="6">
        <v>12</v>
      </c>
      <c r="AC36" s="6">
        <v>12</v>
      </c>
      <c r="AD36" s="6">
        <v>12</v>
      </c>
      <c r="AE36" s="6">
        <v>12</v>
      </c>
      <c r="AF36" s="6">
        <v>12</v>
      </c>
      <c r="AG36" s="6">
        <v>12</v>
      </c>
      <c r="AH36" s="6">
        <v>12</v>
      </c>
      <c r="AI36" s="6">
        <v>12</v>
      </c>
      <c r="AJ36" s="6">
        <v>12</v>
      </c>
      <c r="AK36" s="6">
        <v>12</v>
      </c>
    </row>
    <row r="37" spans="2:49" ht="13.2" customHeight="1" x14ac:dyDescent="0.25">
      <c r="B37" s="2">
        <f t="shared" si="0"/>
        <v>35</v>
      </c>
      <c r="C37" s="21">
        <v>66</v>
      </c>
      <c r="D37" s="6">
        <v>12</v>
      </c>
      <c r="E37" s="6">
        <v>12</v>
      </c>
      <c r="F37" s="6">
        <v>12</v>
      </c>
      <c r="G37" s="6">
        <v>12</v>
      </c>
      <c r="H37" s="6">
        <v>12</v>
      </c>
      <c r="I37" s="6">
        <v>12</v>
      </c>
      <c r="J37" s="6">
        <v>12</v>
      </c>
      <c r="K37" s="6">
        <v>12</v>
      </c>
      <c r="L37" s="6">
        <v>12</v>
      </c>
      <c r="M37" s="6">
        <v>12</v>
      </c>
      <c r="N37" s="6">
        <v>12</v>
      </c>
      <c r="O37" s="6">
        <v>12</v>
      </c>
      <c r="P37" s="6">
        <v>12</v>
      </c>
      <c r="Q37" s="6">
        <v>12</v>
      </c>
      <c r="R37" s="6">
        <v>12</v>
      </c>
      <c r="S37" s="6">
        <v>12</v>
      </c>
      <c r="T37" s="6">
        <v>12</v>
      </c>
      <c r="U37" s="6">
        <v>12</v>
      </c>
      <c r="V37" s="6">
        <v>12</v>
      </c>
      <c r="W37" s="6">
        <v>12</v>
      </c>
      <c r="X37" s="6">
        <v>12</v>
      </c>
      <c r="Y37" s="6">
        <v>12</v>
      </c>
      <c r="Z37" s="6">
        <v>12</v>
      </c>
      <c r="AA37" s="6">
        <v>12</v>
      </c>
      <c r="AB37" s="6">
        <v>12</v>
      </c>
      <c r="AC37" s="6">
        <v>12</v>
      </c>
      <c r="AD37" s="6">
        <v>12</v>
      </c>
      <c r="AE37" s="6">
        <v>12</v>
      </c>
      <c r="AF37" s="6">
        <v>12</v>
      </c>
      <c r="AG37" s="6">
        <v>12</v>
      </c>
      <c r="AH37" s="6">
        <v>12</v>
      </c>
      <c r="AI37" s="6">
        <v>12</v>
      </c>
      <c r="AJ37" s="6">
        <v>12</v>
      </c>
      <c r="AK37" s="6">
        <v>12</v>
      </c>
      <c r="AL37" s="6">
        <v>12</v>
      </c>
    </row>
    <row r="38" spans="2:49" ht="13.2" customHeight="1" x14ac:dyDescent="0.25">
      <c r="B38" s="2">
        <f t="shared" si="0"/>
        <v>36</v>
      </c>
      <c r="C38" s="21">
        <v>65</v>
      </c>
      <c r="D38" s="6">
        <v>12</v>
      </c>
      <c r="E38" s="6">
        <v>12</v>
      </c>
      <c r="F38" s="6">
        <v>12</v>
      </c>
      <c r="G38" s="6">
        <v>12</v>
      </c>
      <c r="H38" s="6">
        <v>12</v>
      </c>
      <c r="I38" s="6">
        <v>12</v>
      </c>
      <c r="J38" s="6">
        <v>12</v>
      </c>
      <c r="K38" s="6">
        <v>12</v>
      </c>
      <c r="L38" s="6">
        <v>12</v>
      </c>
      <c r="M38" s="6">
        <v>12</v>
      </c>
      <c r="N38" s="6">
        <v>12</v>
      </c>
      <c r="O38" s="6">
        <v>12</v>
      </c>
      <c r="P38" s="6">
        <v>12</v>
      </c>
      <c r="Q38" s="6">
        <v>12</v>
      </c>
      <c r="R38" s="6">
        <v>12</v>
      </c>
      <c r="S38" s="6">
        <v>12</v>
      </c>
      <c r="T38" s="6">
        <v>12</v>
      </c>
      <c r="U38" s="6">
        <v>12</v>
      </c>
      <c r="V38" s="6">
        <v>12</v>
      </c>
      <c r="W38" s="6">
        <v>12</v>
      </c>
      <c r="X38" s="6">
        <v>12</v>
      </c>
      <c r="Y38" s="6">
        <v>12</v>
      </c>
      <c r="Z38" s="6">
        <v>12</v>
      </c>
      <c r="AA38" s="6">
        <v>12</v>
      </c>
      <c r="AB38" s="6">
        <v>12</v>
      </c>
      <c r="AC38" s="6">
        <v>12</v>
      </c>
      <c r="AD38" s="6">
        <v>12</v>
      </c>
      <c r="AE38" s="6">
        <v>12</v>
      </c>
      <c r="AF38" s="6">
        <v>12</v>
      </c>
      <c r="AG38" s="6">
        <v>12</v>
      </c>
      <c r="AH38" s="6">
        <v>12</v>
      </c>
      <c r="AI38" s="6">
        <v>12</v>
      </c>
      <c r="AJ38" s="6">
        <v>12</v>
      </c>
      <c r="AK38" s="6">
        <v>12</v>
      </c>
      <c r="AL38" s="6">
        <v>12</v>
      </c>
      <c r="AM38" s="6">
        <v>12</v>
      </c>
    </row>
    <row r="39" spans="2:49" ht="13.2" customHeight="1" x14ac:dyDescent="0.25">
      <c r="B39" s="2">
        <f t="shared" si="0"/>
        <v>37</v>
      </c>
      <c r="C39" s="21">
        <v>64</v>
      </c>
      <c r="D39" s="6">
        <v>12</v>
      </c>
      <c r="E39" s="6">
        <v>12</v>
      </c>
      <c r="F39" s="6">
        <v>12</v>
      </c>
      <c r="G39" s="6">
        <v>12</v>
      </c>
      <c r="H39" s="6">
        <v>12</v>
      </c>
      <c r="I39" s="6">
        <v>12</v>
      </c>
      <c r="J39" s="6">
        <v>12</v>
      </c>
      <c r="K39" s="6">
        <v>12</v>
      </c>
      <c r="L39" s="6">
        <v>12</v>
      </c>
      <c r="M39" s="6">
        <v>12</v>
      </c>
      <c r="N39" s="6">
        <v>12</v>
      </c>
      <c r="O39" s="6">
        <v>12</v>
      </c>
      <c r="P39" s="6">
        <v>12</v>
      </c>
      <c r="Q39" s="6">
        <v>12</v>
      </c>
      <c r="R39" s="6">
        <v>12</v>
      </c>
      <c r="S39" s="6">
        <v>12</v>
      </c>
      <c r="T39" s="6">
        <v>12</v>
      </c>
      <c r="U39" s="6">
        <v>12</v>
      </c>
      <c r="V39" s="6">
        <v>12</v>
      </c>
      <c r="W39" s="6">
        <v>12</v>
      </c>
      <c r="X39" s="6">
        <v>12</v>
      </c>
      <c r="Y39" s="6">
        <v>12</v>
      </c>
      <c r="Z39" s="6">
        <v>12</v>
      </c>
      <c r="AA39" s="6">
        <v>12</v>
      </c>
      <c r="AB39" s="6">
        <v>12</v>
      </c>
      <c r="AC39" s="6">
        <v>12</v>
      </c>
      <c r="AD39" s="6">
        <v>12</v>
      </c>
      <c r="AE39" s="6">
        <v>12</v>
      </c>
      <c r="AF39" s="6">
        <v>12</v>
      </c>
      <c r="AG39" s="6">
        <v>12</v>
      </c>
      <c r="AH39" s="6">
        <v>12</v>
      </c>
      <c r="AI39" s="6">
        <v>12</v>
      </c>
      <c r="AJ39" s="6">
        <v>12</v>
      </c>
      <c r="AK39" s="6">
        <v>12</v>
      </c>
      <c r="AL39" s="6">
        <v>12</v>
      </c>
      <c r="AM39" s="6">
        <v>12</v>
      </c>
      <c r="AN39" s="6">
        <v>12</v>
      </c>
    </row>
    <row r="40" spans="2:49" ht="13.2" customHeight="1" x14ac:dyDescent="0.25">
      <c r="B40" s="2">
        <f t="shared" si="0"/>
        <v>38</v>
      </c>
      <c r="C40" s="21">
        <v>63</v>
      </c>
      <c r="D40" s="6">
        <v>12</v>
      </c>
      <c r="E40" s="6">
        <v>12</v>
      </c>
      <c r="F40" s="6">
        <v>12</v>
      </c>
      <c r="G40" s="6">
        <v>12</v>
      </c>
      <c r="H40" s="6">
        <v>12</v>
      </c>
      <c r="I40" s="6">
        <v>12</v>
      </c>
      <c r="J40" s="6">
        <v>12</v>
      </c>
      <c r="K40" s="6">
        <v>12</v>
      </c>
      <c r="L40" s="6">
        <v>12</v>
      </c>
      <c r="M40" s="6">
        <v>12</v>
      </c>
      <c r="N40" s="6">
        <v>12</v>
      </c>
      <c r="O40" s="6">
        <v>12</v>
      </c>
      <c r="P40" s="6">
        <v>12</v>
      </c>
      <c r="Q40" s="6">
        <v>12</v>
      </c>
      <c r="R40" s="6">
        <v>12</v>
      </c>
      <c r="S40" s="6">
        <v>12</v>
      </c>
      <c r="T40" s="6">
        <v>12</v>
      </c>
      <c r="U40" s="6">
        <v>12</v>
      </c>
      <c r="V40" s="6">
        <v>12</v>
      </c>
      <c r="W40" s="6">
        <v>12</v>
      </c>
      <c r="X40" s="6">
        <v>12</v>
      </c>
      <c r="Y40" s="6">
        <v>12</v>
      </c>
      <c r="Z40" s="6">
        <v>12</v>
      </c>
      <c r="AA40" s="6">
        <v>12</v>
      </c>
      <c r="AB40" s="6">
        <v>12</v>
      </c>
      <c r="AC40" s="6">
        <v>12</v>
      </c>
      <c r="AD40" s="6">
        <v>12</v>
      </c>
      <c r="AE40" s="6">
        <v>12</v>
      </c>
      <c r="AF40" s="6">
        <v>12</v>
      </c>
      <c r="AG40" s="6">
        <v>12</v>
      </c>
      <c r="AH40" s="6">
        <v>12</v>
      </c>
      <c r="AI40" s="6">
        <v>12</v>
      </c>
      <c r="AJ40" s="6">
        <v>12</v>
      </c>
      <c r="AK40" s="6">
        <v>12</v>
      </c>
      <c r="AL40" s="6">
        <v>12</v>
      </c>
      <c r="AM40" s="6">
        <v>12</v>
      </c>
      <c r="AN40" s="6">
        <v>12</v>
      </c>
      <c r="AO40" s="6">
        <v>12</v>
      </c>
    </row>
    <row r="41" spans="2:49" ht="13.2" customHeight="1" x14ac:dyDescent="0.25">
      <c r="B41" s="2">
        <f t="shared" si="0"/>
        <v>39</v>
      </c>
      <c r="C41" s="21">
        <v>62</v>
      </c>
      <c r="D41" s="6">
        <v>12</v>
      </c>
      <c r="E41" s="6">
        <v>12</v>
      </c>
      <c r="F41" s="6">
        <v>12</v>
      </c>
      <c r="G41" s="6">
        <v>12</v>
      </c>
      <c r="H41" s="6">
        <v>12</v>
      </c>
      <c r="I41" s="6">
        <v>12</v>
      </c>
      <c r="J41" s="6">
        <v>12</v>
      </c>
      <c r="K41" s="6">
        <v>12</v>
      </c>
      <c r="L41" s="6">
        <v>12</v>
      </c>
      <c r="M41" s="6">
        <v>12</v>
      </c>
      <c r="N41" s="6">
        <v>12</v>
      </c>
      <c r="O41" s="6">
        <v>12</v>
      </c>
      <c r="P41" s="6">
        <v>12</v>
      </c>
      <c r="Q41" s="6">
        <v>12</v>
      </c>
      <c r="R41" s="6">
        <v>12</v>
      </c>
      <c r="S41" s="6">
        <v>12</v>
      </c>
      <c r="T41" s="6">
        <v>12</v>
      </c>
      <c r="U41" s="6">
        <v>12</v>
      </c>
      <c r="V41" s="6">
        <v>12</v>
      </c>
      <c r="W41" s="6">
        <v>12</v>
      </c>
      <c r="X41" s="6">
        <v>12</v>
      </c>
      <c r="Y41" s="6">
        <v>12</v>
      </c>
      <c r="Z41" s="6">
        <v>12</v>
      </c>
      <c r="AA41" s="6">
        <v>12</v>
      </c>
      <c r="AB41" s="6">
        <v>12</v>
      </c>
      <c r="AC41" s="6">
        <v>12</v>
      </c>
      <c r="AD41" s="6">
        <v>12</v>
      </c>
      <c r="AE41" s="6">
        <v>12</v>
      </c>
      <c r="AF41" s="6">
        <v>12</v>
      </c>
      <c r="AG41" s="6">
        <v>12</v>
      </c>
      <c r="AH41" s="6">
        <v>12</v>
      </c>
      <c r="AI41" s="6">
        <v>12</v>
      </c>
      <c r="AJ41" s="6">
        <v>12</v>
      </c>
      <c r="AK41" s="6">
        <v>12</v>
      </c>
      <c r="AL41" s="6">
        <v>12</v>
      </c>
      <c r="AM41" s="6">
        <v>12</v>
      </c>
      <c r="AN41" s="6">
        <v>12</v>
      </c>
      <c r="AO41" s="6">
        <v>12</v>
      </c>
      <c r="AP41" s="6">
        <v>12</v>
      </c>
    </row>
    <row r="42" spans="2:49" ht="13.2" customHeight="1" x14ac:dyDescent="0.25">
      <c r="B42" s="2">
        <f t="shared" si="0"/>
        <v>40</v>
      </c>
      <c r="C42" s="21">
        <v>61</v>
      </c>
      <c r="D42" s="6">
        <v>12</v>
      </c>
      <c r="E42" s="6">
        <v>12</v>
      </c>
      <c r="F42" s="6">
        <v>12</v>
      </c>
      <c r="G42" s="6">
        <v>12</v>
      </c>
      <c r="H42" s="6">
        <v>12</v>
      </c>
      <c r="I42" s="6">
        <v>12</v>
      </c>
      <c r="J42" s="6">
        <v>12</v>
      </c>
      <c r="K42" s="6">
        <v>12</v>
      </c>
      <c r="L42" s="6">
        <v>12</v>
      </c>
      <c r="M42" s="6">
        <v>12</v>
      </c>
      <c r="N42" s="6">
        <v>12</v>
      </c>
      <c r="O42" s="6">
        <v>12</v>
      </c>
      <c r="P42" s="6">
        <v>12</v>
      </c>
      <c r="Q42" s="6">
        <v>12</v>
      </c>
      <c r="R42" s="6">
        <v>12</v>
      </c>
      <c r="S42" s="6">
        <v>12</v>
      </c>
      <c r="T42" s="6">
        <v>12</v>
      </c>
      <c r="U42" s="6">
        <v>12</v>
      </c>
      <c r="V42" s="6">
        <v>12</v>
      </c>
      <c r="W42" s="6">
        <v>12</v>
      </c>
      <c r="X42" s="6">
        <v>12</v>
      </c>
      <c r="Y42" s="6">
        <v>12</v>
      </c>
      <c r="Z42" s="6">
        <v>12</v>
      </c>
      <c r="AA42" s="6">
        <v>12</v>
      </c>
      <c r="AB42" s="6">
        <v>12</v>
      </c>
      <c r="AC42" s="6">
        <v>12</v>
      </c>
      <c r="AD42" s="6">
        <v>12</v>
      </c>
      <c r="AE42" s="6">
        <v>12</v>
      </c>
      <c r="AF42" s="6">
        <v>12</v>
      </c>
      <c r="AG42" s="6">
        <v>12</v>
      </c>
      <c r="AH42" s="6">
        <v>12</v>
      </c>
      <c r="AI42" s="6">
        <v>12</v>
      </c>
      <c r="AJ42" s="6">
        <v>12</v>
      </c>
      <c r="AK42" s="6">
        <v>12</v>
      </c>
      <c r="AL42" s="6">
        <v>12</v>
      </c>
      <c r="AM42" s="6">
        <v>12</v>
      </c>
      <c r="AN42" s="6">
        <v>12</v>
      </c>
      <c r="AO42" s="6">
        <v>12</v>
      </c>
      <c r="AP42" s="6">
        <v>12</v>
      </c>
      <c r="AQ42" s="6">
        <v>12</v>
      </c>
    </row>
    <row r="43" spans="2:49" ht="13.2" customHeight="1" x14ac:dyDescent="0.25">
      <c r="B43" s="2">
        <f t="shared" si="0"/>
        <v>41</v>
      </c>
      <c r="C43" s="21">
        <v>60</v>
      </c>
      <c r="D43" s="9">
        <v>11</v>
      </c>
      <c r="E43" s="6">
        <v>12</v>
      </c>
      <c r="F43" s="6">
        <v>12</v>
      </c>
      <c r="G43" s="6">
        <v>12</v>
      </c>
      <c r="H43" s="6">
        <v>12</v>
      </c>
      <c r="I43" s="6">
        <v>12</v>
      </c>
      <c r="J43" s="6">
        <v>12</v>
      </c>
      <c r="K43" s="6">
        <v>12</v>
      </c>
      <c r="L43" s="6">
        <v>12</v>
      </c>
      <c r="M43" s="6">
        <v>12</v>
      </c>
      <c r="N43" s="6">
        <v>12</v>
      </c>
      <c r="O43" s="6">
        <v>12</v>
      </c>
      <c r="P43" s="6">
        <v>12</v>
      </c>
      <c r="Q43" s="6">
        <v>12</v>
      </c>
      <c r="R43" s="6">
        <v>12</v>
      </c>
      <c r="S43" s="6">
        <v>12</v>
      </c>
      <c r="T43" s="6">
        <v>12</v>
      </c>
      <c r="U43" s="6">
        <v>12</v>
      </c>
      <c r="V43" s="6">
        <v>12</v>
      </c>
      <c r="W43" s="6">
        <v>12</v>
      </c>
      <c r="X43" s="6">
        <v>12</v>
      </c>
      <c r="Y43" s="6">
        <v>12</v>
      </c>
      <c r="Z43" s="6">
        <v>12</v>
      </c>
      <c r="AA43" s="6">
        <v>12</v>
      </c>
      <c r="AB43" s="6">
        <v>12</v>
      </c>
      <c r="AC43" s="6">
        <v>12</v>
      </c>
      <c r="AD43" s="6">
        <v>12</v>
      </c>
      <c r="AE43" s="6">
        <v>12</v>
      </c>
      <c r="AF43" s="6">
        <v>12</v>
      </c>
      <c r="AG43" s="6">
        <v>12</v>
      </c>
      <c r="AH43" s="6">
        <v>12</v>
      </c>
      <c r="AI43" s="6">
        <v>12</v>
      </c>
      <c r="AJ43" s="6">
        <v>12</v>
      </c>
      <c r="AK43" s="6">
        <v>12</v>
      </c>
      <c r="AL43" s="6">
        <v>12</v>
      </c>
      <c r="AM43" s="6">
        <v>12</v>
      </c>
      <c r="AN43" s="6">
        <v>12</v>
      </c>
      <c r="AO43" s="6">
        <v>12</v>
      </c>
      <c r="AP43" s="6">
        <v>12</v>
      </c>
      <c r="AQ43" s="6">
        <v>12</v>
      </c>
      <c r="AR43" s="6">
        <v>12</v>
      </c>
    </row>
    <row r="44" spans="2:49" ht="13.2" customHeight="1" x14ac:dyDescent="0.25">
      <c r="B44" s="2">
        <f t="shared" si="0"/>
        <v>42</v>
      </c>
      <c r="C44" s="21">
        <v>59</v>
      </c>
      <c r="D44" s="9">
        <v>11</v>
      </c>
      <c r="E44" s="9">
        <v>11</v>
      </c>
      <c r="F44" s="6">
        <v>12</v>
      </c>
      <c r="G44" s="6">
        <v>12</v>
      </c>
      <c r="H44" s="6">
        <v>12</v>
      </c>
      <c r="I44" s="6">
        <v>12</v>
      </c>
      <c r="J44" s="6">
        <v>12</v>
      </c>
      <c r="K44" s="6">
        <v>12</v>
      </c>
      <c r="L44" s="6">
        <v>12</v>
      </c>
      <c r="M44" s="6">
        <v>12</v>
      </c>
      <c r="N44" s="6">
        <v>12</v>
      </c>
      <c r="O44" s="6">
        <v>12</v>
      </c>
      <c r="P44" s="6">
        <v>12</v>
      </c>
      <c r="Q44" s="6">
        <v>12</v>
      </c>
      <c r="R44" s="6">
        <v>12</v>
      </c>
      <c r="S44" s="6">
        <v>12</v>
      </c>
      <c r="T44" s="6">
        <v>12</v>
      </c>
      <c r="U44" s="6">
        <v>12</v>
      </c>
      <c r="V44" s="6">
        <v>12</v>
      </c>
      <c r="W44" s="6">
        <v>12</v>
      </c>
      <c r="X44" s="6">
        <v>12</v>
      </c>
      <c r="Y44" s="6">
        <v>12</v>
      </c>
      <c r="Z44" s="6">
        <v>12</v>
      </c>
      <c r="AA44" s="6">
        <v>12</v>
      </c>
      <c r="AB44" s="6">
        <v>12</v>
      </c>
      <c r="AC44" s="6">
        <v>12</v>
      </c>
      <c r="AD44" s="6">
        <v>12</v>
      </c>
      <c r="AE44" s="6">
        <v>12</v>
      </c>
      <c r="AF44" s="6">
        <v>12</v>
      </c>
      <c r="AG44" s="6">
        <v>12</v>
      </c>
      <c r="AH44" s="6">
        <v>12</v>
      </c>
      <c r="AI44" s="6">
        <v>12</v>
      </c>
      <c r="AJ44" s="6">
        <v>12</v>
      </c>
      <c r="AK44" s="6">
        <v>12</v>
      </c>
      <c r="AL44" s="6">
        <v>12</v>
      </c>
      <c r="AM44" s="6">
        <v>12</v>
      </c>
      <c r="AN44" s="6">
        <v>12</v>
      </c>
      <c r="AO44" s="6">
        <v>12</v>
      </c>
      <c r="AP44" s="6">
        <v>12</v>
      </c>
      <c r="AQ44" s="6">
        <v>12</v>
      </c>
      <c r="AR44" s="6">
        <v>12</v>
      </c>
      <c r="AS44" s="6">
        <v>12</v>
      </c>
    </row>
    <row r="45" spans="2:49" ht="13.2" customHeight="1" x14ac:dyDescent="0.25">
      <c r="B45" s="2">
        <f t="shared" si="0"/>
        <v>43</v>
      </c>
      <c r="C45" s="21">
        <v>58</v>
      </c>
      <c r="D45" s="9">
        <v>11</v>
      </c>
      <c r="E45" s="9">
        <v>11</v>
      </c>
      <c r="F45" s="9">
        <v>11</v>
      </c>
      <c r="G45" s="6">
        <v>12</v>
      </c>
      <c r="H45" s="6">
        <v>12</v>
      </c>
      <c r="I45" s="6">
        <v>12</v>
      </c>
      <c r="J45" s="6">
        <v>12</v>
      </c>
      <c r="K45" s="6">
        <v>12</v>
      </c>
      <c r="L45" s="6">
        <v>12</v>
      </c>
      <c r="M45" s="6">
        <v>12</v>
      </c>
      <c r="N45" s="6">
        <v>12</v>
      </c>
      <c r="O45" s="6">
        <v>12</v>
      </c>
      <c r="P45" s="6">
        <v>12</v>
      </c>
      <c r="Q45" s="6">
        <v>12</v>
      </c>
      <c r="R45" s="6">
        <v>12</v>
      </c>
      <c r="S45" s="6">
        <v>12</v>
      </c>
      <c r="T45" s="6">
        <v>12</v>
      </c>
      <c r="U45" s="6">
        <v>12</v>
      </c>
      <c r="V45" s="6">
        <v>12</v>
      </c>
      <c r="W45" s="6">
        <v>12</v>
      </c>
      <c r="X45" s="6">
        <v>12</v>
      </c>
      <c r="Y45" s="6">
        <v>12</v>
      </c>
      <c r="Z45" s="6">
        <v>12</v>
      </c>
      <c r="AA45" s="6">
        <v>12</v>
      </c>
      <c r="AB45" s="6">
        <v>12</v>
      </c>
      <c r="AC45" s="6">
        <v>12</v>
      </c>
      <c r="AD45" s="6">
        <v>12</v>
      </c>
      <c r="AE45" s="6">
        <v>12</v>
      </c>
      <c r="AF45" s="6">
        <v>12</v>
      </c>
      <c r="AG45" s="6">
        <v>12</v>
      </c>
      <c r="AH45" s="6">
        <v>12</v>
      </c>
      <c r="AI45" s="6">
        <v>12</v>
      </c>
      <c r="AJ45" s="6">
        <v>12</v>
      </c>
      <c r="AK45" s="6">
        <v>12</v>
      </c>
      <c r="AL45" s="6">
        <v>12</v>
      </c>
      <c r="AM45" s="6">
        <v>12</v>
      </c>
      <c r="AN45" s="6">
        <v>12</v>
      </c>
      <c r="AO45" s="6">
        <v>12</v>
      </c>
      <c r="AP45" s="6">
        <v>12</v>
      </c>
      <c r="AQ45" s="6">
        <v>12</v>
      </c>
      <c r="AR45" s="6">
        <v>12</v>
      </c>
      <c r="AS45" s="6">
        <v>12</v>
      </c>
      <c r="AT45" s="6">
        <v>12</v>
      </c>
    </row>
    <row r="46" spans="2:49" ht="13.2" customHeight="1" x14ac:dyDescent="0.25">
      <c r="B46" s="2">
        <f t="shared" si="0"/>
        <v>44</v>
      </c>
      <c r="C46" s="21">
        <v>57</v>
      </c>
      <c r="D46" s="9">
        <v>11</v>
      </c>
      <c r="E46" s="9">
        <v>11</v>
      </c>
      <c r="F46" s="9">
        <v>11</v>
      </c>
      <c r="G46" s="9">
        <v>11</v>
      </c>
      <c r="H46" s="6">
        <v>12</v>
      </c>
      <c r="I46" s="6">
        <v>12</v>
      </c>
      <c r="J46" s="6">
        <v>12</v>
      </c>
      <c r="K46" s="6">
        <v>12</v>
      </c>
      <c r="L46" s="6">
        <v>12</v>
      </c>
      <c r="M46" s="6">
        <v>12</v>
      </c>
      <c r="N46" s="6">
        <v>12</v>
      </c>
      <c r="O46" s="6">
        <v>12</v>
      </c>
      <c r="P46" s="6">
        <v>12</v>
      </c>
      <c r="Q46" s="6">
        <v>12</v>
      </c>
      <c r="R46" s="6">
        <v>12</v>
      </c>
      <c r="S46" s="6">
        <v>12</v>
      </c>
      <c r="T46" s="6">
        <v>12</v>
      </c>
      <c r="U46" s="6">
        <v>12</v>
      </c>
      <c r="V46" s="6">
        <v>12</v>
      </c>
      <c r="W46" s="6">
        <v>12</v>
      </c>
      <c r="X46" s="6">
        <v>12</v>
      </c>
      <c r="Y46" s="6">
        <v>12</v>
      </c>
      <c r="Z46" s="6">
        <v>12</v>
      </c>
      <c r="AA46" s="6">
        <v>12</v>
      </c>
      <c r="AB46" s="6">
        <v>12</v>
      </c>
      <c r="AC46" s="6">
        <v>12</v>
      </c>
      <c r="AD46" s="6">
        <v>12</v>
      </c>
      <c r="AE46" s="6">
        <v>12</v>
      </c>
      <c r="AF46" s="6">
        <v>12</v>
      </c>
      <c r="AG46" s="6">
        <v>12</v>
      </c>
      <c r="AH46" s="6">
        <v>12</v>
      </c>
      <c r="AI46" s="6">
        <v>12</v>
      </c>
      <c r="AJ46" s="6">
        <v>12</v>
      </c>
      <c r="AK46" s="6">
        <v>12</v>
      </c>
      <c r="AL46" s="6">
        <v>12</v>
      </c>
      <c r="AM46" s="6">
        <v>12</v>
      </c>
      <c r="AN46" s="6">
        <v>12</v>
      </c>
      <c r="AO46" s="6">
        <v>12</v>
      </c>
      <c r="AP46" s="6">
        <v>12</v>
      </c>
      <c r="AQ46" s="6">
        <v>12</v>
      </c>
      <c r="AR46" s="6">
        <v>12</v>
      </c>
      <c r="AS46" s="6">
        <v>12</v>
      </c>
      <c r="AT46" s="6">
        <v>12</v>
      </c>
      <c r="AU46" s="6">
        <v>12</v>
      </c>
    </row>
    <row r="47" spans="2:49" ht="13.2" customHeight="1" x14ac:dyDescent="0.25">
      <c r="B47" s="2">
        <f t="shared" si="0"/>
        <v>45</v>
      </c>
      <c r="C47" s="21">
        <v>56</v>
      </c>
      <c r="D47" s="9">
        <v>11</v>
      </c>
      <c r="E47" s="9">
        <v>11</v>
      </c>
      <c r="F47" s="9">
        <v>11</v>
      </c>
      <c r="G47" s="9">
        <v>11</v>
      </c>
      <c r="H47" s="9">
        <v>11</v>
      </c>
      <c r="I47" s="6">
        <v>12</v>
      </c>
      <c r="J47" s="6">
        <v>12</v>
      </c>
      <c r="K47" s="6">
        <v>12</v>
      </c>
      <c r="L47" s="6">
        <v>12</v>
      </c>
      <c r="M47" s="6">
        <v>12</v>
      </c>
      <c r="N47" s="6">
        <v>12</v>
      </c>
      <c r="O47" s="6">
        <v>12</v>
      </c>
      <c r="P47" s="6">
        <v>12</v>
      </c>
      <c r="Q47" s="6">
        <v>12</v>
      </c>
      <c r="R47" s="6">
        <v>12</v>
      </c>
      <c r="S47" s="6">
        <v>12</v>
      </c>
      <c r="T47" s="6">
        <v>12</v>
      </c>
      <c r="U47" s="6">
        <v>12</v>
      </c>
      <c r="V47" s="6">
        <v>12</v>
      </c>
      <c r="W47" s="6">
        <v>12</v>
      </c>
      <c r="X47" s="6">
        <v>12</v>
      </c>
      <c r="Y47" s="6">
        <v>12</v>
      </c>
      <c r="Z47" s="6">
        <v>12</v>
      </c>
      <c r="AA47" s="6">
        <v>12</v>
      </c>
      <c r="AB47" s="6">
        <v>12</v>
      </c>
      <c r="AC47" s="6">
        <v>12</v>
      </c>
      <c r="AD47" s="6">
        <v>12</v>
      </c>
      <c r="AE47" s="6">
        <v>12</v>
      </c>
      <c r="AF47" s="6">
        <v>12</v>
      </c>
      <c r="AG47" s="6">
        <v>12</v>
      </c>
      <c r="AH47" s="6">
        <v>12</v>
      </c>
      <c r="AI47" s="6">
        <v>12</v>
      </c>
      <c r="AJ47" s="6">
        <v>12</v>
      </c>
      <c r="AK47" s="6">
        <v>11</v>
      </c>
      <c r="AL47" s="6">
        <v>12</v>
      </c>
      <c r="AM47" s="6">
        <v>12</v>
      </c>
      <c r="AN47" s="6">
        <v>12</v>
      </c>
      <c r="AO47" s="6">
        <v>12</v>
      </c>
      <c r="AP47" s="6">
        <v>12</v>
      </c>
      <c r="AQ47" s="6">
        <v>12</v>
      </c>
      <c r="AR47" s="6">
        <v>12</v>
      </c>
      <c r="AS47" s="6">
        <v>12</v>
      </c>
      <c r="AT47" s="6">
        <v>12</v>
      </c>
      <c r="AU47" s="6">
        <v>12</v>
      </c>
      <c r="AV47" s="6">
        <v>12</v>
      </c>
    </row>
    <row r="48" spans="2:49" ht="13.2" customHeight="1" x14ac:dyDescent="0.25">
      <c r="B48" s="2">
        <f t="shared" si="0"/>
        <v>46</v>
      </c>
      <c r="C48" s="21">
        <v>55</v>
      </c>
      <c r="D48" s="9">
        <v>11</v>
      </c>
      <c r="E48" s="9">
        <v>11</v>
      </c>
      <c r="F48" s="9">
        <v>11</v>
      </c>
      <c r="G48" s="9">
        <v>11</v>
      </c>
      <c r="H48" s="9">
        <v>11</v>
      </c>
      <c r="I48" s="9">
        <v>11</v>
      </c>
      <c r="J48" s="6">
        <v>12</v>
      </c>
      <c r="K48" s="6">
        <v>12</v>
      </c>
      <c r="L48" s="6">
        <v>12</v>
      </c>
      <c r="M48" s="6">
        <v>12</v>
      </c>
      <c r="N48" s="6">
        <v>12</v>
      </c>
      <c r="O48" s="6">
        <v>12</v>
      </c>
      <c r="P48" s="6">
        <v>12</v>
      </c>
      <c r="Q48" s="6">
        <v>12</v>
      </c>
      <c r="R48" s="6">
        <v>12</v>
      </c>
      <c r="S48" s="6">
        <v>12</v>
      </c>
      <c r="T48" s="6">
        <v>12</v>
      </c>
      <c r="U48" s="6">
        <v>12</v>
      </c>
      <c r="V48" s="6">
        <v>12</v>
      </c>
      <c r="W48" s="6">
        <v>12</v>
      </c>
      <c r="X48" s="6">
        <v>12</v>
      </c>
      <c r="Y48" s="6">
        <v>12</v>
      </c>
      <c r="Z48" s="6">
        <v>12</v>
      </c>
      <c r="AA48" s="6">
        <v>12</v>
      </c>
      <c r="AB48" s="6">
        <v>12</v>
      </c>
      <c r="AC48" s="6">
        <v>12</v>
      </c>
      <c r="AD48" s="6">
        <v>12</v>
      </c>
      <c r="AE48" s="6">
        <v>12</v>
      </c>
      <c r="AF48" s="6">
        <v>12</v>
      </c>
      <c r="AG48" s="6">
        <v>12</v>
      </c>
      <c r="AH48" s="6">
        <v>12</v>
      </c>
      <c r="AI48" s="6">
        <v>12</v>
      </c>
      <c r="AJ48" s="6">
        <v>13</v>
      </c>
      <c r="AK48" s="6">
        <v>12</v>
      </c>
      <c r="AL48" s="6">
        <v>12</v>
      </c>
      <c r="AM48" s="6">
        <v>12</v>
      </c>
      <c r="AN48" s="6">
        <v>12</v>
      </c>
      <c r="AO48" s="6">
        <v>12</v>
      </c>
      <c r="AP48" s="6">
        <v>12</v>
      </c>
      <c r="AQ48" s="6">
        <v>12</v>
      </c>
      <c r="AR48" s="6">
        <v>12</v>
      </c>
      <c r="AS48" s="6">
        <v>12</v>
      </c>
      <c r="AT48" s="6">
        <v>12</v>
      </c>
      <c r="AU48" s="6">
        <v>12</v>
      </c>
      <c r="AV48" s="6">
        <v>12</v>
      </c>
      <c r="AW48" s="6">
        <v>12</v>
      </c>
    </row>
    <row r="49" spans="2:65" ht="13.2" customHeight="1" x14ac:dyDescent="0.25">
      <c r="B49" s="2">
        <f t="shared" si="0"/>
        <v>47</v>
      </c>
      <c r="C49" s="21">
        <v>54</v>
      </c>
      <c r="D49" s="9">
        <v>11</v>
      </c>
      <c r="E49" s="9">
        <v>11</v>
      </c>
      <c r="F49" s="9">
        <v>11</v>
      </c>
      <c r="G49" s="9">
        <v>11</v>
      </c>
      <c r="H49" s="9">
        <v>11</v>
      </c>
      <c r="I49" s="9">
        <v>11</v>
      </c>
      <c r="J49" s="9">
        <v>11</v>
      </c>
      <c r="K49" s="6">
        <v>12</v>
      </c>
      <c r="L49" s="6">
        <v>12</v>
      </c>
      <c r="M49" s="6">
        <v>12</v>
      </c>
      <c r="N49" s="6">
        <v>12</v>
      </c>
      <c r="O49" s="6">
        <v>12</v>
      </c>
      <c r="P49" s="6">
        <v>12</v>
      </c>
      <c r="Q49" s="6">
        <v>12</v>
      </c>
      <c r="R49" s="6">
        <v>12</v>
      </c>
      <c r="S49" s="6">
        <v>12</v>
      </c>
      <c r="T49" s="6">
        <v>12</v>
      </c>
      <c r="U49" s="6">
        <v>12</v>
      </c>
      <c r="V49" s="6">
        <v>12</v>
      </c>
      <c r="W49" s="6">
        <v>12</v>
      </c>
      <c r="X49" s="6">
        <v>12</v>
      </c>
      <c r="Y49" s="6">
        <v>12</v>
      </c>
      <c r="Z49" s="6">
        <v>12</v>
      </c>
      <c r="AA49" s="6">
        <v>12</v>
      </c>
      <c r="AB49" s="6">
        <v>12</v>
      </c>
      <c r="AC49" s="6">
        <v>12</v>
      </c>
      <c r="AD49" s="6">
        <v>12</v>
      </c>
      <c r="AE49" s="6">
        <v>12</v>
      </c>
      <c r="AF49" s="6">
        <v>12</v>
      </c>
      <c r="AG49" s="6">
        <v>12</v>
      </c>
      <c r="AH49" s="6">
        <v>12</v>
      </c>
      <c r="AI49" s="6">
        <v>12</v>
      </c>
      <c r="AJ49" s="6">
        <v>12</v>
      </c>
      <c r="AK49" s="6">
        <v>12</v>
      </c>
      <c r="AL49" s="6">
        <v>12</v>
      </c>
      <c r="AM49" s="6">
        <v>12</v>
      </c>
      <c r="AN49" s="6">
        <v>12</v>
      </c>
      <c r="AO49" s="6">
        <v>12</v>
      </c>
      <c r="AP49" s="6">
        <v>12</v>
      </c>
      <c r="AQ49" s="6">
        <v>12</v>
      </c>
      <c r="AR49" s="6">
        <v>12</v>
      </c>
      <c r="AS49" s="6">
        <v>12</v>
      </c>
      <c r="AT49" s="6">
        <v>12</v>
      </c>
      <c r="AU49" s="6">
        <v>12</v>
      </c>
      <c r="AV49" s="6">
        <v>12</v>
      </c>
      <c r="AW49" s="6">
        <v>12</v>
      </c>
      <c r="AX49" s="1">
        <v>10</v>
      </c>
    </row>
    <row r="50" spans="2:65" ht="13.2" customHeight="1" x14ac:dyDescent="0.25">
      <c r="B50" s="2">
        <f t="shared" si="0"/>
        <v>48</v>
      </c>
      <c r="C50" s="21">
        <v>53</v>
      </c>
      <c r="D50" s="9">
        <v>11</v>
      </c>
      <c r="E50" s="9">
        <v>11</v>
      </c>
      <c r="F50" s="9">
        <v>11</v>
      </c>
      <c r="G50" s="9">
        <v>11</v>
      </c>
      <c r="H50" s="9">
        <v>11</v>
      </c>
      <c r="I50" s="9">
        <v>11</v>
      </c>
      <c r="J50" s="9">
        <v>11</v>
      </c>
      <c r="K50" s="9">
        <v>11</v>
      </c>
      <c r="L50" s="6">
        <v>12</v>
      </c>
      <c r="M50" s="6">
        <v>12</v>
      </c>
      <c r="N50" s="6">
        <v>12</v>
      </c>
      <c r="O50" s="6">
        <v>12</v>
      </c>
      <c r="P50" s="6">
        <v>12</v>
      </c>
      <c r="Q50" s="6">
        <v>12</v>
      </c>
      <c r="R50" s="6">
        <v>12</v>
      </c>
      <c r="S50" s="6">
        <v>12</v>
      </c>
      <c r="T50" s="6">
        <v>12</v>
      </c>
      <c r="U50" s="6">
        <v>12</v>
      </c>
      <c r="V50" s="6">
        <v>12</v>
      </c>
      <c r="W50" s="6">
        <v>12</v>
      </c>
      <c r="X50" s="6">
        <v>12</v>
      </c>
      <c r="Y50" s="6">
        <v>12</v>
      </c>
      <c r="Z50" s="6">
        <v>12</v>
      </c>
      <c r="AA50" s="6">
        <v>12</v>
      </c>
      <c r="AB50" s="6">
        <v>12</v>
      </c>
      <c r="AC50" s="6">
        <v>12</v>
      </c>
      <c r="AD50" s="6">
        <v>12</v>
      </c>
      <c r="AE50" s="6">
        <v>12</v>
      </c>
      <c r="AF50" s="6">
        <v>12</v>
      </c>
      <c r="AG50" s="6">
        <v>12</v>
      </c>
      <c r="AH50" s="6">
        <v>12</v>
      </c>
      <c r="AI50" s="6">
        <v>12</v>
      </c>
      <c r="AJ50" s="6">
        <v>12</v>
      </c>
      <c r="AK50" s="6">
        <v>12</v>
      </c>
      <c r="AL50" s="6">
        <v>12</v>
      </c>
      <c r="AM50" s="6">
        <v>12</v>
      </c>
      <c r="AN50" s="6">
        <v>12</v>
      </c>
      <c r="AO50" s="6">
        <v>12</v>
      </c>
      <c r="AP50" s="6">
        <v>12</v>
      </c>
      <c r="AQ50" s="6">
        <v>12</v>
      </c>
      <c r="AR50" s="6">
        <v>12</v>
      </c>
      <c r="AS50" s="6">
        <v>12</v>
      </c>
      <c r="AT50" s="6">
        <v>12</v>
      </c>
      <c r="AU50" s="6">
        <v>12</v>
      </c>
      <c r="AV50" s="6">
        <v>12</v>
      </c>
      <c r="AW50" s="6">
        <v>12</v>
      </c>
      <c r="AX50" s="1">
        <v>10</v>
      </c>
      <c r="AY50" s="1">
        <v>10</v>
      </c>
    </row>
    <row r="51" spans="2:65" ht="13.2" customHeight="1" x14ac:dyDescent="0.25">
      <c r="B51" s="2">
        <f t="shared" si="0"/>
        <v>49</v>
      </c>
      <c r="C51" s="21">
        <v>52</v>
      </c>
      <c r="D51" s="9">
        <v>11</v>
      </c>
      <c r="E51" s="9">
        <v>11</v>
      </c>
      <c r="F51" s="9">
        <v>11</v>
      </c>
      <c r="G51" s="9">
        <v>11</v>
      </c>
      <c r="H51" s="9">
        <v>11</v>
      </c>
      <c r="I51" s="9">
        <v>11</v>
      </c>
      <c r="J51" s="9">
        <v>11</v>
      </c>
      <c r="K51" s="9">
        <v>11</v>
      </c>
      <c r="L51" s="9">
        <v>11</v>
      </c>
      <c r="M51" s="6">
        <v>12</v>
      </c>
      <c r="N51" s="6">
        <v>12</v>
      </c>
      <c r="O51" s="6">
        <v>12</v>
      </c>
      <c r="P51" s="6">
        <v>12</v>
      </c>
      <c r="Q51" s="6">
        <v>12</v>
      </c>
      <c r="R51" s="6">
        <v>12</v>
      </c>
      <c r="S51" s="6">
        <v>12</v>
      </c>
      <c r="T51" s="6">
        <v>12</v>
      </c>
      <c r="U51" s="6">
        <v>12</v>
      </c>
      <c r="V51" s="6">
        <v>12</v>
      </c>
      <c r="W51" s="6">
        <v>12</v>
      </c>
      <c r="X51" s="6">
        <v>12</v>
      </c>
      <c r="Y51" s="6">
        <v>12</v>
      </c>
      <c r="Z51" s="6">
        <v>12</v>
      </c>
      <c r="AA51" s="6">
        <v>12</v>
      </c>
      <c r="AB51" s="6">
        <v>12</v>
      </c>
      <c r="AC51" s="6">
        <v>12</v>
      </c>
      <c r="AD51" s="6">
        <v>12</v>
      </c>
      <c r="AE51" s="6">
        <v>12</v>
      </c>
      <c r="AF51" s="6">
        <v>12</v>
      </c>
      <c r="AG51" s="6">
        <v>12</v>
      </c>
      <c r="AH51" s="6">
        <v>12</v>
      </c>
      <c r="AI51" s="6">
        <v>12</v>
      </c>
      <c r="AJ51" s="6">
        <v>12</v>
      </c>
      <c r="AK51" s="6">
        <v>12</v>
      </c>
      <c r="AL51" s="6">
        <v>12</v>
      </c>
      <c r="AM51" s="6">
        <v>12</v>
      </c>
      <c r="AN51" s="6">
        <v>12</v>
      </c>
      <c r="AO51" s="6">
        <v>12</v>
      </c>
      <c r="AP51" s="6">
        <v>12</v>
      </c>
      <c r="AQ51" s="6">
        <v>12</v>
      </c>
      <c r="AR51" s="6">
        <v>12</v>
      </c>
      <c r="AS51" s="6">
        <v>12</v>
      </c>
      <c r="AT51" s="6">
        <v>12</v>
      </c>
      <c r="AU51" s="6">
        <v>12</v>
      </c>
      <c r="AV51" s="6">
        <v>12</v>
      </c>
      <c r="AW51" s="6">
        <v>12</v>
      </c>
      <c r="AX51" s="1">
        <v>10</v>
      </c>
      <c r="AY51" s="1">
        <v>10</v>
      </c>
      <c r="AZ51" s="1">
        <v>10</v>
      </c>
    </row>
    <row r="52" spans="2:65" ht="13.2" customHeight="1" x14ac:dyDescent="0.25">
      <c r="B52" s="2">
        <f t="shared" si="0"/>
        <v>50</v>
      </c>
      <c r="C52" s="21">
        <v>51</v>
      </c>
      <c r="D52" s="9">
        <v>11</v>
      </c>
      <c r="E52" s="9">
        <v>11</v>
      </c>
      <c r="F52" s="9">
        <v>11</v>
      </c>
      <c r="G52" s="9">
        <v>11</v>
      </c>
      <c r="H52" s="9">
        <v>11</v>
      </c>
      <c r="I52" s="9">
        <v>11</v>
      </c>
      <c r="J52" s="9">
        <v>11</v>
      </c>
      <c r="K52" s="9">
        <v>11</v>
      </c>
      <c r="L52" s="9">
        <v>11</v>
      </c>
      <c r="M52" s="9">
        <v>11</v>
      </c>
      <c r="N52" s="6">
        <v>12</v>
      </c>
      <c r="O52" s="6">
        <v>12</v>
      </c>
      <c r="P52" s="6">
        <v>12</v>
      </c>
      <c r="Q52" s="6">
        <v>12</v>
      </c>
      <c r="R52" s="6">
        <v>12</v>
      </c>
      <c r="S52" s="6">
        <v>12</v>
      </c>
      <c r="T52" s="6">
        <v>12</v>
      </c>
      <c r="U52" s="6">
        <v>12</v>
      </c>
      <c r="V52" s="6">
        <v>12</v>
      </c>
      <c r="W52" s="6">
        <v>12</v>
      </c>
      <c r="X52" s="6">
        <v>12</v>
      </c>
      <c r="Y52" s="6">
        <v>12</v>
      </c>
      <c r="Z52" s="6">
        <v>12</v>
      </c>
      <c r="AA52" s="6">
        <v>12</v>
      </c>
      <c r="AB52" s="6">
        <v>12</v>
      </c>
      <c r="AC52" s="6">
        <v>12</v>
      </c>
      <c r="AD52" s="6">
        <v>12</v>
      </c>
      <c r="AE52" s="6">
        <v>12</v>
      </c>
      <c r="AF52" s="6">
        <v>12</v>
      </c>
      <c r="AG52" s="6">
        <v>12</v>
      </c>
      <c r="AH52" s="6">
        <v>12</v>
      </c>
      <c r="AI52" s="6">
        <v>12</v>
      </c>
      <c r="AJ52" s="6">
        <v>12</v>
      </c>
      <c r="AK52" s="6">
        <v>12</v>
      </c>
      <c r="AL52" s="6">
        <v>12</v>
      </c>
      <c r="AM52" s="6">
        <v>12</v>
      </c>
      <c r="AN52" s="6">
        <v>12</v>
      </c>
      <c r="AO52" s="6">
        <v>12</v>
      </c>
      <c r="AP52" s="6">
        <v>12</v>
      </c>
      <c r="AQ52" s="6">
        <v>12</v>
      </c>
      <c r="AR52" s="6">
        <v>12</v>
      </c>
      <c r="AS52" s="6">
        <v>12</v>
      </c>
      <c r="AT52" s="6">
        <v>12</v>
      </c>
      <c r="AU52" s="6">
        <v>12</v>
      </c>
      <c r="AV52" s="6">
        <v>12</v>
      </c>
      <c r="AW52" s="6">
        <v>12</v>
      </c>
      <c r="AX52" s="1">
        <v>10</v>
      </c>
      <c r="AY52" s="1">
        <v>10</v>
      </c>
      <c r="AZ52" s="1">
        <v>10</v>
      </c>
      <c r="BA52" s="1">
        <v>10</v>
      </c>
    </row>
    <row r="53" spans="2:65" ht="13.2" customHeight="1" x14ac:dyDescent="0.25">
      <c r="B53" s="2">
        <f t="shared" si="0"/>
        <v>51</v>
      </c>
      <c r="C53" s="21">
        <v>50</v>
      </c>
      <c r="D53" s="9">
        <v>11</v>
      </c>
      <c r="E53" s="9">
        <v>11</v>
      </c>
      <c r="F53" s="9">
        <v>11</v>
      </c>
      <c r="G53" s="9">
        <v>11</v>
      </c>
      <c r="H53" s="9">
        <v>11</v>
      </c>
      <c r="I53" s="9">
        <v>11</v>
      </c>
      <c r="J53" s="9">
        <v>11</v>
      </c>
      <c r="K53" s="9">
        <v>11</v>
      </c>
      <c r="L53" s="9">
        <v>11</v>
      </c>
      <c r="M53" s="9">
        <v>11</v>
      </c>
      <c r="N53" s="9">
        <v>11</v>
      </c>
      <c r="O53" s="6">
        <v>12</v>
      </c>
      <c r="P53" s="6">
        <v>12</v>
      </c>
      <c r="Q53" s="6">
        <v>12</v>
      </c>
      <c r="R53" s="6">
        <v>12</v>
      </c>
      <c r="S53" s="6">
        <v>12</v>
      </c>
      <c r="T53" s="6">
        <v>12</v>
      </c>
      <c r="U53" s="6">
        <v>12</v>
      </c>
      <c r="V53" s="6">
        <v>12</v>
      </c>
      <c r="W53" s="6">
        <v>12</v>
      </c>
      <c r="X53" s="6">
        <v>12</v>
      </c>
      <c r="Y53" s="6">
        <v>12</v>
      </c>
      <c r="Z53" s="6">
        <v>12</v>
      </c>
      <c r="AA53" s="6">
        <v>12</v>
      </c>
      <c r="AB53" s="6">
        <v>12</v>
      </c>
      <c r="AC53" s="6">
        <v>12</v>
      </c>
      <c r="AD53" s="6">
        <v>12</v>
      </c>
      <c r="AE53" s="6">
        <v>12</v>
      </c>
      <c r="AF53" s="6">
        <v>12</v>
      </c>
      <c r="AG53" s="6">
        <v>12</v>
      </c>
      <c r="AH53" s="6">
        <v>12</v>
      </c>
      <c r="AI53" s="6">
        <v>12</v>
      </c>
      <c r="AJ53" s="6">
        <v>12</v>
      </c>
      <c r="AK53" s="6">
        <v>12</v>
      </c>
      <c r="AL53" s="6">
        <v>12</v>
      </c>
      <c r="AM53" s="6">
        <v>12</v>
      </c>
      <c r="AN53" s="6">
        <v>12</v>
      </c>
      <c r="AO53" s="6">
        <v>12</v>
      </c>
      <c r="AP53" s="6">
        <v>12</v>
      </c>
      <c r="AQ53" s="6">
        <v>12</v>
      </c>
      <c r="AR53" s="6">
        <v>12</v>
      </c>
      <c r="AS53" s="6">
        <v>12</v>
      </c>
      <c r="AT53" s="6">
        <v>12</v>
      </c>
      <c r="AU53" s="6">
        <v>12</v>
      </c>
      <c r="AV53" s="6">
        <v>12</v>
      </c>
      <c r="AW53" s="6">
        <v>12</v>
      </c>
      <c r="AX53" s="1">
        <v>10</v>
      </c>
      <c r="AY53" s="1">
        <v>10</v>
      </c>
      <c r="AZ53" s="1">
        <v>10</v>
      </c>
      <c r="BA53" s="1">
        <v>10</v>
      </c>
      <c r="BB53" s="1">
        <v>10</v>
      </c>
    </row>
    <row r="54" spans="2:65" ht="13.2" customHeight="1" x14ac:dyDescent="0.25">
      <c r="B54" s="2">
        <f t="shared" si="0"/>
        <v>52</v>
      </c>
      <c r="C54" s="21">
        <v>49</v>
      </c>
      <c r="D54" s="9">
        <v>11</v>
      </c>
      <c r="E54" s="9">
        <v>11</v>
      </c>
      <c r="F54" s="9">
        <v>11</v>
      </c>
      <c r="G54" s="9">
        <v>11</v>
      </c>
      <c r="H54" s="9">
        <v>11</v>
      </c>
      <c r="I54" s="9">
        <v>11</v>
      </c>
      <c r="J54" s="9">
        <v>11</v>
      </c>
      <c r="K54" s="9">
        <v>11</v>
      </c>
      <c r="L54" s="9">
        <v>11</v>
      </c>
      <c r="M54" s="9">
        <v>11</v>
      </c>
      <c r="N54" s="9">
        <v>11</v>
      </c>
      <c r="O54" s="9">
        <v>11</v>
      </c>
      <c r="P54" s="6">
        <v>12</v>
      </c>
      <c r="Q54" s="6">
        <v>12</v>
      </c>
      <c r="R54" s="6">
        <v>12</v>
      </c>
      <c r="S54" s="6">
        <v>12</v>
      </c>
      <c r="T54" s="6">
        <v>12</v>
      </c>
      <c r="U54" s="6">
        <v>12</v>
      </c>
      <c r="V54" s="6">
        <v>12</v>
      </c>
      <c r="W54" s="6">
        <v>12</v>
      </c>
      <c r="X54" s="6">
        <v>12</v>
      </c>
      <c r="Y54" s="6">
        <v>12</v>
      </c>
      <c r="Z54" s="6">
        <v>12</v>
      </c>
      <c r="AA54" s="6">
        <v>12</v>
      </c>
      <c r="AB54" s="6">
        <v>12</v>
      </c>
      <c r="AC54" s="6">
        <v>12</v>
      </c>
      <c r="AD54" s="6">
        <v>12</v>
      </c>
      <c r="AE54" s="6">
        <v>12</v>
      </c>
      <c r="AF54" s="6">
        <v>12</v>
      </c>
      <c r="AG54" s="6">
        <v>12</v>
      </c>
      <c r="AH54" s="6">
        <v>12</v>
      </c>
      <c r="AI54" s="6">
        <v>12</v>
      </c>
      <c r="AJ54" s="6">
        <v>12</v>
      </c>
      <c r="AK54" s="6">
        <v>12</v>
      </c>
      <c r="AL54" s="6">
        <v>12</v>
      </c>
      <c r="AM54" s="6">
        <v>12</v>
      </c>
      <c r="AN54" s="6">
        <v>12</v>
      </c>
      <c r="AO54" s="6">
        <v>12</v>
      </c>
      <c r="AP54" s="6">
        <v>12</v>
      </c>
      <c r="AQ54" s="6">
        <v>12</v>
      </c>
      <c r="AR54" s="6">
        <v>12</v>
      </c>
      <c r="AS54" s="6">
        <v>12</v>
      </c>
      <c r="AT54" s="6">
        <v>12</v>
      </c>
      <c r="AU54" s="6">
        <v>12</v>
      </c>
      <c r="AV54" s="6">
        <v>12</v>
      </c>
      <c r="AW54" s="6">
        <v>12</v>
      </c>
      <c r="AX54" s="1">
        <v>10</v>
      </c>
      <c r="AY54" s="1">
        <v>10</v>
      </c>
      <c r="AZ54" s="1">
        <v>10</v>
      </c>
      <c r="BA54" s="1">
        <v>10</v>
      </c>
      <c r="BB54" s="1">
        <v>10</v>
      </c>
      <c r="BC54" s="1">
        <v>10</v>
      </c>
    </row>
    <row r="55" spans="2:65" ht="13.2" customHeight="1" x14ac:dyDescent="0.25">
      <c r="B55" s="2">
        <f t="shared" si="0"/>
        <v>53</v>
      </c>
      <c r="C55" s="21">
        <v>48</v>
      </c>
      <c r="D55" s="9">
        <v>11</v>
      </c>
      <c r="E55" s="9">
        <v>11</v>
      </c>
      <c r="F55" s="9">
        <v>11</v>
      </c>
      <c r="G55" s="9">
        <v>11</v>
      </c>
      <c r="H55" s="9">
        <v>11</v>
      </c>
      <c r="I55" s="9">
        <v>11</v>
      </c>
      <c r="J55" s="9">
        <v>11</v>
      </c>
      <c r="K55" s="9">
        <v>11</v>
      </c>
      <c r="L55" s="9">
        <v>11</v>
      </c>
      <c r="M55" s="9">
        <v>11</v>
      </c>
      <c r="N55" s="9">
        <v>11</v>
      </c>
      <c r="O55" s="9">
        <v>11</v>
      </c>
      <c r="P55" s="9">
        <v>11</v>
      </c>
      <c r="Q55" s="6">
        <v>12</v>
      </c>
      <c r="R55" s="6">
        <v>12</v>
      </c>
      <c r="S55" s="6">
        <v>12</v>
      </c>
      <c r="T55" s="6">
        <v>12</v>
      </c>
      <c r="U55" s="6">
        <v>12</v>
      </c>
      <c r="V55" s="6">
        <v>12</v>
      </c>
      <c r="W55" s="6">
        <v>12</v>
      </c>
      <c r="X55" s="6">
        <v>12</v>
      </c>
      <c r="Y55" s="6">
        <v>12</v>
      </c>
      <c r="Z55" s="6">
        <v>12</v>
      </c>
      <c r="AA55" s="6">
        <v>12</v>
      </c>
      <c r="AB55" s="6">
        <v>12</v>
      </c>
      <c r="AC55" s="6">
        <v>12</v>
      </c>
      <c r="AD55" s="6">
        <v>12</v>
      </c>
      <c r="AE55" s="6">
        <v>12</v>
      </c>
      <c r="AF55" s="6">
        <v>12</v>
      </c>
      <c r="AG55" s="6">
        <v>12</v>
      </c>
      <c r="AH55" s="6">
        <v>12</v>
      </c>
      <c r="AI55" s="6">
        <v>12</v>
      </c>
      <c r="AJ55" s="6">
        <v>12</v>
      </c>
      <c r="AK55" s="6">
        <v>12</v>
      </c>
      <c r="AL55" s="6">
        <v>12</v>
      </c>
      <c r="AM55" s="6">
        <v>12</v>
      </c>
      <c r="AN55" s="6">
        <v>12</v>
      </c>
      <c r="AO55" s="6">
        <v>12</v>
      </c>
      <c r="AP55" s="6">
        <v>12</v>
      </c>
      <c r="AQ55" s="6">
        <v>12</v>
      </c>
      <c r="AR55" s="6">
        <v>12</v>
      </c>
      <c r="AS55" s="6">
        <v>12</v>
      </c>
      <c r="AT55" s="6">
        <v>12</v>
      </c>
      <c r="AU55" s="6">
        <v>12</v>
      </c>
      <c r="AV55" s="6">
        <v>12</v>
      </c>
      <c r="AW55" s="6">
        <v>12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</row>
    <row r="56" spans="2:65" ht="13.2" customHeight="1" x14ac:dyDescent="0.25">
      <c r="B56" s="2">
        <f t="shared" si="0"/>
        <v>54</v>
      </c>
      <c r="C56" s="21">
        <v>47</v>
      </c>
      <c r="D56" s="9">
        <v>11</v>
      </c>
      <c r="E56" s="9">
        <v>11</v>
      </c>
      <c r="F56" s="9">
        <v>11</v>
      </c>
      <c r="G56" s="9">
        <v>11</v>
      </c>
      <c r="H56" s="9">
        <v>11</v>
      </c>
      <c r="I56" s="9">
        <v>11</v>
      </c>
      <c r="J56" s="9">
        <v>11</v>
      </c>
      <c r="K56" s="9">
        <v>11</v>
      </c>
      <c r="L56" s="9">
        <v>11</v>
      </c>
      <c r="M56" s="9">
        <v>11</v>
      </c>
      <c r="N56" s="9">
        <v>11</v>
      </c>
      <c r="O56" s="9">
        <v>11</v>
      </c>
      <c r="P56" s="9">
        <v>11</v>
      </c>
      <c r="Q56" s="9">
        <v>11</v>
      </c>
      <c r="R56" s="6">
        <v>12</v>
      </c>
      <c r="S56" s="6">
        <v>12</v>
      </c>
      <c r="T56" s="6">
        <v>12</v>
      </c>
      <c r="U56" s="6">
        <v>12</v>
      </c>
      <c r="V56" s="6">
        <v>12</v>
      </c>
      <c r="W56" s="6">
        <v>12</v>
      </c>
      <c r="X56" s="6">
        <v>12</v>
      </c>
      <c r="Y56" s="6">
        <v>12</v>
      </c>
      <c r="Z56" s="6">
        <v>12</v>
      </c>
      <c r="AA56" s="6">
        <v>12</v>
      </c>
      <c r="AB56" s="6">
        <v>12</v>
      </c>
      <c r="AC56" s="6">
        <v>12</v>
      </c>
      <c r="AD56" s="6">
        <v>12</v>
      </c>
      <c r="AE56" s="6">
        <v>12</v>
      </c>
      <c r="AF56" s="6">
        <v>12</v>
      </c>
      <c r="AG56" s="6">
        <v>12</v>
      </c>
      <c r="AH56" s="6">
        <v>12</v>
      </c>
      <c r="AI56" s="6">
        <v>12</v>
      </c>
      <c r="AJ56" s="6">
        <v>12</v>
      </c>
      <c r="AK56" s="6">
        <v>12</v>
      </c>
      <c r="AL56" s="6">
        <v>12</v>
      </c>
      <c r="AM56" s="6">
        <v>12</v>
      </c>
      <c r="AN56" s="6">
        <v>12</v>
      </c>
      <c r="AO56" s="6">
        <v>12</v>
      </c>
      <c r="AP56" s="6">
        <v>12</v>
      </c>
      <c r="AQ56" s="6">
        <v>12</v>
      </c>
      <c r="AR56" s="6">
        <v>12</v>
      </c>
      <c r="AS56" s="6">
        <v>12</v>
      </c>
      <c r="AT56" s="6">
        <v>12</v>
      </c>
      <c r="AU56" s="6">
        <v>12</v>
      </c>
      <c r="AV56" s="6">
        <v>12</v>
      </c>
      <c r="AW56" s="6">
        <v>12</v>
      </c>
      <c r="AX56" s="1">
        <v>10</v>
      </c>
      <c r="AY56" s="1">
        <v>10</v>
      </c>
      <c r="AZ56" s="1">
        <v>10</v>
      </c>
      <c r="BA56" s="1">
        <v>10</v>
      </c>
      <c r="BB56" s="1">
        <v>10</v>
      </c>
      <c r="BC56" s="1">
        <v>10</v>
      </c>
      <c r="BD56" s="1">
        <v>10</v>
      </c>
      <c r="BE56" s="1">
        <v>10</v>
      </c>
    </row>
    <row r="57" spans="2:65" ht="13.2" customHeight="1" x14ac:dyDescent="0.25">
      <c r="B57" s="2">
        <f t="shared" si="0"/>
        <v>55</v>
      </c>
      <c r="C57" s="21">
        <v>46</v>
      </c>
      <c r="D57" s="9">
        <v>11</v>
      </c>
      <c r="E57" s="9">
        <v>11</v>
      </c>
      <c r="F57" s="9">
        <v>11</v>
      </c>
      <c r="G57" s="9">
        <v>11</v>
      </c>
      <c r="H57" s="9">
        <v>11</v>
      </c>
      <c r="I57" s="9">
        <v>11</v>
      </c>
      <c r="J57" s="9">
        <v>11</v>
      </c>
      <c r="K57" s="9">
        <v>11</v>
      </c>
      <c r="L57" s="9">
        <v>11</v>
      </c>
      <c r="M57" s="9">
        <v>11</v>
      </c>
      <c r="N57" s="9">
        <v>11</v>
      </c>
      <c r="O57" s="9">
        <v>11</v>
      </c>
      <c r="P57" s="9">
        <v>11</v>
      </c>
      <c r="Q57" s="9">
        <v>11</v>
      </c>
      <c r="R57" s="9">
        <v>11</v>
      </c>
      <c r="S57" s="6">
        <v>12</v>
      </c>
      <c r="T57" s="6">
        <v>12</v>
      </c>
      <c r="U57" s="6">
        <v>12</v>
      </c>
      <c r="V57" s="6">
        <v>12</v>
      </c>
      <c r="W57" s="6">
        <v>12</v>
      </c>
      <c r="X57" s="6">
        <v>12</v>
      </c>
      <c r="Y57" s="6">
        <v>12</v>
      </c>
      <c r="Z57" s="6">
        <v>12</v>
      </c>
      <c r="AA57" s="6">
        <v>12</v>
      </c>
      <c r="AB57" s="6">
        <v>12</v>
      </c>
      <c r="AC57" s="6">
        <v>12</v>
      </c>
      <c r="AD57" s="6">
        <v>12</v>
      </c>
      <c r="AE57" s="6">
        <v>12</v>
      </c>
      <c r="AF57" s="6">
        <v>12</v>
      </c>
      <c r="AG57" s="6">
        <v>12</v>
      </c>
      <c r="AH57" s="6">
        <v>12</v>
      </c>
      <c r="AI57" s="6">
        <v>12</v>
      </c>
      <c r="AJ57" s="6">
        <v>12</v>
      </c>
      <c r="AK57" s="6">
        <v>12</v>
      </c>
      <c r="AL57" s="6">
        <v>12</v>
      </c>
      <c r="AM57" s="6">
        <v>12</v>
      </c>
      <c r="AN57" s="6">
        <v>12</v>
      </c>
      <c r="AO57" s="6">
        <v>12</v>
      </c>
      <c r="AP57" s="6">
        <v>12</v>
      </c>
      <c r="AQ57" s="6">
        <v>12</v>
      </c>
      <c r="AR57" s="6">
        <v>12</v>
      </c>
      <c r="AS57" s="6">
        <v>12</v>
      </c>
      <c r="AT57" s="6">
        <v>12</v>
      </c>
      <c r="AU57" s="6">
        <v>12</v>
      </c>
      <c r="AV57" s="6">
        <v>12</v>
      </c>
      <c r="AW57" s="6">
        <v>12</v>
      </c>
      <c r="AX57" s="1">
        <v>10</v>
      </c>
      <c r="AY57" s="1">
        <v>10</v>
      </c>
      <c r="AZ57" s="1">
        <v>10</v>
      </c>
      <c r="BA57" s="1">
        <v>10</v>
      </c>
      <c r="BB57" s="1">
        <v>10</v>
      </c>
      <c r="BC57" s="1">
        <v>10</v>
      </c>
      <c r="BD57" s="1">
        <v>10</v>
      </c>
      <c r="BE57" s="1">
        <v>10</v>
      </c>
      <c r="BF57" s="1">
        <v>10</v>
      </c>
    </row>
    <row r="58" spans="2:65" ht="13.2" customHeight="1" x14ac:dyDescent="0.25">
      <c r="B58" s="2">
        <f t="shared" si="0"/>
        <v>56</v>
      </c>
      <c r="C58" s="21">
        <v>45</v>
      </c>
      <c r="D58" s="9">
        <v>11</v>
      </c>
      <c r="E58" s="9">
        <v>11</v>
      </c>
      <c r="F58" s="9">
        <v>11</v>
      </c>
      <c r="G58" s="9">
        <v>11</v>
      </c>
      <c r="H58" s="9">
        <v>11</v>
      </c>
      <c r="I58" s="9">
        <v>11</v>
      </c>
      <c r="J58" s="9">
        <v>11</v>
      </c>
      <c r="K58" s="9">
        <v>11</v>
      </c>
      <c r="L58" s="9">
        <v>11</v>
      </c>
      <c r="M58" s="9">
        <v>11</v>
      </c>
      <c r="N58" s="9">
        <v>11</v>
      </c>
      <c r="O58" s="9">
        <v>11</v>
      </c>
      <c r="P58" s="9">
        <v>11</v>
      </c>
      <c r="Q58" s="9">
        <v>11</v>
      </c>
      <c r="R58" s="9">
        <v>11</v>
      </c>
      <c r="S58" s="9">
        <v>11</v>
      </c>
      <c r="T58" s="6">
        <v>12</v>
      </c>
      <c r="U58" s="6">
        <v>12</v>
      </c>
      <c r="V58" s="6">
        <v>12</v>
      </c>
      <c r="W58" s="6">
        <v>12</v>
      </c>
      <c r="X58" s="6">
        <v>12</v>
      </c>
      <c r="Y58" s="6">
        <v>12</v>
      </c>
      <c r="Z58" s="6">
        <v>12</v>
      </c>
      <c r="AA58" s="6">
        <v>12</v>
      </c>
      <c r="AB58" s="6">
        <v>12</v>
      </c>
      <c r="AC58" s="6">
        <v>12</v>
      </c>
      <c r="AD58" s="6">
        <v>12</v>
      </c>
      <c r="AE58" s="6">
        <v>12</v>
      </c>
      <c r="AF58" s="6">
        <v>12</v>
      </c>
      <c r="AG58" s="6">
        <v>12</v>
      </c>
      <c r="AH58" s="6">
        <v>12</v>
      </c>
      <c r="AI58" s="6">
        <v>12</v>
      </c>
      <c r="AJ58" s="6">
        <v>12</v>
      </c>
      <c r="AK58" s="6">
        <v>12</v>
      </c>
      <c r="AL58" s="6">
        <v>12</v>
      </c>
      <c r="AM58" s="6">
        <v>12</v>
      </c>
      <c r="AN58" s="6">
        <v>12</v>
      </c>
      <c r="AO58" s="6">
        <v>12</v>
      </c>
      <c r="AP58" s="6">
        <v>12</v>
      </c>
      <c r="AQ58" s="6">
        <v>12</v>
      </c>
      <c r="AR58" s="6">
        <v>12</v>
      </c>
      <c r="AS58" s="6">
        <v>12</v>
      </c>
      <c r="AT58" s="6">
        <v>12</v>
      </c>
      <c r="AU58" s="6">
        <v>12</v>
      </c>
      <c r="AV58" s="6">
        <v>12</v>
      </c>
      <c r="AW58" s="6">
        <v>12</v>
      </c>
      <c r="AX58" s="1">
        <v>10</v>
      </c>
      <c r="AY58" s="1">
        <v>10</v>
      </c>
      <c r="AZ58" s="1">
        <v>10</v>
      </c>
      <c r="BA58" s="1">
        <v>10</v>
      </c>
      <c r="BB58" s="1">
        <v>10</v>
      </c>
      <c r="BC58" s="1">
        <v>10</v>
      </c>
      <c r="BD58" s="1">
        <v>10</v>
      </c>
      <c r="BE58" s="1">
        <v>10</v>
      </c>
      <c r="BF58" s="1">
        <v>10</v>
      </c>
      <c r="BG58" s="1">
        <v>10</v>
      </c>
    </row>
    <row r="59" spans="2:65" ht="13.2" customHeight="1" x14ac:dyDescent="0.25">
      <c r="B59" s="2">
        <f t="shared" si="0"/>
        <v>57</v>
      </c>
      <c r="C59" s="21">
        <v>44</v>
      </c>
      <c r="D59" s="9">
        <v>11</v>
      </c>
      <c r="E59" s="9">
        <v>11</v>
      </c>
      <c r="F59" s="9">
        <v>11</v>
      </c>
      <c r="G59" s="9">
        <v>11</v>
      </c>
      <c r="H59" s="9">
        <v>11</v>
      </c>
      <c r="I59" s="9">
        <v>11</v>
      </c>
      <c r="J59" s="9">
        <v>11</v>
      </c>
      <c r="K59" s="9">
        <v>11</v>
      </c>
      <c r="L59" s="9">
        <v>11</v>
      </c>
      <c r="M59" s="9">
        <v>11</v>
      </c>
      <c r="N59" s="9">
        <v>11</v>
      </c>
      <c r="O59" s="9">
        <v>11</v>
      </c>
      <c r="P59" s="9">
        <v>11</v>
      </c>
      <c r="Q59" s="9">
        <v>11</v>
      </c>
      <c r="R59" s="9">
        <v>11</v>
      </c>
      <c r="S59" s="9">
        <v>11</v>
      </c>
      <c r="T59" s="9">
        <v>11</v>
      </c>
      <c r="U59" s="6">
        <v>12</v>
      </c>
      <c r="V59" s="6">
        <v>12</v>
      </c>
      <c r="W59" s="6">
        <v>12</v>
      </c>
      <c r="X59" s="6">
        <v>12</v>
      </c>
      <c r="Y59" s="6">
        <v>12</v>
      </c>
      <c r="Z59" s="6">
        <v>12</v>
      </c>
      <c r="AA59" s="6">
        <v>12</v>
      </c>
      <c r="AB59" s="6">
        <v>12</v>
      </c>
      <c r="AC59" s="6">
        <v>12</v>
      </c>
      <c r="AD59" s="6">
        <v>12</v>
      </c>
      <c r="AE59" s="6">
        <v>12</v>
      </c>
      <c r="AF59" s="6">
        <v>12</v>
      </c>
      <c r="AG59" s="6">
        <v>12</v>
      </c>
      <c r="AH59" s="6">
        <v>12</v>
      </c>
      <c r="AI59" s="6">
        <v>12</v>
      </c>
      <c r="AJ59" s="6">
        <v>12</v>
      </c>
      <c r="AK59" s="6">
        <v>12</v>
      </c>
      <c r="AL59" s="6">
        <v>12</v>
      </c>
      <c r="AM59" s="6">
        <v>12</v>
      </c>
      <c r="AN59" s="6">
        <v>12</v>
      </c>
      <c r="AO59" s="6">
        <v>12</v>
      </c>
      <c r="AP59" s="6">
        <v>12</v>
      </c>
      <c r="AQ59" s="6">
        <v>12</v>
      </c>
      <c r="AR59" s="6">
        <v>12</v>
      </c>
      <c r="AS59" s="6">
        <v>12</v>
      </c>
      <c r="AT59" s="6">
        <v>12</v>
      </c>
      <c r="AU59" s="6">
        <v>12</v>
      </c>
      <c r="AV59" s="6">
        <v>12</v>
      </c>
      <c r="AW59" s="6">
        <v>12</v>
      </c>
      <c r="AX59" s="1">
        <v>10</v>
      </c>
      <c r="AY59" s="1">
        <v>10</v>
      </c>
      <c r="AZ59" s="1">
        <v>10</v>
      </c>
      <c r="BA59" s="1">
        <v>10</v>
      </c>
      <c r="BB59" s="1">
        <v>10</v>
      </c>
      <c r="BC59" s="1">
        <v>10</v>
      </c>
      <c r="BD59" s="1">
        <v>10</v>
      </c>
      <c r="BE59" s="1">
        <v>10</v>
      </c>
      <c r="BF59" s="1">
        <v>10</v>
      </c>
      <c r="BG59" s="1">
        <v>10</v>
      </c>
      <c r="BH59" s="1">
        <v>10</v>
      </c>
    </row>
    <row r="60" spans="2:65" ht="13.2" customHeight="1" x14ac:dyDescent="0.25">
      <c r="B60" s="2">
        <f t="shared" si="0"/>
        <v>58</v>
      </c>
      <c r="C60" s="21">
        <v>43</v>
      </c>
      <c r="D60" s="9">
        <v>11</v>
      </c>
      <c r="E60" s="9">
        <v>11</v>
      </c>
      <c r="F60" s="9">
        <v>11</v>
      </c>
      <c r="G60" s="9">
        <v>11</v>
      </c>
      <c r="H60" s="9">
        <v>11</v>
      </c>
      <c r="I60" s="9">
        <v>11</v>
      </c>
      <c r="J60" s="9">
        <v>11</v>
      </c>
      <c r="K60" s="9">
        <v>11</v>
      </c>
      <c r="L60" s="9">
        <v>11</v>
      </c>
      <c r="M60" s="9">
        <v>11</v>
      </c>
      <c r="N60" s="9">
        <v>11</v>
      </c>
      <c r="O60" s="9">
        <v>11</v>
      </c>
      <c r="P60" s="9">
        <v>11</v>
      </c>
      <c r="Q60" s="9">
        <v>11</v>
      </c>
      <c r="R60" s="9">
        <v>11</v>
      </c>
      <c r="S60" s="9">
        <v>11</v>
      </c>
      <c r="T60" s="9">
        <v>11</v>
      </c>
      <c r="U60" s="9">
        <v>11</v>
      </c>
      <c r="V60" s="6">
        <v>12</v>
      </c>
      <c r="W60" s="6">
        <v>12</v>
      </c>
      <c r="X60" s="6">
        <v>12</v>
      </c>
      <c r="Y60" s="6">
        <v>12</v>
      </c>
      <c r="Z60" s="6">
        <v>12</v>
      </c>
      <c r="AA60" s="6">
        <v>12</v>
      </c>
      <c r="AB60" s="6">
        <v>12</v>
      </c>
      <c r="AC60" s="6">
        <v>12</v>
      </c>
      <c r="AD60" s="6">
        <v>12</v>
      </c>
      <c r="AE60" s="6">
        <v>12</v>
      </c>
      <c r="AF60" s="6">
        <v>12</v>
      </c>
      <c r="AG60" s="6">
        <v>12</v>
      </c>
      <c r="AH60" s="6">
        <v>12</v>
      </c>
      <c r="AI60" s="6">
        <v>12</v>
      </c>
      <c r="AJ60" s="6">
        <v>12</v>
      </c>
      <c r="AK60" s="6">
        <v>12</v>
      </c>
      <c r="AL60" s="6">
        <v>12</v>
      </c>
      <c r="AM60" s="6">
        <v>12</v>
      </c>
      <c r="AN60" s="6">
        <v>12</v>
      </c>
      <c r="AO60" s="6">
        <v>12</v>
      </c>
      <c r="AP60" s="6">
        <v>12</v>
      </c>
      <c r="AQ60" s="6">
        <v>12</v>
      </c>
      <c r="AR60" s="6">
        <v>12</v>
      </c>
      <c r="AS60" s="6">
        <v>12</v>
      </c>
      <c r="AT60" s="6">
        <v>12</v>
      </c>
      <c r="AU60" s="6">
        <v>12</v>
      </c>
      <c r="AV60" s="6">
        <v>12</v>
      </c>
      <c r="AW60" s="6">
        <v>12</v>
      </c>
      <c r="AX60" s="1">
        <v>10</v>
      </c>
      <c r="AY60" s="1">
        <v>10</v>
      </c>
      <c r="AZ60" s="1">
        <v>10</v>
      </c>
      <c r="BA60" s="1">
        <v>10</v>
      </c>
      <c r="BB60" s="1">
        <v>10</v>
      </c>
      <c r="BC60" s="1">
        <v>10</v>
      </c>
      <c r="BD60" s="1">
        <v>10</v>
      </c>
      <c r="BE60" s="1">
        <v>10</v>
      </c>
      <c r="BF60" s="1">
        <v>10</v>
      </c>
      <c r="BG60" s="1">
        <v>10</v>
      </c>
      <c r="BH60" s="1">
        <v>10</v>
      </c>
      <c r="BI60" s="1">
        <v>10</v>
      </c>
    </row>
    <row r="61" spans="2:65" ht="13.2" customHeight="1" x14ac:dyDescent="0.25">
      <c r="B61" s="2">
        <f t="shared" si="0"/>
        <v>59</v>
      </c>
      <c r="C61" s="21">
        <v>42</v>
      </c>
      <c r="D61" s="9">
        <v>11</v>
      </c>
      <c r="E61" s="9">
        <v>11</v>
      </c>
      <c r="F61" s="9">
        <v>11</v>
      </c>
      <c r="G61" s="9">
        <v>11</v>
      </c>
      <c r="H61" s="9">
        <v>11</v>
      </c>
      <c r="I61" s="9">
        <v>11</v>
      </c>
      <c r="J61" s="9">
        <v>11</v>
      </c>
      <c r="K61" s="9">
        <v>11</v>
      </c>
      <c r="L61" s="9">
        <v>11</v>
      </c>
      <c r="M61" s="9">
        <v>11</v>
      </c>
      <c r="N61" s="9">
        <v>11</v>
      </c>
      <c r="O61" s="9">
        <v>11</v>
      </c>
      <c r="P61" s="9">
        <v>11</v>
      </c>
      <c r="Q61" s="9">
        <v>11</v>
      </c>
      <c r="R61" s="9">
        <v>11</v>
      </c>
      <c r="S61" s="9">
        <v>11</v>
      </c>
      <c r="T61" s="9">
        <v>11</v>
      </c>
      <c r="U61" s="9">
        <v>11</v>
      </c>
      <c r="V61" s="9">
        <v>11</v>
      </c>
      <c r="W61" s="6">
        <v>12</v>
      </c>
      <c r="X61" s="6">
        <v>12</v>
      </c>
      <c r="Y61" s="6">
        <v>12</v>
      </c>
      <c r="Z61" s="6">
        <v>12</v>
      </c>
      <c r="AA61" s="6">
        <v>12</v>
      </c>
      <c r="AB61" s="6">
        <v>12</v>
      </c>
      <c r="AC61" s="6">
        <v>12</v>
      </c>
      <c r="AD61" s="6">
        <v>12</v>
      </c>
      <c r="AE61" s="6">
        <v>12</v>
      </c>
      <c r="AF61" s="6">
        <v>12</v>
      </c>
      <c r="AG61" s="6">
        <v>12</v>
      </c>
      <c r="AH61" s="6">
        <v>12</v>
      </c>
      <c r="AI61" s="6">
        <v>12</v>
      </c>
      <c r="AJ61" s="6">
        <v>12</v>
      </c>
      <c r="AK61" s="6">
        <v>12</v>
      </c>
      <c r="AL61" s="6">
        <v>12</v>
      </c>
      <c r="AM61" s="6">
        <v>12</v>
      </c>
      <c r="AN61" s="6">
        <v>12</v>
      </c>
      <c r="AO61" s="6">
        <v>12</v>
      </c>
      <c r="AP61" s="6">
        <v>12</v>
      </c>
      <c r="AQ61" s="6">
        <v>12</v>
      </c>
      <c r="AR61" s="6">
        <v>12</v>
      </c>
      <c r="AS61" s="6">
        <v>12</v>
      </c>
      <c r="AT61" s="6">
        <v>12</v>
      </c>
      <c r="AU61" s="6">
        <v>12</v>
      </c>
      <c r="AV61" s="6">
        <v>12</v>
      </c>
      <c r="AW61" s="6">
        <v>12</v>
      </c>
      <c r="AX61" s="1">
        <v>10</v>
      </c>
      <c r="AY61" s="1">
        <v>10</v>
      </c>
      <c r="AZ61" s="1">
        <v>10</v>
      </c>
      <c r="BA61" s="1">
        <v>10</v>
      </c>
      <c r="BB61" s="1">
        <v>10</v>
      </c>
      <c r="BC61" s="1">
        <v>10</v>
      </c>
      <c r="BD61" s="1">
        <v>10</v>
      </c>
      <c r="BE61" s="1">
        <v>10</v>
      </c>
      <c r="BF61" s="1">
        <v>10</v>
      </c>
      <c r="BG61" s="1">
        <v>10</v>
      </c>
      <c r="BH61" s="1">
        <v>10</v>
      </c>
      <c r="BI61" s="1">
        <v>10</v>
      </c>
      <c r="BJ61" s="1">
        <v>10</v>
      </c>
    </row>
    <row r="62" spans="2:65" ht="13.2" customHeight="1" x14ac:dyDescent="0.25">
      <c r="B62" s="2">
        <f t="shared" si="0"/>
        <v>60</v>
      </c>
      <c r="C62" s="21">
        <v>41</v>
      </c>
      <c r="D62" s="9">
        <v>11</v>
      </c>
      <c r="E62" s="9">
        <v>11</v>
      </c>
      <c r="F62" s="9">
        <v>11</v>
      </c>
      <c r="G62" s="9">
        <v>11</v>
      </c>
      <c r="H62" s="9">
        <v>11</v>
      </c>
      <c r="I62" s="9">
        <v>11</v>
      </c>
      <c r="J62" s="9">
        <v>11</v>
      </c>
      <c r="K62" s="9">
        <v>11</v>
      </c>
      <c r="L62" s="9">
        <v>11</v>
      </c>
      <c r="M62" s="9">
        <v>11</v>
      </c>
      <c r="N62" s="9">
        <v>11</v>
      </c>
      <c r="O62" s="9">
        <v>11</v>
      </c>
      <c r="P62" s="9">
        <v>11</v>
      </c>
      <c r="Q62" s="9">
        <v>11</v>
      </c>
      <c r="R62" s="9">
        <v>11</v>
      </c>
      <c r="S62" s="9">
        <v>11</v>
      </c>
      <c r="T62" s="9">
        <v>11</v>
      </c>
      <c r="U62" s="9">
        <v>11</v>
      </c>
      <c r="V62" s="9">
        <v>11</v>
      </c>
      <c r="W62" s="9">
        <v>11</v>
      </c>
      <c r="X62" s="6">
        <v>12</v>
      </c>
      <c r="Y62" s="6">
        <v>12</v>
      </c>
      <c r="Z62" s="6">
        <v>12</v>
      </c>
      <c r="AA62" s="6">
        <v>12</v>
      </c>
      <c r="AB62" s="6">
        <v>12</v>
      </c>
      <c r="AC62" s="6">
        <v>12</v>
      </c>
      <c r="AD62" s="6">
        <v>12</v>
      </c>
      <c r="AE62" s="6">
        <v>12</v>
      </c>
      <c r="AF62" s="6">
        <v>12</v>
      </c>
      <c r="AG62" s="6">
        <v>12</v>
      </c>
      <c r="AH62" s="6">
        <v>12</v>
      </c>
      <c r="AI62" s="6">
        <v>12</v>
      </c>
      <c r="AJ62" s="6">
        <v>12</v>
      </c>
      <c r="AK62" s="6">
        <v>12</v>
      </c>
      <c r="AL62" s="6">
        <v>12</v>
      </c>
      <c r="AM62" s="6">
        <v>12</v>
      </c>
      <c r="AN62" s="6">
        <v>12</v>
      </c>
      <c r="AO62" s="6">
        <v>12</v>
      </c>
      <c r="AP62" s="6">
        <v>12</v>
      </c>
      <c r="AQ62" s="6">
        <v>12</v>
      </c>
      <c r="AR62" s="6">
        <v>12</v>
      </c>
      <c r="AS62" s="6">
        <v>12</v>
      </c>
      <c r="AT62" s="6">
        <v>12</v>
      </c>
      <c r="AU62" s="6">
        <v>12</v>
      </c>
      <c r="AV62" s="6">
        <v>12</v>
      </c>
      <c r="AW62" s="6">
        <v>12</v>
      </c>
      <c r="AX62" s="1">
        <v>10</v>
      </c>
      <c r="AY62" s="1">
        <v>10</v>
      </c>
      <c r="AZ62" s="1">
        <v>10</v>
      </c>
      <c r="BA62" s="1">
        <v>10</v>
      </c>
      <c r="BB62" s="1">
        <v>10</v>
      </c>
      <c r="BC62" s="1">
        <v>10</v>
      </c>
      <c r="BD62" s="1">
        <v>10</v>
      </c>
      <c r="BE62" s="1">
        <v>10</v>
      </c>
      <c r="BF62" s="1">
        <v>10</v>
      </c>
      <c r="BG62" s="1">
        <v>10</v>
      </c>
      <c r="BH62" s="1">
        <v>10</v>
      </c>
      <c r="BI62" s="1">
        <v>10</v>
      </c>
      <c r="BJ62" s="1">
        <v>10</v>
      </c>
      <c r="BK62" s="1">
        <v>10</v>
      </c>
    </row>
    <row r="63" spans="2:65" ht="13.2" customHeight="1" x14ac:dyDescent="0.25">
      <c r="B63" s="2">
        <f t="shared" si="0"/>
        <v>61</v>
      </c>
      <c r="C63" s="21">
        <v>40</v>
      </c>
      <c r="D63" s="2">
        <v>9</v>
      </c>
      <c r="E63" s="2">
        <v>9</v>
      </c>
      <c r="F63" s="2">
        <v>9</v>
      </c>
      <c r="G63" s="2">
        <v>9</v>
      </c>
      <c r="H63" s="2">
        <v>9</v>
      </c>
      <c r="I63" s="2">
        <v>9</v>
      </c>
      <c r="J63" s="2">
        <v>9</v>
      </c>
      <c r="K63" s="2">
        <v>9</v>
      </c>
      <c r="L63" s="2">
        <v>9</v>
      </c>
      <c r="M63" s="2">
        <v>9</v>
      </c>
      <c r="N63" s="2">
        <v>9</v>
      </c>
      <c r="O63" s="2">
        <v>9</v>
      </c>
      <c r="P63" s="2">
        <v>9</v>
      </c>
      <c r="Q63" s="2">
        <v>9</v>
      </c>
      <c r="R63" s="2">
        <v>9</v>
      </c>
      <c r="S63" s="2">
        <v>9</v>
      </c>
      <c r="T63" s="2">
        <v>9</v>
      </c>
      <c r="U63" s="2">
        <v>9</v>
      </c>
      <c r="V63" s="2">
        <v>9</v>
      </c>
      <c r="W63" s="2">
        <v>9</v>
      </c>
      <c r="X63" s="2">
        <v>9</v>
      </c>
      <c r="Y63" s="22">
        <v>8</v>
      </c>
      <c r="Z63" s="22">
        <v>8</v>
      </c>
      <c r="AA63" s="22">
        <v>8</v>
      </c>
      <c r="AB63" s="22">
        <v>8</v>
      </c>
      <c r="AC63" s="22">
        <v>8</v>
      </c>
      <c r="AD63" s="22">
        <v>8</v>
      </c>
      <c r="AE63" s="22">
        <v>8</v>
      </c>
      <c r="AF63" s="22">
        <v>8</v>
      </c>
      <c r="AG63" s="22">
        <v>8</v>
      </c>
      <c r="AH63" s="22">
        <v>8</v>
      </c>
      <c r="AI63" s="22">
        <v>8</v>
      </c>
      <c r="AJ63" s="22">
        <v>8</v>
      </c>
      <c r="AK63" s="22">
        <v>8</v>
      </c>
      <c r="AL63" s="22">
        <v>8</v>
      </c>
      <c r="AM63" s="22">
        <v>8</v>
      </c>
      <c r="AN63" s="22">
        <v>8</v>
      </c>
      <c r="AO63" s="22">
        <v>8</v>
      </c>
      <c r="AP63" s="22">
        <v>8</v>
      </c>
      <c r="AQ63" s="22">
        <v>8</v>
      </c>
      <c r="AR63" s="22">
        <v>8</v>
      </c>
      <c r="AS63" s="22">
        <v>8</v>
      </c>
      <c r="AT63" s="22">
        <v>8</v>
      </c>
      <c r="AU63" s="22">
        <v>8</v>
      </c>
      <c r="AV63" s="22">
        <v>8</v>
      </c>
      <c r="AW63" s="22">
        <v>8</v>
      </c>
      <c r="AX63" s="1">
        <v>10</v>
      </c>
      <c r="AY63" s="1">
        <v>10</v>
      </c>
      <c r="AZ63" s="1">
        <v>10</v>
      </c>
      <c r="BA63" s="1">
        <v>10</v>
      </c>
      <c r="BB63" s="1">
        <v>10</v>
      </c>
      <c r="BC63" s="1">
        <v>10</v>
      </c>
      <c r="BD63" s="1">
        <v>10</v>
      </c>
      <c r="BE63" s="1">
        <v>10</v>
      </c>
      <c r="BF63" s="1">
        <v>10</v>
      </c>
      <c r="BG63" s="1">
        <v>10</v>
      </c>
      <c r="BH63" s="1">
        <v>10</v>
      </c>
      <c r="BI63" s="1">
        <v>10</v>
      </c>
      <c r="BJ63" s="1">
        <v>10</v>
      </c>
      <c r="BK63" s="1">
        <v>10</v>
      </c>
      <c r="BL63" s="1">
        <v>10</v>
      </c>
    </row>
    <row r="64" spans="2:65" ht="13.2" customHeight="1" x14ac:dyDescent="0.25">
      <c r="B64" s="2">
        <f t="shared" si="0"/>
        <v>62</v>
      </c>
      <c r="C64" s="21">
        <v>39</v>
      </c>
      <c r="D64" s="2">
        <v>9</v>
      </c>
      <c r="E64" s="2">
        <v>9</v>
      </c>
      <c r="F64" s="2">
        <v>9</v>
      </c>
      <c r="G64" s="2">
        <v>9</v>
      </c>
      <c r="H64" s="2">
        <v>9</v>
      </c>
      <c r="I64" s="2">
        <v>9</v>
      </c>
      <c r="J64" s="2">
        <v>9</v>
      </c>
      <c r="K64" s="2">
        <v>9</v>
      </c>
      <c r="L64" s="2">
        <v>9</v>
      </c>
      <c r="M64" s="2">
        <v>9</v>
      </c>
      <c r="N64" s="2">
        <v>9</v>
      </c>
      <c r="O64" s="2">
        <v>9</v>
      </c>
      <c r="P64" s="2">
        <v>9</v>
      </c>
      <c r="Q64" s="2">
        <v>9</v>
      </c>
      <c r="R64" s="2">
        <v>9</v>
      </c>
      <c r="S64" s="2">
        <v>9</v>
      </c>
      <c r="T64" s="2">
        <v>9</v>
      </c>
      <c r="U64" s="2">
        <v>9</v>
      </c>
      <c r="V64" s="2">
        <v>9</v>
      </c>
      <c r="W64" s="2">
        <v>9</v>
      </c>
      <c r="X64" s="2">
        <v>9</v>
      </c>
      <c r="Y64" s="22">
        <v>8</v>
      </c>
      <c r="Z64" s="22">
        <v>8</v>
      </c>
      <c r="AA64" s="22">
        <v>8</v>
      </c>
      <c r="AB64" s="22">
        <v>8</v>
      </c>
      <c r="AC64" s="22">
        <v>8</v>
      </c>
      <c r="AD64" s="22">
        <v>8</v>
      </c>
      <c r="AE64" s="22">
        <v>8</v>
      </c>
      <c r="AF64" s="22">
        <v>8</v>
      </c>
      <c r="AG64" s="22">
        <v>8</v>
      </c>
      <c r="AH64" s="22">
        <v>8</v>
      </c>
      <c r="AI64" s="22">
        <v>8</v>
      </c>
      <c r="AJ64" s="22">
        <v>8</v>
      </c>
      <c r="AK64" s="22">
        <v>8</v>
      </c>
      <c r="AL64" s="22">
        <v>8</v>
      </c>
      <c r="AM64" s="22">
        <v>8</v>
      </c>
      <c r="AN64" s="22">
        <v>8</v>
      </c>
      <c r="AO64" s="22">
        <v>8</v>
      </c>
      <c r="AP64" s="22">
        <v>8</v>
      </c>
      <c r="AQ64" s="22">
        <v>8</v>
      </c>
      <c r="AR64" s="22">
        <v>8</v>
      </c>
      <c r="AS64" s="22">
        <v>8</v>
      </c>
      <c r="AT64" s="22">
        <v>8</v>
      </c>
      <c r="AU64" s="22">
        <v>8</v>
      </c>
      <c r="AV64" s="22">
        <v>8</v>
      </c>
      <c r="AW64" s="22">
        <v>8</v>
      </c>
      <c r="AX64" s="1">
        <v>10</v>
      </c>
      <c r="AY64" s="1">
        <v>10</v>
      </c>
      <c r="AZ64" s="1">
        <v>10</v>
      </c>
      <c r="BA64" s="1">
        <v>10</v>
      </c>
      <c r="BB64" s="1">
        <v>10</v>
      </c>
      <c r="BC64" s="1">
        <v>10</v>
      </c>
      <c r="BD64" s="1">
        <v>10</v>
      </c>
      <c r="BE64" s="1">
        <v>10</v>
      </c>
      <c r="BF64" s="1">
        <v>10</v>
      </c>
      <c r="BG64" s="1">
        <v>10</v>
      </c>
      <c r="BH64" s="1">
        <v>10</v>
      </c>
      <c r="BI64" s="1">
        <v>10</v>
      </c>
      <c r="BJ64" s="1">
        <v>10</v>
      </c>
      <c r="BK64" s="1">
        <v>10</v>
      </c>
      <c r="BL64" s="1">
        <v>10</v>
      </c>
      <c r="BM64" s="1">
        <v>10</v>
      </c>
    </row>
    <row r="65" spans="2:81" ht="13.2" customHeight="1" x14ac:dyDescent="0.25">
      <c r="B65" s="2">
        <f t="shared" si="0"/>
        <v>63</v>
      </c>
      <c r="C65" s="21">
        <v>38</v>
      </c>
      <c r="D65" s="2">
        <v>9</v>
      </c>
      <c r="E65" s="2">
        <v>9</v>
      </c>
      <c r="F65" s="2">
        <v>9</v>
      </c>
      <c r="G65" s="2">
        <v>9</v>
      </c>
      <c r="H65" s="2">
        <v>9</v>
      </c>
      <c r="I65" s="2">
        <v>9</v>
      </c>
      <c r="J65" s="2">
        <v>9</v>
      </c>
      <c r="K65" s="2">
        <v>9</v>
      </c>
      <c r="L65" s="2">
        <v>9</v>
      </c>
      <c r="M65" s="2">
        <v>9</v>
      </c>
      <c r="N65" s="2">
        <v>9</v>
      </c>
      <c r="O65" s="2">
        <v>9</v>
      </c>
      <c r="P65" s="2">
        <v>9</v>
      </c>
      <c r="Q65" s="2">
        <v>9</v>
      </c>
      <c r="R65" s="2">
        <v>9</v>
      </c>
      <c r="S65" s="2">
        <v>9</v>
      </c>
      <c r="T65" s="2">
        <v>9</v>
      </c>
      <c r="U65" s="2">
        <v>9</v>
      </c>
      <c r="V65" s="2">
        <v>9</v>
      </c>
      <c r="W65" s="2">
        <v>9</v>
      </c>
      <c r="X65" s="2">
        <v>9</v>
      </c>
      <c r="Y65" s="22">
        <v>8</v>
      </c>
      <c r="Z65" s="22">
        <v>8</v>
      </c>
      <c r="AA65" s="22">
        <v>8</v>
      </c>
      <c r="AB65" s="22">
        <v>8</v>
      </c>
      <c r="AC65" s="22">
        <v>8</v>
      </c>
      <c r="AD65" s="22">
        <v>8</v>
      </c>
      <c r="AE65" s="22">
        <v>8</v>
      </c>
      <c r="AF65" s="22">
        <v>8</v>
      </c>
      <c r="AG65" s="22">
        <v>8</v>
      </c>
      <c r="AH65" s="22">
        <v>8</v>
      </c>
      <c r="AI65" s="22">
        <v>8</v>
      </c>
      <c r="AJ65" s="22">
        <v>8</v>
      </c>
      <c r="AK65" s="22">
        <v>8</v>
      </c>
      <c r="AL65" s="22">
        <v>8</v>
      </c>
      <c r="AM65" s="22">
        <v>8</v>
      </c>
      <c r="AN65" s="22">
        <v>8</v>
      </c>
      <c r="AO65" s="22">
        <v>8</v>
      </c>
      <c r="AP65" s="22">
        <v>8</v>
      </c>
      <c r="AQ65" s="22">
        <v>8</v>
      </c>
      <c r="AR65" s="22">
        <v>8</v>
      </c>
      <c r="AS65" s="22">
        <v>8</v>
      </c>
      <c r="AT65" s="22">
        <v>8</v>
      </c>
      <c r="AU65" s="22">
        <v>8</v>
      </c>
      <c r="AV65" s="22">
        <v>8</v>
      </c>
      <c r="AW65" s="22">
        <v>8</v>
      </c>
      <c r="AX65" s="1">
        <v>10</v>
      </c>
      <c r="AY65" s="1">
        <v>10</v>
      </c>
      <c r="AZ65" s="1">
        <v>10</v>
      </c>
      <c r="BA65" s="1">
        <v>10</v>
      </c>
      <c r="BB65" s="1">
        <v>10</v>
      </c>
      <c r="BC65" s="1">
        <v>10</v>
      </c>
      <c r="BD65" s="1">
        <v>10</v>
      </c>
      <c r="BE65" s="1">
        <v>10</v>
      </c>
      <c r="BF65" s="1">
        <v>10</v>
      </c>
      <c r="BG65" s="1">
        <v>10</v>
      </c>
      <c r="BH65" s="1">
        <v>10</v>
      </c>
      <c r="BI65" s="1">
        <v>10</v>
      </c>
      <c r="BJ65" s="1">
        <v>10</v>
      </c>
      <c r="BK65" s="1">
        <v>10</v>
      </c>
      <c r="BL65" s="1">
        <v>10</v>
      </c>
      <c r="BM65" s="1">
        <v>10</v>
      </c>
      <c r="BN65" s="1">
        <v>10</v>
      </c>
    </row>
    <row r="66" spans="2:81" ht="13.2" customHeight="1" x14ac:dyDescent="0.25">
      <c r="B66" s="2">
        <f t="shared" si="0"/>
        <v>64</v>
      </c>
      <c r="C66" s="21">
        <v>37</v>
      </c>
      <c r="D66" s="2">
        <v>9</v>
      </c>
      <c r="E66" s="2">
        <v>9</v>
      </c>
      <c r="F66" s="2">
        <v>9</v>
      </c>
      <c r="G66" s="2">
        <v>9</v>
      </c>
      <c r="H66" s="2">
        <v>9</v>
      </c>
      <c r="I66" s="2">
        <v>9</v>
      </c>
      <c r="J66" s="2">
        <v>9</v>
      </c>
      <c r="K66" s="2">
        <v>9</v>
      </c>
      <c r="L66" s="2">
        <v>9</v>
      </c>
      <c r="M66" s="2">
        <v>9</v>
      </c>
      <c r="N66" s="2">
        <v>9</v>
      </c>
      <c r="O66" s="2">
        <v>9</v>
      </c>
      <c r="P66" s="2">
        <v>9</v>
      </c>
      <c r="Q66" s="2">
        <v>9</v>
      </c>
      <c r="R66" s="2">
        <v>9</v>
      </c>
      <c r="S66" s="2">
        <v>9</v>
      </c>
      <c r="T66" s="2">
        <v>9</v>
      </c>
      <c r="U66" s="2">
        <v>9</v>
      </c>
      <c r="V66" s="2">
        <v>9</v>
      </c>
      <c r="W66" s="2">
        <v>9</v>
      </c>
      <c r="X66" s="2">
        <v>9</v>
      </c>
      <c r="Y66" s="22">
        <v>8</v>
      </c>
      <c r="Z66" s="22">
        <v>8</v>
      </c>
      <c r="AA66" s="22">
        <v>8</v>
      </c>
      <c r="AB66" s="22">
        <v>8</v>
      </c>
      <c r="AC66" s="22">
        <v>8</v>
      </c>
      <c r="AD66" s="22">
        <v>8</v>
      </c>
      <c r="AE66" s="22">
        <v>8</v>
      </c>
      <c r="AF66" s="22">
        <v>8</v>
      </c>
      <c r="AG66" s="22">
        <v>8</v>
      </c>
      <c r="AH66" s="22">
        <v>8</v>
      </c>
      <c r="AI66" s="22">
        <v>8</v>
      </c>
      <c r="AJ66" s="22">
        <v>8</v>
      </c>
      <c r="AK66" s="22">
        <v>8</v>
      </c>
      <c r="AL66" s="22">
        <v>8</v>
      </c>
      <c r="AM66" s="22">
        <v>8</v>
      </c>
      <c r="AN66" s="22">
        <v>8</v>
      </c>
      <c r="AO66" s="22">
        <v>8</v>
      </c>
      <c r="AP66" s="22">
        <v>8</v>
      </c>
      <c r="AQ66" s="22">
        <v>8</v>
      </c>
      <c r="AR66" s="22">
        <v>8</v>
      </c>
      <c r="AS66" s="22">
        <v>8</v>
      </c>
      <c r="AT66" s="22">
        <v>8</v>
      </c>
      <c r="AU66" s="22">
        <v>8</v>
      </c>
      <c r="AV66" s="22">
        <v>8</v>
      </c>
      <c r="AW66" s="22">
        <v>8</v>
      </c>
      <c r="AX66" s="1">
        <v>10</v>
      </c>
      <c r="AY66" s="1">
        <v>10</v>
      </c>
      <c r="AZ66" s="1">
        <v>10</v>
      </c>
      <c r="BA66" s="1">
        <v>10</v>
      </c>
      <c r="BB66" s="1">
        <v>10</v>
      </c>
      <c r="BC66" s="1">
        <v>10</v>
      </c>
      <c r="BD66" s="1">
        <v>10</v>
      </c>
      <c r="BE66" s="1">
        <v>10</v>
      </c>
      <c r="BF66" s="1">
        <v>10</v>
      </c>
      <c r="BG66" s="1">
        <v>10</v>
      </c>
      <c r="BH66" s="1">
        <v>10</v>
      </c>
      <c r="BI66" s="1">
        <v>10</v>
      </c>
      <c r="BJ66" s="1">
        <v>10</v>
      </c>
      <c r="BK66" s="1">
        <v>10</v>
      </c>
      <c r="BL66" s="1">
        <v>10</v>
      </c>
      <c r="BM66" s="1">
        <v>10</v>
      </c>
      <c r="BN66" s="1">
        <v>10</v>
      </c>
      <c r="BO66" s="1">
        <v>10</v>
      </c>
    </row>
    <row r="67" spans="2:81" ht="13.2" customHeight="1" x14ac:dyDescent="0.25">
      <c r="B67" s="2">
        <f t="shared" si="0"/>
        <v>65</v>
      </c>
      <c r="C67" s="21">
        <v>36</v>
      </c>
      <c r="D67" s="2">
        <v>9</v>
      </c>
      <c r="E67" s="2">
        <v>9</v>
      </c>
      <c r="F67" s="2">
        <v>9</v>
      </c>
      <c r="G67" s="2">
        <v>9</v>
      </c>
      <c r="H67" s="2">
        <v>9</v>
      </c>
      <c r="I67" s="2">
        <v>9</v>
      </c>
      <c r="J67" s="2">
        <v>9</v>
      </c>
      <c r="K67" s="2">
        <v>9</v>
      </c>
      <c r="L67" s="2">
        <v>9</v>
      </c>
      <c r="M67" s="2">
        <v>9</v>
      </c>
      <c r="N67" s="2">
        <v>9</v>
      </c>
      <c r="O67" s="2">
        <v>9</v>
      </c>
      <c r="P67" s="2">
        <v>9</v>
      </c>
      <c r="Q67" s="2">
        <v>9</v>
      </c>
      <c r="R67" s="2">
        <v>9</v>
      </c>
      <c r="S67" s="2">
        <v>9</v>
      </c>
      <c r="T67" s="2">
        <v>9</v>
      </c>
      <c r="U67" s="2">
        <v>9</v>
      </c>
      <c r="V67" s="2">
        <v>9</v>
      </c>
      <c r="W67" s="2">
        <v>9</v>
      </c>
      <c r="X67" s="2">
        <v>9</v>
      </c>
      <c r="Y67" s="22">
        <v>8</v>
      </c>
      <c r="Z67" s="22">
        <v>8</v>
      </c>
      <c r="AA67" s="22">
        <v>8</v>
      </c>
      <c r="AB67" s="22">
        <v>8</v>
      </c>
      <c r="AC67" s="22">
        <v>8</v>
      </c>
      <c r="AD67" s="22">
        <v>8</v>
      </c>
      <c r="AE67" s="22">
        <v>8</v>
      </c>
      <c r="AF67" s="22">
        <v>8</v>
      </c>
      <c r="AG67" s="22">
        <v>8</v>
      </c>
      <c r="AH67" s="22">
        <v>8</v>
      </c>
      <c r="AI67" s="22">
        <v>8</v>
      </c>
      <c r="AJ67" s="22">
        <v>8</v>
      </c>
      <c r="AK67" s="22">
        <v>8</v>
      </c>
      <c r="AL67" s="22">
        <v>8</v>
      </c>
      <c r="AM67" s="22">
        <v>8</v>
      </c>
      <c r="AN67" s="22">
        <v>8</v>
      </c>
      <c r="AO67" s="22">
        <v>8</v>
      </c>
      <c r="AP67" s="22">
        <v>8</v>
      </c>
      <c r="AQ67" s="22">
        <v>8</v>
      </c>
      <c r="AR67" s="22">
        <v>8</v>
      </c>
      <c r="AS67" s="22">
        <v>8</v>
      </c>
      <c r="AT67" s="22">
        <v>8</v>
      </c>
      <c r="AU67" s="22">
        <v>8</v>
      </c>
      <c r="AV67" s="22">
        <v>8</v>
      </c>
      <c r="AW67" s="22">
        <v>8</v>
      </c>
      <c r="AX67" s="1">
        <v>10</v>
      </c>
      <c r="AY67" s="1">
        <v>10</v>
      </c>
      <c r="AZ67" s="1">
        <v>10</v>
      </c>
      <c r="BA67" s="1">
        <v>10</v>
      </c>
      <c r="BB67" s="1">
        <v>10</v>
      </c>
      <c r="BC67" s="1">
        <v>10</v>
      </c>
      <c r="BD67" s="1">
        <v>10</v>
      </c>
      <c r="BE67" s="1">
        <v>10</v>
      </c>
      <c r="BF67" s="1">
        <v>10</v>
      </c>
      <c r="BG67" s="1">
        <v>10</v>
      </c>
      <c r="BH67" s="1">
        <v>10</v>
      </c>
      <c r="BI67" s="1">
        <v>10</v>
      </c>
      <c r="BJ67" s="1">
        <v>10</v>
      </c>
      <c r="BK67" s="1">
        <v>10</v>
      </c>
      <c r="BL67" s="1">
        <v>10</v>
      </c>
      <c r="BM67" s="1">
        <v>10</v>
      </c>
      <c r="BN67" s="1">
        <v>10</v>
      </c>
      <c r="BO67" s="1">
        <v>10</v>
      </c>
      <c r="BP67" s="1">
        <v>10</v>
      </c>
    </row>
    <row r="68" spans="2:81" ht="13.2" customHeight="1" x14ac:dyDescent="0.25">
      <c r="B68" s="2">
        <f t="shared" si="0"/>
        <v>66</v>
      </c>
      <c r="C68" s="21">
        <v>35</v>
      </c>
      <c r="D68" s="2">
        <v>9</v>
      </c>
      <c r="E68" s="2">
        <v>9</v>
      </c>
      <c r="F68" s="2">
        <v>9</v>
      </c>
      <c r="G68" s="2">
        <v>9</v>
      </c>
      <c r="H68" s="2">
        <v>9</v>
      </c>
      <c r="I68" s="2">
        <v>9</v>
      </c>
      <c r="J68" s="2">
        <v>9</v>
      </c>
      <c r="K68" s="2">
        <v>9</v>
      </c>
      <c r="L68" s="2">
        <v>9</v>
      </c>
      <c r="M68" s="2">
        <v>9</v>
      </c>
      <c r="N68" s="2">
        <v>9</v>
      </c>
      <c r="O68" s="2">
        <v>9</v>
      </c>
      <c r="P68" s="2">
        <v>9</v>
      </c>
      <c r="Q68" s="2">
        <v>9</v>
      </c>
      <c r="R68" s="2">
        <v>9</v>
      </c>
      <c r="S68" s="2">
        <v>9</v>
      </c>
      <c r="T68" s="2">
        <v>9</v>
      </c>
      <c r="U68" s="2">
        <v>9</v>
      </c>
      <c r="V68" s="2">
        <v>9</v>
      </c>
      <c r="W68" s="2">
        <v>9</v>
      </c>
      <c r="X68" s="2">
        <v>9</v>
      </c>
      <c r="Y68" s="22">
        <v>8</v>
      </c>
      <c r="Z68" s="22">
        <v>8</v>
      </c>
      <c r="AA68" s="22">
        <v>8</v>
      </c>
      <c r="AB68" s="22">
        <v>8</v>
      </c>
      <c r="AC68" s="22">
        <v>8</v>
      </c>
      <c r="AD68" s="22">
        <v>8</v>
      </c>
      <c r="AE68" s="22">
        <v>8</v>
      </c>
      <c r="AF68" s="22">
        <v>8</v>
      </c>
      <c r="AG68" s="22">
        <v>8</v>
      </c>
      <c r="AH68" s="22">
        <v>8</v>
      </c>
      <c r="AI68" s="22">
        <v>8</v>
      </c>
      <c r="AJ68" s="22">
        <v>8</v>
      </c>
      <c r="AK68" s="22">
        <v>8</v>
      </c>
      <c r="AL68" s="22">
        <v>8</v>
      </c>
      <c r="AM68" s="22">
        <v>8</v>
      </c>
      <c r="AN68" s="22">
        <v>8</v>
      </c>
      <c r="AO68" s="22">
        <v>8</v>
      </c>
      <c r="AP68" s="22">
        <v>8</v>
      </c>
      <c r="AQ68" s="22">
        <v>8</v>
      </c>
      <c r="AR68" s="22">
        <v>8</v>
      </c>
      <c r="AS68" s="22">
        <v>8</v>
      </c>
      <c r="AT68" s="22">
        <v>8</v>
      </c>
      <c r="AU68" s="22">
        <v>8</v>
      </c>
      <c r="AV68" s="22">
        <v>8</v>
      </c>
      <c r="AW68" s="22">
        <v>8</v>
      </c>
      <c r="AX68" s="1">
        <v>10</v>
      </c>
      <c r="AY68" s="1">
        <v>10</v>
      </c>
      <c r="AZ68" s="1">
        <v>10</v>
      </c>
      <c r="BA68" s="1">
        <v>10</v>
      </c>
      <c r="BB68" s="1">
        <v>10</v>
      </c>
      <c r="BC68" s="1">
        <v>10</v>
      </c>
      <c r="BD68" s="1">
        <v>10</v>
      </c>
      <c r="BE68" s="1">
        <v>10</v>
      </c>
      <c r="BF68" s="1">
        <v>10</v>
      </c>
      <c r="BG68" s="1">
        <v>10</v>
      </c>
      <c r="BH68" s="1">
        <v>10</v>
      </c>
      <c r="BI68" s="1">
        <v>10</v>
      </c>
      <c r="BJ68" s="1">
        <v>10</v>
      </c>
      <c r="BK68" s="1">
        <v>10</v>
      </c>
      <c r="BL68" s="1">
        <v>10</v>
      </c>
      <c r="BM68" s="1">
        <v>10</v>
      </c>
      <c r="BN68" s="1">
        <v>10</v>
      </c>
      <c r="BO68" s="1">
        <v>10</v>
      </c>
      <c r="BP68" s="1">
        <v>10</v>
      </c>
      <c r="BQ68" s="1">
        <v>10</v>
      </c>
    </row>
    <row r="69" spans="2:81" ht="13.2" customHeight="1" x14ac:dyDescent="0.25">
      <c r="B69" s="2">
        <f t="shared" ref="B69:B103" si="1">(B68+1)</f>
        <v>67</v>
      </c>
      <c r="C69" s="21">
        <v>34</v>
      </c>
      <c r="D69" s="2">
        <v>9</v>
      </c>
      <c r="E69" s="2">
        <v>9</v>
      </c>
      <c r="F69" s="2">
        <v>9</v>
      </c>
      <c r="G69" s="2">
        <v>9</v>
      </c>
      <c r="H69" s="2">
        <v>9</v>
      </c>
      <c r="I69" s="2">
        <v>9</v>
      </c>
      <c r="J69" s="2">
        <v>9</v>
      </c>
      <c r="K69" s="2">
        <v>9</v>
      </c>
      <c r="L69" s="2">
        <v>9</v>
      </c>
      <c r="M69" s="2">
        <v>9</v>
      </c>
      <c r="N69" s="2">
        <v>9</v>
      </c>
      <c r="O69" s="2">
        <v>9</v>
      </c>
      <c r="P69" s="2">
        <v>9</v>
      </c>
      <c r="Q69" s="2">
        <v>9</v>
      </c>
      <c r="R69" s="2">
        <v>9</v>
      </c>
      <c r="S69" s="2">
        <v>9</v>
      </c>
      <c r="T69" s="2">
        <v>9</v>
      </c>
      <c r="U69" s="2">
        <v>9</v>
      </c>
      <c r="V69" s="2">
        <v>9</v>
      </c>
      <c r="W69" s="2">
        <v>9</v>
      </c>
      <c r="X69" s="2">
        <v>9</v>
      </c>
      <c r="Y69" s="22">
        <v>8</v>
      </c>
      <c r="Z69" s="22">
        <v>8</v>
      </c>
      <c r="AA69" s="22">
        <v>8</v>
      </c>
      <c r="AB69" s="22">
        <v>8</v>
      </c>
      <c r="AC69" s="22">
        <v>8</v>
      </c>
      <c r="AD69" s="22">
        <v>8</v>
      </c>
      <c r="AE69" s="22">
        <v>8</v>
      </c>
      <c r="AF69" s="22">
        <v>8</v>
      </c>
      <c r="AG69" s="22">
        <v>8</v>
      </c>
      <c r="AH69" s="22">
        <v>8</v>
      </c>
      <c r="AI69" s="22">
        <v>8</v>
      </c>
      <c r="AJ69" s="22">
        <v>8</v>
      </c>
      <c r="AK69" s="22">
        <v>8</v>
      </c>
      <c r="AL69" s="22">
        <v>8</v>
      </c>
      <c r="AM69" s="22">
        <v>8</v>
      </c>
      <c r="AN69" s="22">
        <v>8</v>
      </c>
      <c r="AO69" s="22">
        <v>8</v>
      </c>
      <c r="AP69" s="22">
        <v>8</v>
      </c>
      <c r="AQ69" s="22">
        <v>8</v>
      </c>
      <c r="AR69" s="22">
        <v>8</v>
      </c>
      <c r="AS69" s="22">
        <v>8</v>
      </c>
      <c r="AT69" s="22">
        <v>8</v>
      </c>
      <c r="AU69" s="22">
        <v>8</v>
      </c>
      <c r="AV69" s="22">
        <v>8</v>
      </c>
      <c r="AW69" s="22">
        <v>8</v>
      </c>
      <c r="AX69" s="23">
        <v>7</v>
      </c>
      <c r="AY69" s="23">
        <v>7</v>
      </c>
      <c r="AZ69" s="23">
        <v>7</v>
      </c>
      <c r="BA69" s="23">
        <v>7</v>
      </c>
      <c r="BB69" s="23">
        <v>7</v>
      </c>
      <c r="BC69" s="23">
        <v>7</v>
      </c>
      <c r="BD69" s="23">
        <v>7</v>
      </c>
      <c r="BE69" s="23">
        <v>7</v>
      </c>
      <c r="BF69" s="23">
        <v>7</v>
      </c>
      <c r="BG69" s="23">
        <v>7</v>
      </c>
      <c r="BH69" s="23">
        <v>7</v>
      </c>
      <c r="BI69" s="23">
        <v>7</v>
      </c>
      <c r="BJ69" s="23">
        <v>7</v>
      </c>
      <c r="BK69" s="23">
        <v>7</v>
      </c>
      <c r="BL69" s="23">
        <v>7</v>
      </c>
      <c r="BM69" s="23">
        <v>7</v>
      </c>
      <c r="BN69" s="23">
        <v>7</v>
      </c>
      <c r="BO69" s="23">
        <v>7</v>
      </c>
      <c r="BP69" s="23">
        <v>7</v>
      </c>
      <c r="BQ69" s="23">
        <v>7</v>
      </c>
      <c r="BR69" s="23">
        <v>7</v>
      </c>
    </row>
    <row r="70" spans="2:81" ht="13.2" customHeight="1" x14ac:dyDescent="0.25">
      <c r="B70" s="2">
        <f t="shared" si="1"/>
        <v>68</v>
      </c>
      <c r="C70" s="21">
        <v>33</v>
      </c>
      <c r="D70" s="2">
        <v>9</v>
      </c>
      <c r="E70" s="2">
        <v>9</v>
      </c>
      <c r="F70" s="2">
        <v>9</v>
      </c>
      <c r="G70" s="2">
        <v>9</v>
      </c>
      <c r="H70" s="2">
        <v>9</v>
      </c>
      <c r="I70" s="2">
        <v>9</v>
      </c>
      <c r="J70" s="2">
        <v>9</v>
      </c>
      <c r="K70" s="2">
        <v>9</v>
      </c>
      <c r="L70" s="2">
        <v>9</v>
      </c>
      <c r="M70" s="2">
        <v>9</v>
      </c>
      <c r="N70" s="2">
        <v>9</v>
      </c>
      <c r="O70" s="2">
        <v>9</v>
      </c>
      <c r="P70" s="2">
        <v>9</v>
      </c>
      <c r="Q70" s="2">
        <v>9</v>
      </c>
      <c r="R70" s="2">
        <v>9</v>
      </c>
      <c r="S70" s="2">
        <v>9</v>
      </c>
      <c r="T70" s="2">
        <v>9</v>
      </c>
      <c r="U70" s="2">
        <v>9</v>
      </c>
      <c r="V70" s="2">
        <v>9</v>
      </c>
      <c r="W70" s="2">
        <v>9</v>
      </c>
      <c r="X70" s="2">
        <v>9</v>
      </c>
      <c r="Y70" s="22">
        <v>8</v>
      </c>
      <c r="Z70" s="22">
        <v>8</v>
      </c>
      <c r="AA70" s="22">
        <v>8</v>
      </c>
      <c r="AB70" s="22">
        <v>8</v>
      </c>
      <c r="AC70" s="22">
        <v>8</v>
      </c>
      <c r="AD70" s="22">
        <v>8</v>
      </c>
      <c r="AE70" s="22">
        <v>8</v>
      </c>
      <c r="AF70" s="22">
        <v>8</v>
      </c>
      <c r="AG70" s="22">
        <v>8</v>
      </c>
      <c r="AH70" s="22">
        <v>8</v>
      </c>
      <c r="AI70" s="22">
        <v>8</v>
      </c>
      <c r="AJ70" s="22">
        <v>8</v>
      </c>
      <c r="AK70" s="22">
        <v>8</v>
      </c>
      <c r="AL70" s="22">
        <v>8</v>
      </c>
      <c r="AM70" s="22">
        <v>8</v>
      </c>
      <c r="AN70" s="22">
        <v>8</v>
      </c>
      <c r="AO70" s="22">
        <v>8</v>
      </c>
      <c r="AP70" s="22">
        <v>8</v>
      </c>
      <c r="AQ70" s="22">
        <v>8</v>
      </c>
      <c r="AR70" s="22">
        <v>8</v>
      </c>
      <c r="AS70" s="22">
        <v>8</v>
      </c>
      <c r="AT70" s="22">
        <v>8</v>
      </c>
      <c r="AU70" s="22">
        <v>8</v>
      </c>
      <c r="AV70" s="22">
        <v>8</v>
      </c>
      <c r="AW70" s="22">
        <v>8</v>
      </c>
      <c r="AX70" s="23">
        <v>7</v>
      </c>
      <c r="AY70" s="23">
        <v>7</v>
      </c>
      <c r="AZ70" s="23">
        <v>7</v>
      </c>
      <c r="BA70" s="23">
        <v>7</v>
      </c>
      <c r="BB70" s="23">
        <v>7</v>
      </c>
      <c r="BC70" s="23">
        <v>7</v>
      </c>
      <c r="BD70" s="23">
        <v>7</v>
      </c>
      <c r="BE70" s="23">
        <v>7</v>
      </c>
      <c r="BF70" s="23">
        <v>7</v>
      </c>
      <c r="BG70" s="23">
        <v>7</v>
      </c>
      <c r="BH70" s="23">
        <v>7</v>
      </c>
      <c r="BI70" s="23">
        <v>7</v>
      </c>
      <c r="BJ70" s="23">
        <v>7</v>
      </c>
      <c r="BK70" s="23">
        <v>7</v>
      </c>
      <c r="BL70" s="23">
        <v>7</v>
      </c>
      <c r="BM70" s="23">
        <v>7</v>
      </c>
      <c r="BN70" s="23">
        <v>7</v>
      </c>
      <c r="BO70" s="23">
        <v>7</v>
      </c>
      <c r="BP70" s="23">
        <v>7</v>
      </c>
      <c r="BQ70" s="23">
        <v>7</v>
      </c>
      <c r="BR70" s="23">
        <v>7</v>
      </c>
      <c r="BS70" s="23">
        <v>7</v>
      </c>
    </row>
    <row r="71" spans="2:81" ht="13.2" customHeight="1" x14ac:dyDescent="0.25">
      <c r="B71" s="2">
        <f t="shared" si="1"/>
        <v>69</v>
      </c>
      <c r="C71" s="21">
        <v>32</v>
      </c>
      <c r="D71" s="2">
        <v>9</v>
      </c>
      <c r="E71" s="2">
        <v>9</v>
      </c>
      <c r="F71" s="2">
        <v>9</v>
      </c>
      <c r="G71" s="2">
        <v>9</v>
      </c>
      <c r="H71" s="2">
        <v>9</v>
      </c>
      <c r="I71" s="2">
        <v>9</v>
      </c>
      <c r="J71" s="2">
        <v>9</v>
      </c>
      <c r="K71" s="2">
        <v>9</v>
      </c>
      <c r="L71" s="2">
        <v>9</v>
      </c>
      <c r="M71" s="2">
        <v>9</v>
      </c>
      <c r="N71" s="2">
        <v>9</v>
      </c>
      <c r="O71" s="2">
        <v>9</v>
      </c>
      <c r="P71" s="2">
        <v>9</v>
      </c>
      <c r="Q71" s="2">
        <v>9</v>
      </c>
      <c r="R71" s="2">
        <v>9</v>
      </c>
      <c r="S71" s="2">
        <v>9</v>
      </c>
      <c r="T71" s="2">
        <v>9</v>
      </c>
      <c r="U71" s="2">
        <v>9</v>
      </c>
      <c r="V71" s="2">
        <v>9</v>
      </c>
      <c r="W71" s="2">
        <v>9</v>
      </c>
      <c r="X71" s="2">
        <v>9</v>
      </c>
      <c r="Y71" s="22">
        <v>8</v>
      </c>
      <c r="Z71" s="22">
        <v>8</v>
      </c>
      <c r="AA71" s="22">
        <v>8</v>
      </c>
      <c r="AB71" s="22">
        <v>8</v>
      </c>
      <c r="AC71" s="22">
        <v>8</v>
      </c>
      <c r="AD71" s="22">
        <v>8</v>
      </c>
      <c r="AE71" s="22">
        <v>8</v>
      </c>
      <c r="AF71" s="22">
        <v>8</v>
      </c>
      <c r="AG71" s="22">
        <v>8</v>
      </c>
      <c r="AH71" s="22">
        <v>8</v>
      </c>
      <c r="AI71" s="22">
        <v>8</v>
      </c>
      <c r="AJ71" s="22">
        <v>8</v>
      </c>
      <c r="AK71" s="22">
        <v>8</v>
      </c>
      <c r="AL71" s="22">
        <v>8</v>
      </c>
      <c r="AM71" s="22">
        <v>8</v>
      </c>
      <c r="AN71" s="22">
        <v>8</v>
      </c>
      <c r="AO71" s="22">
        <v>8</v>
      </c>
      <c r="AP71" s="22">
        <v>8</v>
      </c>
      <c r="AQ71" s="22">
        <v>8</v>
      </c>
      <c r="AR71" s="22">
        <v>8</v>
      </c>
      <c r="AS71" s="22">
        <v>8</v>
      </c>
      <c r="AT71" s="22">
        <v>8</v>
      </c>
      <c r="AU71" s="22">
        <v>8</v>
      </c>
      <c r="AV71" s="22">
        <v>8</v>
      </c>
      <c r="AW71" s="22">
        <v>8</v>
      </c>
      <c r="AX71" s="23">
        <v>7</v>
      </c>
      <c r="AY71" s="23">
        <v>7</v>
      </c>
      <c r="AZ71" s="23">
        <v>7</v>
      </c>
      <c r="BA71" s="23">
        <v>7</v>
      </c>
      <c r="BB71" s="23">
        <v>7</v>
      </c>
      <c r="BC71" s="23">
        <v>7</v>
      </c>
      <c r="BD71" s="23">
        <v>7</v>
      </c>
      <c r="BE71" s="23">
        <v>7</v>
      </c>
      <c r="BF71" s="23">
        <v>7</v>
      </c>
      <c r="BG71" s="23">
        <v>7</v>
      </c>
      <c r="BH71" s="23">
        <v>7</v>
      </c>
      <c r="BI71" s="23">
        <v>7</v>
      </c>
      <c r="BJ71" s="23">
        <v>7</v>
      </c>
      <c r="BK71" s="23">
        <v>7</v>
      </c>
      <c r="BL71" s="23">
        <v>7</v>
      </c>
      <c r="BM71" s="23">
        <v>7</v>
      </c>
      <c r="BN71" s="23">
        <v>7</v>
      </c>
      <c r="BO71" s="23">
        <v>7</v>
      </c>
      <c r="BP71" s="23">
        <v>7</v>
      </c>
      <c r="BQ71" s="23">
        <v>7</v>
      </c>
      <c r="BR71" s="23">
        <v>7</v>
      </c>
      <c r="BS71" s="23">
        <v>1</v>
      </c>
      <c r="BT71" s="23">
        <v>7</v>
      </c>
    </row>
    <row r="72" spans="2:81" ht="13.2" customHeight="1" x14ac:dyDescent="0.25">
      <c r="B72" s="2">
        <f t="shared" si="1"/>
        <v>70</v>
      </c>
      <c r="C72" s="21">
        <v>31</v>
      </c>
      <c r="D72" s="2">
        <v>9</v>
      </c>
      <c r="E72" s="2">
        <v>9</v>
      </c>
      <c r="F72" s="2">
        <v>9</v>
      </c>
      <c r="G72" s="2">
        <v>9</v>
      </c>
      <c r="H72" s="2">
        <v>9</v>
      </c>
      <c r="I72" s="2">
        <v>9</v>
      </c>
      <c r="J72" s="2">
        <v>9</v>
      </c>
      <c r="K72" s="2">
        <v>9</v>
      </c>
      <c r="L72" s="2">
        <v>9</v>
      </c>
      <c r="M72" s="2">
        <v>9</v>
      </c>
      <c r="N72" s="2">
        <v>9</v>
      </c>
      <c r="O72" s="2">
        <v>9</v>
      </c>
      <c r="P72" s="2">
        <v>9</v>
      </c>
      <c r="Q72" s="2">
        <v>9</v>
      </c>
      <c r="R72" s="2">
        <v>9</v>
      </c>
      <c r="S72" s="2">
        <v>9</v>
      </c>
      <c r="T72" s="2">
        <v>9</v>
      </c>
      <c r="U72" s="2">
        <v>9</v>
      </c>
      <c r="V72" s="2">
        <v>9</v>
      </c>
      <c r="W72" s="2">
        <v>9</v>
      </c>
      <c r="X72" s="2">
        <v>9</v>
      </c>
      <c r="Y72" s="22">
        <v>8</v>
      </c>
      <c r="Z72" s="22">
        <v>8</v>
      </c>
      <c r="AA72" s="22">
        <v>8</v>
      </c>
      <c r="AB72" s="22">
        <v>8</v>
      </c>
      <c r="AC72" s="22">
        <v>8</v>
      </c>
      <c r="AD72" s="22">
        <v>8</v>
      </c>
      <c r="AE72" s="22">
        <v>8</v>
      </c>
      <c r="AF72" s="22">
        <v>8</v>
      </c>
      <c r="AG72" s="22">
        <v>8</v>
      </c>
      <c r="AH72" s="22">
        <v>8</v>
      </c>
      <c r="AI72" s="22">
        <v>8</v>
      </c>
      <c r="AJ72" s="22">
        <v>8</v>
      </c>
      <c r="AK72" s="22">
        <v>8</v>
      </c>
      <c r="AL72" s="22">
        <v>8</v>
      </c>
      <c r="AM72" s="22">
        <v>8</v>
      </c>
      <c r="AN72" s="22">
        <v>8</v>
      </c>
      <c r="AO72" s="22">
        <v>8</v>
      </c>
      <c r="AP72" s="22">
        <v>8</v>
      </c>
      <c r="AQ72" s="22">
        <v>8</v>
      </c>
      <c r="AR72" s="22">
        <v>8</v>
      </c>
      <c r="AS72" s="22">
        <v>8</v>
      </c>
      <c r="AT72" s="22">
        <v>8</v>
      </c>
      <c r="AU72" s="22">
        <v>8</v>
      </c>
      <c r="AV72" s="22">
        <v>8</v>
      </c>
      <c r="AW72" s="22">
        <v>8</v>
      </c>
      <c r="AX72" s="23">
        <v>7</v>
      </c>
      <c r="AY72" s="23">
        <v>7</v>
      </c>
      <c r="AZ72" s="23">
        <v>7</v>
      </c>
      <c r="BA72" s="23">
        <v>7</v>
      </c>
      <c r="BB72" s="23">
        <v>7</v>
      </c>
      <c r="BC72" s="23">
        <v>7</v>
      </c>
      <c r="BD72" s="23">
        <v>7</v>
      </c>
      <c r="BE72" s="23">
        <v>7</v>
      </c>
      <c r="BF72" s="23">
        <v>7</v>
      </c>
      <c r="BG72" s="23">
        <v>7</v>
      </c>
      <c r="BH72" s="23">
        <v>7</v>
      </c>
      <c r="BI72" s="23">
        <v>7</v>
      </c>
      <c r="BJ72" s="23">
        <v>7</v>
      </c>
      <c r="BK72" s="23">
        <v>7</v>
      </c>
      <c r="BL72" s="23">
        <v>7</v>
      </c>
      <c r="BM72" s="23">
        <v>7</v>
      </c>
      <c r="BN72" s="23">
        <v>7</v>
      </c>
      <c r="BO72" s="23">
        <v>7</v>
      </c>
      <c r="BP72" s="23">
        <v>7</v>
      </c>
      <c r="BQ72" s="23">
        <v>7</v>
      </c>
      <c r="BR72" s="23">
        <v>7</v>
      </c>
      <c r="BS72" s="23">
        <v>2</v>
      </c>
      <c r="BT72" s="23">
        <v>1</v>
      </c>
      <c r="BU72" s="23">
        <v>7</v>
      </c>
    </row>
    <row r="73" spans="2:81" ht="13.2" customHeight="1" x14ac:dyDescent="0.25">
      <c r="B73" s="2">
        <f t="shared" si="1"/>
        <v>71</v>
      </c>
      <c r="C73" s="21">
        <v>30</v>
      </c>
      <c r="D73" s="2">
        <v>9</v>
      </c>
      <c r="E73" s="2">
        <v>9</v>
      </c>
      <c r="F73" s="2">
        <v>9</v>
      </c>
      <c r="G73" s="2">
        <v>9</v>
      </c>
      <c r="H73" s="2">
        <v>9</v>
      </c>
      <c r="I73" s="2">
        <v>9</v>
      </c>
      <c r="J73" s="2">
        <v>9</v>
      </c>
      <c r="K73" s="2">
        <v>9</v>
      </c>
      <c r="L73" s="2">
        <v>9</v>
      </c>
      <c r="M73" s="2">
        <v>9</v>
      </c>
      <c r="N73" s="2">
        <v>9</v>
      </c>
      <c r="O73" s="2">
        <v>9</v>
      </c>
      <c r="P73" s="2">
        <v>9</v>
      </c>
      <c r="Q73" s="2">
        <v>9</v>
      </c>
      <c r="R73" s="2">
        <v>9</v>
      </c>
      <c r="S73" s="2">
        <v>9</v>
      </c>
      <c r="T73" s="2">
        <v>9</v>
      </c>
      <c r="U73" s="2">
        <v>9</v>
      </c>
      <c r="V73" s="2">
        <v>9</v>
      </c>
      <c r="W73" s="2">
        <v>9</v>
      </c>
      <c r="X73" s="2">
        <v>9</v>
      </c>
      <c r="Y73" s="22">
        <v>8</v>
      </c>
      <c r="Z73" s="22">
        <v>8</v>
      </c>
      <c r="AA73" s="22">
        <v>8</v>
      </c>
      <c r="AB73" s="22">
        <v>8</v>
      </c>
      <c r="AC73" s="22">
        <v>8</v>
      </c>
      <c r="AD73" s="22">
        <v>8</v>
      </c>
      <c r="AE73" s="22">
        <v>8</v>
      </c>
      <c r="AF73" s="22">
        <v>8</v>
      </c>
      <c r="AG73" s="22">
        <v>8</v>
      </c>
      <c r="AH73" s="22">
        <v>8</v>
      </c>
      <c r="AI73" s="22">
        <v>8</v>
      </c>
      <c r="AJ73" s="22">
        <v>8</v>
      </c>
      <c r="AK73" s="22">
        <v>8</v>
      </c>
      <c r="AL73" s="22">
        <v>8</v>
      </c>
      <c r="AM73" s="22">
        <v>8</v>
      </c>
      <c r="AN73" s="22">
        <v>8</v>
      </c>
      <c r="AO73" s="22">
        <v>8</v>
      </c>
      <c r="AP73" s="22">
        <v>8</v>
      </c>
      <c r="AQ73" s="22">
        <v>8</v>
      </c>
      <c r="AR73" s="22">
        <v>8</v>
      </c>
      <c r="AS73" s="22">
        <v>8</v>
      </c>
      <c r="AT73" s="22">
        <v>8</v>
      </c>
      <c r="AU73" s="22">
        <v>8</v>
      </c>
      <c r="AV73" s="22">
        <v>8</v>
      </c>
      <c r="AW73" s="22">
        <v>8</v>
      </c>
      <c r="AX73" s="23">
        <v>7</v>
      </c>
      <c r="AY73" s="23">
        <v>7</v>
      </c>
      <c r="AZ73" s="23">
        <v>7</v>
      </c>
      <c r="BA73" s="23">
        <v>7</v>
      </c>
      <c r="BB73" s="23">
        <v>7</v>
      </c>
      <c r="BC73" s="23">
        <v>7</v>
      </c>
      <c r="BD73" s="23">
        <v>7</v>
      </c>
      <c r="BE73" s="23">
        <v>7</v>
      </c>
      <c r="BF73" s="23">
        <v>7</v>
      </c>
      <c r="BG73" s="23">
        <v>7</v>
      </c>
      <c r="BH73" s="23">
        <v>7</v>
      </c>
      <c r="BI73" s="23">
        <v>7</v>
      </c>
      <c r="BJ73" s="23">
        <v>7</v>
      </c>
      <c r="BK73" s="23">
        <v>7</v>
      </c>
      <c r="BL73" s="23">
        <v>7</v>
      </c>
      <c r="BM73" s="23">
        <v>7</v>
      </c>
      <c r="BN73" s="23">
        <v>7</v>
      </c>
      <c r="BO73" s="23">
        <v>7</v>
      </c>
      <c r="BP73" s="23">
        <v>7</v>
      </c>
      <c r="BQ73" s="23">
        <v>7</v>
      </c>
      <c r="BR73" s="23">
        <v>7</v>
      </c>
      <c r="BS73" s="23">
        <v>3</v>
      </c>
      <c r="BT73" s="23">
        <v>2</v>
      </c>
      <c r="BU73" s="23">
        <v>1</v>
      </c>
      <c r="BV73" s="23">
        <v>7</v>
      </c>
    </row>
    <row r="74" spans="2:81" ht="13.2" customHeight="1" x14ac:dyDescent="0.25">
      <c r="B74" s="2">
        <f t="shared" si="1"/>
        <v>72</v>
      </c>
      <c r="C74" s="21">
        <v>29</v>
      </c>
      <c r="D74" s="2">
        <v>9</v>
      </c>
      <c r="E74" s="2">
        <v>9</v>
      </c>
      <c r="F74" s="2">
        <v>9</v>
      </c>
      <c r="G74" s="2">
        <v>9</v>
      </c>
      <c r="H74" s="2">
        <v>9</v>
      </c>
      <c r="I74" s="2">
        <v>9</v>
      </c>
      <c r="J74" s="2">
        <v>9</v>
      </c>
      <c r="K74" s="2">
        <v>9</v>
      </c>
      <c r="L74" s="2">
        <v>9</v>
      </c>
      <c r="M74" s="2">
        <v>9</v>
      </c>
      <c r="N74" s="2">
        <v>9</v>
      </c>
      <c r="O74" s="2">
        <v>9</v>
      </c>
      <c r="P74" s="2">
        <v>9</v>
      </c>
      <c r="Q74" s="2">
        <v>9</v>
      </c>
      <c r="R74" s="2">
        <v>9</v>
      </c>
      <c r="S74" s="2">
        <v>9</v>
      </c>
      <c r="T74" s="2">
        <v>9</v>
      </c>
      <c r="U74" s="2">
        <v>9</v>
      </c>
      <c r="V74" s="2">
        <v>9</v>
      </c>
      <c r="W74" s="2">
        <v>9</v>
      </c>
      <c r="X74" s="2">
        <v>9</v>
      </c>
      <c r="Y74" s="22">
        <v>8</v>
      </c>
      <c r="Z74" s="22">
        <v>8</v>
      </c>
      <c r="AA74" s="22">
        <v>8</v>
      </c>
      <c r="AB74" s="22">
        <v>8</v>
      </c>
      <c r="AC74" s="22">
        <v>8</v>
      </c>
      <c r="AD74" s="22">
        <v>8</v>
      </c>
      <c r="AE74" s="22">
        <v>8</v>
      </c>
      <c r="AF74" s="22">
        <v>8</v>
      </c>
      <c r="AG74" s="22">
        <v>8</v>
      </c>
      <c r="AH74" s="22">
        <v>8</v>
      </c>
      <c r="AI74" s="22">
        <v>8</v>
      </c>
      <c r="AJ74" s="22">
        <v>8</v>
      </c>
      <c r="AK74" s="22">
        <v>8</v>
      </c>
      <c r="AL74" s="22">
        <v>8</v>
      </c>
      <c r="AM74" s="22">
        <v>8</v>
      </c>
      <c r="AN74" s="22">
        <v>8</v>
      </c>
      <c r="AO74" s="22">
        <v>8</v>
      </c>
      <c r="AP74" s="22">
        <v>8</v>
      </c>
      <c r="AQ74" s="22">
        <v>8</v>
      </c>
      <c r="AR74" s="22">
        <v>8</v>
      </c>
      <c r="AS74" s="22">
        <v>8</v>
      </c>
      <c r="AT74" s="22">
        <v>8</v>
      </c>
      <c r="AU74" s="22">
        <v>8</v>
      </c>
      <c r="AV74" s="22">
        <v>8</v>
      </c>
      <c r="AW74" s="22">
        <v>8</v>
      </c>
      <c r="AX74" s="23">
        <v>7</v>
      </c>
      <c r="AY74" s="23">
        <v>7</v>
      </c>
      <c r="AZ74" s="23">
        <v>7</v>
      </c>
      <c r="BA74" s="23">
        <v>7</v>
      </c>
      <c r="BB74" s="23">
        <v>7</v>
      </c>
      <c r="BC74" s="23">
        <v>7</v>
      </c>
      <c r="BD74" s="23">
        <v>7</v>
      </c>
      <c r="BE74" s="23">
        <v>7</v>
      </c>
      <c r="BF74" s="23">
        <v>7</v>
      </c>
      <c r="BG74" s="23">
        <v>7</v>
      </c>
      <c r="BH74" s="23">
        <v>7</v>
      </c>
      <c r="BI74" s="23">
        <v>7</v>
      </c>
      <c r="BJ74" s="23">
        <v>7</v>
      </c>
      <c r="BK74" s="23">
        <v>7</v>
      </c>
      <c r="BL74" s="23">
        <v>7</v>
      </c>
      <c r="BM74" s="23">
        <v>7</v>
      </c>
      <c r="BN74" s="23">
        <v>7</v>
      </c>
      <c r="BO74" s="23">
        <v>7</v>
      </c>
      <c r="BP74" s="23">
        <v>7</v>
      </c>
      <c r="BQ74" s="23">
        <v>7</v>
      </c>
      <c r="BR74" s="23">
        <v>7</v>
      </c>
      <c r="BS74" s="23">
        <v>7</v>
      </c>
      <c r="BT74" s="23">
        <v>7</v>
      </c>
      <c r="BU74" s="23">
        <v>7</v>
      </c>
      <c r="BV74" s="23">
        <v>7</v>
      </c>
      <c r="BW74" s="23">
        <v>7</v>
      </c>
    </row>
    <row r="75" spans="2:81" ht="13.2" customHeight="1" x14ac:dyDescent="0.25">
      <c r="B75" s="2">
        <f t="shared" si="1"/>
        <v>73</v>
      </c>
      <c r="C75" s="21">
        <v>28</v>
      </c>
      <c r="D75" s="2">
        <v>9</v>
      </c>
      <c r="E75" s="2">
        <v>9</v>
      </c>
      <c r="F75" s="2">
        <v>9</v>
      </c>
      <c r="G75" s="2">
        <v>9</v>
      </c>
      <c r="H75" s="2">
        <v>9</v>
      </c>
      <c r="I75" s="2">
        <v>9</v>
      </c>
      <c r="J75" s="2">
        <v>9</v>
      </c>
      <c r="K75" s="2">
        <v>9</v>
      </c>
      <c r="L75" s="2">
        <v>9</v>
      </c>
      <c r="M75" s="2">
        <v>9</v>
      </c>
      <c r="N75" s="2">
        <v>9</v>
      </c>
      <c r="O75" s="2">
        <v>9</v>
      </c>
      <c r="P75" s="2">
        <v>9</v>
      </c>
      <c r="Q75" s="2">
        <v>9</v>
      </c>
      <c r="R75" s="2">
        <v>9</v>
      </c>
      <c r="S75" s="2">
        <v>9</v>
      </c>
      <c r="T75" s="2">
        <v>9</v>
      </c>
      <c r="U75" s="2">
        <v>9</v>
      </c>
      <c r="V75" s="2">
        <v>9</v>
      </c>
      <c r="W75" s="2">
        <v>9</v>
      </c>
      <c r="X75" s="2">
        <v>9</v>
      </c>
      <c r="Y75" s="22">
        <v>8</v>
      </c>
      <c r="Z75" s="22">
        <v>8</v>
      </c>
      <c r="AA75" s="22">
        <v>8</v>
      </c>
      <c r="AB75" s="22">
        <v>8</v>
      </c>
      <c r="AC75" s="22">
        <v>8</v>
      </c>
      <c r="AD75" s="22">
        <v>8</v>
      </c>
      <c r="AE75" s="22">
        <v>8</v>
      </c>
      <c r="AF75" s="22">
        <v>8</v>
      </c>
      <c r="AG75" s="22">
        <v>8</v>
      </c>
      <c r="AH75" s="22">
        <v>8</v>
      </c>
      <c r="AI75" s="22">
        <v>8</v>
      </c>
      <c r="AJ75" s="22">
        <v>8</v>
      </c>
      <c r="AK75" s="22">
        <v>8</v>
      </c>
      <c r="AL75" s="22">
        <v>8</v>
      </c>
      <c r="AM75" s="22">
        <v>8</v>
      </c>
      <c r="AN75" s="22">
        <v>8</v>
      </c>
      <c r="AO75" s="22">
        <v>8</v>
      </c>
      <c r="AP75" s="22">
        <v>8</v>
      </c>
      <c r="AQ75" s="22">
        <v>8</v>
      </c>
      <c r="AR75" s="22">
        <v>8</v>
      </c>
      <c r="AS75" s="22">
        <v>8</v>
      </c>
      <c r="AT75" s="22">
        <v>8</v>
      </c>
      <c r="AU75" s="22">
        <v>8</v>
      </c>
      <c r="AV75" s="22">
        <v>8</v>
      </c>
      <c r="AW75" s="22">
        <v>8</v>
      </c>
      <c r="AX75" s="23">
        <v>7</v>
      </c>
      <c r="AY75" s="23">
        <v>7</v>
      </c>
      <c r="AZ75" s="23">
        <v>7</v>
      </c>
      <c r="BA75" s="23">
        <v>7</v>
      </c>
      <c r="BB75" s="23">
        <v>7</v>
      </c>
      <c r="BC75" s="23">
        <v>7</v>
      </c>
      <c r="BD75" s="23">
        <v>7</v>
      </c>
      <c r="BE75" s="23">
        <v>7</v>
      </c>
      <c r="BF75" s="23">
        <v>7</v>
      </c>
      <c r="BG75" s="23">
        <v>7</v>
      </c>
      <c r="BH75" s="23">
        <v>7</v>
      </c>
      <c r="BI75" s="23">
        <v>7</v>
      </c>
      <c r="BJ75" s="23">
        <v>7</v>
      </c>
      <c r="BK75" s="23">
        <v>7</v>
      </c>
      <c r="BL75" s="23">
        <v>7</v>
      </c>
      <c r="BM75" s="23">
        <v>7</v>
      </c>
      <c r="BN75" s="23">
        <v>7</v>
      </c>
      <c r="BO75" s="23">
        <v>7</v>
      </c>
      <c r="BP75" s="23">
        <v>7</v>
      </c>
      <c r="BQ75" s="23">
        <v>7</v>
      </c>
      <c r="BR75" s="23">
        <v>7</v>
      </c>
      <c r="BS75" s="23">
        <v>7</v>
      </c>
      <c r="BT75" s="23">
        <v>7</v>
      </c>
      <c r="BU75" s="23">
        <v>7</v>
      </c>
      <c r="BV75" s="23">
        <v>7</v>
      </c>
      <c r="BW75" s="23">
        <v>7</v>
      </c>
      <c r="BX75" s="23">
        <v>7</v>
      </c>
    </row>
    <row r="76" spans="2:81" ht="13.2" customHeight="1" x14ac:dyDescent="0.25">
      <c r="B76" s="2">
        <f t="shared" si="1"/>
        <v>74</v>
      </c>
      <c r="C76" s="21">
        <v>27</v>
      </c>
      <c r="D76" s="19">
        <v>6</v>
      </c>
      <c r="E76" s="19">
        <v>6</v>
      </c>
      <c r="F76" s="19">
        <v>6</v>
      </c>
      <c r="G76" s="19">
        <v>6</v>
      </c>
      <c r="H76" s="19">
        <v>6</v>
      </c>
      <c r="I76" s="19">
        <v>6</v>
      </c>
      <c r="J76" s="19">
        <v>6</v>
      </c>
      <c r="K76" s="19">
        <v>6</v>
      </c>
      <c r="L76" s="19">
        <v>6</v>
      </c>
      <c r="M76" s="19">
        <v>6</v>
      </c>
      <c r="N76" s="19">
        <v>6</v>
      </c>
      <c r="O76" s="19">
        <v>6</v>
      </c>
      <c r="P76" s="19">
        <v>6</v>
      </c>
      <c r="Q76" s="19">
        <v>6</v>
      </c>
      <c r="R76" s="19">
        <v>6</v>
      </c>
      <c r="S76" s="19">
        <v>6</v>
      </c>
      <c r="T76" s="19">
        <v>6</v>
      </c>
      <c r="U76" s="19">
        <v>6</v>
      </c>
      <c r="V76" s="19">
        <v>6</v>
      </c>
      <c r="W76" s="19">
        <v>6</v>
      </c>
      <c r="X76" s="19">
        <v>6</v>
      </c>
      <c r="Y76" s="19">
        <v>6</v>
      </c>
      <c r="Z76" s="19">
        <v>6</v>
      </c>
      <c r="AA76" s="19">
        <v>6</v>
      </c>
      <c r="AB76">
        <v>5</v>
      </c>
      <c r="AC76">
        <v>5</v>
      </c>
      <c r="AD76">
        <v>5</v>
      </c>
      <c r="AE76">
        <v>5</v>
      </c>
      <c r="AF76">
        <v>5</v>
      </c>
      <c r="AG76">
        <v>5</v>
      </c>
      <c r="AH76">
        <v>5</v>
      </c>
      <c r="AI76">
        <v>5</v>
      </c>
      <c r="AJ76">
        <v>5</v>
      </c>
      <c r="AK76">
        <v>5</v>
      </c>
      <c r="AL76">
        <v>5</v>
      </c>
      <c r="AM76">
        <v>5</v>
      </c>
      <c r="AN76">
        <v>5</v>
      </c>
      <c r="AO76">
        <v>5</v>
      </c>
      <c r="AP76">
        <v>5</v>
      </c>
      <c r="AQ76">
        <v>5</v>
      </c>
      <c r="AR76">
        <v>5</v>
      </c>
      <c r="AS76">
        <v>5</v>
      </c>
      <c r="AT76">
        <v>5</v>
      </c>
      <c r="AU76">
        <v>5</v>
      </c>
      <c r="AV76">
        <v>5</v>
      </c>
      <c r="AW76">
        <v>5</v>
      </c>
      <c r="AX76">
        <v>5</v>
      </c>
      <c r="AY76" s="23">
        <v>7</v>
      </c>
      <c r="AZ76" s="23">
        <v>7</v>
      </c>
      <c r="BA76" s="23">
        <v>7</v>
      </c>
      <c r="BB76" s="23">
        <v>7</v>
      </c>
      <c r="BC76" s="23">
        <v>7</v>
      </c>
      <c r="BD76" s="23">
        <v>7</v>
      </c>
      <c r="BE76" s="23">
        <v>7</v>
      </c>
      <c r="BF76" s="23">
        <v>7</v>
      </c>
      <c r="BG76" s="23">
        <v>7</v>
      </c>
      <c r="BH76" s="23">
        <v>7</v>
      </c>
      <c r="BI76" s="23">
        <v>7</v>
      </c>
      <c r="BJ76" s="23">
        <v>7</v>
      </c>
      <c r="BK76" s="23">
        <v>7</v>
      </c>
      <c r="BL76" s="23">
        <v>7</v>
      </c>
      <c r="BM76" s="23">
        <v>7</v>
      </c>
      <c r="BN76" s="23">
        <v>7</v>
      </c>
      <c r="BO76" s="23">
        <v>7</v>
      </c>
      <c r="BP76" s="23">
        <v>7</v>
      </c>
      <c r="BQ76" s="23">
        <v>7</v>
      </c>
      <c r="BR76" s="23">
        <v>7</v>
      </c>
      <c r="BS76" s="23">
        <v>7</v>
      </c>
      <c r="BT76" s="23">
        <v>7</v>
      </c>
      <c r="BU76" s="23">
        <v>7</v>
      </c>
      <c r="BV76" s="23">
        <v>7</v>
      </c>
      <c r="BW76" s="23">
        <v>7</v>
      </c>
      <c r="BX76" s="23">
        <v>7</v>
      </c>
      <c r="BY76" s="23">
        <v>7</v>
      </c>
    </row>
    <row r="77" spans="2:81" ht="13.2" customHeight="1" x14ac:dyDescent="0.25">
      <c r="B77" s="2">
        <f t="shared" si="1"/>
        <v>75</v>
      </c>
      <c r="C77" s="21">
        <v>26</v>
      </c>
      <c r="D77" s="19">
        <v>6</v>
      </c>
      <c r="E77" s="19">
        <v>6</v>
      </c>
      <c r="F77" s="19">
        <v>6</v>
      </c>
      <c r="G77" s="19">
        <v>6</v>
      </c>
      <c r="H77" s="19">
        <v>6</v>
      </c>
      <c r="I77" s="19">
        <v>6</v>
      </c>
      <c r="J77" s="19">
        <v>6</v>
      </c>
      <c r="K77" s="19">
        <v>6</v>
      </c>
      <c r="L77" s="19">
        <v>6</v>
      </c>
      <c r="M77" s="19">
        <v>6</v>
      </c>
      <c r="N77" s="19">
        <v>6</v>
      </c>
      <c r="O77" s="19">
        <v>6</v>
      </c>
      <c r="P77" s="19">
        <v>6</v>
      </c>
      <c r="Q77" s="19">
        <v>6</v>
      </c>
      <c r="R77" s="19">
        <v>6</v>
      </c>
      <c r="S77" s="19">
        <v>6</v>
      </c>
      <c r="T77" s="19">
        <v>6</v>
      </c>
      <c r="U77" s="19">
        <v>6</v>
      </c>
      <c r="V77" s="19">
        <v>6</v>
      </c>
      <c r="W77" s="19">
        <v>6</v>
      </c>
      <c r="X77" s="19">
        <v>6</v>
      </c>
      <c r="Y77" s="19">
        <v>6</v>
      </c>
      <c r="Z77" s="19">
        <v>6</v>
      </c>
      <c r="AA77" s="19">
        <v>6</v>
      </c>
      <c r="AB77" s="19">
        <v>6</v>
      </c>
      <c r="AC77">
        <v>5</v>
      </c>
      <c r="AD77">
        <v>5</v>
      </c>
      <c r="AE77">
        <v>5</v>
      </c>
      <c r="AF77">
        <v>5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 s="23">
        <v>7</v>
      </c>
      <c r="BA77" s="23">
        <v>7</v>
      </c>
      <c r="BB77" s="23">
        <v>7</v>
      </c>
      <c r="BC77" s="23">
        <v>7</v>
      </c>
      <c r="BD77" s="23">
        <v>7</v>
      </c>
      <c r="BE77" s="23">
        <v>7</v>
      </c>
      <c r="BF77" s="23">
        <v>7</v>
      </c>
      <c r="BG77" s="23">
        <v>7</v>
      </c>
      <c r="BH77" s="23">
        <v>7</v>
      </c>
      <c r="BI77" s="23">
        <v>7</v>
      </c>
      <c r="BJ77" s="23">
        <v>7</v>
      </c>
      <c r="BK77" s="23">
        <v>7</v>
      </c>
      <c r="BL77" s="23">
        <v>7</v>
      </c>
      <c r="BM77" s="23">
        <v>7</v>
      </c>
      <c r="BN77" s="23">
        <v>7</v>
      </c>
      <c r="BO77" s="23">
        <v>7</v>
      </c>
      <c r="BP77" s="23">
        <v>7</v>
      </c>
      <c r="BQ77" s="23">
        <v>7</v>
      </c>
      <c r="BR77" s="23">
        <v>7</v>
      </c>
      <c r="BS77" s="23">
        <v>7</v>
      </c>
      <c r="BT77" s="23">
        <v>7</v>
      </c>
      <c r="BU77" s="23">
        <v>7</v>
      </c>
      <c r="BV77" s="23">
        <v>7</v>
      </c>
      <c r="BW77" s="23">
        <v>7</v>
      </c>
      <c r="BX77" s="23">
        <v>7</v>
      </c>
      <c r="BY77" s="23">
        <v>7</v>
      </c>
      <c r="BZ77" s="23">
        <v>7</v>
      </c>
    </row>
    <row r="78" spans="2:81" ht="13.2" customHeight="1" x14ac:dyDescent="0.25">
      <c r="B78" s="2">
        <f t="shared" si="1"/>
        <v>76</v>
      </c>
      <c r="C78" s="21">
        <v>25</v>
      </c>
      <c r="D78" s="19">
        <v>6</v>
      </c>
      <c r="E78" s="19">
        <v>6</v>
      </c>
      <c r="F78" s="19">
        <v>6</v>
      </c>
      <c r="G78" s="19">
        <v>6</v>
      </c>
      <c r="H78" s="19">
        <v>6</v>
      </c>
      <c r="I78" s="19">
        <v>6</v>
      </c>
      <c r="J78" s="19">
        <v>6</v>
      </c>
      <c r="K78" s="19">
        <v>6</v>
      </c>
      <c r="L78" s="19">
        <v>6</v>
      </c>
      <c r="M78" s="19">
        <v>6</v>
      </c>
      <c r="N78" s="19">
        <v>6</v>
      </c>
      <c r="O78" s="19">
        <v>6</v>
      </c>
      <c r="P78" s="19">
        <v>6</v>
      </c>
      <c r="Q78" s="19">
        <v>6</v>
      </c>
      <c r="R78" s="19">
        <v>6</v>
      </c>
      <c r="S78" s="19">
        <v>6</v>
      </c>
      <c r="T78" s="19">
        <v>6</v>
      </c>
      <c r="U78" s="19">
        <v>6</v>
      </c>
      <c r="V78" s="19">
        <v>6</v>
      </c>
      <c r="W78" s="19">
        <v>6</v>
      </c>
      <c r="X78" s="19">
        <v>6</v>
      </c>
      <c r="Y78" s="19">
        <v>6</v>
      </c>
      <c r="Z78" s="19">
        <v>6</v>
      </c>
      <c r="AA78" s="19">
        <v>6</v>
      </c>
      <c r="AB78" s="19">
        <v>6</v>
      </c>
      <c r="AC78" s="19">
        <v>6</v>
      </c>
      <c r="AD78">
        <v>5</v>
      </c>
      <c r="AE78">
        <v>5</v>
      </c>
      <c r="AF78">
        <v>5</v>
      </c>
      <c r="AG78">
        <v>5</v>
      </c>
      <c r="AH78">
        <v>5</v>
      </c>
      <c r="AI78">
        <v>5</v>
      </c>
      <c r="AJ78">
        <v>5</v>
      </c>
      <c r="AK78">
        <v>5</v>
      </c>
      <c r="AL78">
        <v>5</v>
      </c>
      <c r="AM78">
        <v>5</v>
      </c>
      <c r="AN78">
        <v>5</v>
      </c>
      <c r="AO78">
        <v>5</v>
      </c>
      <c r="AP78">
        <v>5</v>
      </c>
      <c r="AQ78">
        <v>5</v>
      </c>
      <c r="AR78">
        <v>5</v>
      </c>
      <c r="AS78">
        <v>5</v>
      </c>
      <c r="AT78">
        <v>5</v>
      </c>
      <c r="AU78">
        <v>5</v>
      </c>
      <c r="AV78">
        <v>5</v>
      </c>
      <c r="AW78">
        <v>5</v>
      </c>
      <c r="AX78">
        <v>5</v>
      </c>
      <c r="AY78">
        <v>5</v>
      </c>
      <c r="AZ78">
        <v>5</v>
      </c>
      <c r="BA78" s="23">
        <v>7</v>
      </c>
      <c r="BB78" s="23">
        <v>7</v>
      </c>
      <c r="BC78" s="23">
        <v>7</v>
      </c>
      <c r="BD78" s="23">
        <v>7</v>
      </c>
      <c r="BE78" s="23">
        <v>7</v>
      </c>
      <c r="BF78" s="23">
        <v>7</v>
      </c>
      <c r="BG78" s="23">
        <v>7</v>
      </c>
      <c r="BH78" s="23">
        <v>7</v>
      </c>
      <c r="BI78" s="23">
        <v>7</v>
      </c>
      <c r="BJ78" s="23">
        <v>7</v>
      </c>
      <c r="BK78" s="23">
        <v>7</v>
      </c>
      <c r="BL78" s="23">
        <v>7</v>
      </c>
      <c r="BM78" s="23">
        <v>7</v>
      </c>
      <c r="BN78" s="23">
        <v>7</v>
      </c>
      <c r="BO78" s="23">
        <v>7</v>
      </c>
      <c r="BP78" s="23">
        <v>7</v>
      </c>
      <c r="BQ78" s="23">
        <v>7</v>
      </c>
      <c r="BR78" s="23">
        <v>7</v>
      </c>
      <c r="BS78" s="23">
        <v>7</v>
      </c>
      <c r="BT78" s="23">
        <v>7</v>
      </c>
      <c r="BU78" s="23">
        <v>7</v>
      </c>
      <c r="BV78" s="23">
        <v>7</v>
      </c>
      <c r="BW78" s="23">
        <v>7</v>
      </c>
      <c r="BX78" s="23">
        <v>7</v>
      </c>
      <c r="BY78" s="23">
        <v>7</v>
      </c>
      <c r="BZ78" s="23">
        <v>7</v>
      </c>
      <c r="CA78" s="23">
        <v>7</v>
      </c>
    </row>
    <row r="79" spans="2:81" ht="13.2" customHeight="1" x14ac:dyDescent="0.25">
      <c r="B79" s="2">
        <f t="shared" si="1"/>
        <v>77</v>
      </c>
      <c r="C79" s="21">
        <v>24</v>
      </c>
      <c r="D79" s="19">
        <v>6</v>
      </c>
      <c r="E79" s="19">
        <v>6</v>
      </c>
      <c r="F79" s="19">
        <v>6</v>
      </c>
      <c r="G79" s="19">
        <v>6</v>
      </c>
      <c r="H79" s="19">
        <v>6</v>
      </c>
      <c r="I79" s="19">
        <v>6</v>
      </c>
      <c r="J79" s="19">
        <v>6</v>
      </c>
      <c r="K79" s="19">
        <v>6</v>
      </c>
      <c r="L79" s="19">
        <v>6</v>
      </c>
      <c r="M79" s="19">
        <v>6</v>
      </c>
      <c r="N79" s="19">
        <v>6</v>
      </c>
      <c r="O79" s="19">
        <v>6</v>
      </c>
      <c r="P79" s="19">
        <v>6</v>
      </c>
      <c r="Q79" s="19">
        <v>6</v>
      </c>
      <c r="R79" s="19">
        <v>6</v>
      </c>
      <c r="S79" s="19">
        <v>6</v>
      </c>
      <c r="T79" s="19">
        <v>6</v>
      </c>
      <c r="U79" s="19">
        <v>6</v>
      </c>
      <c r="V79" s="19">
        <v>6</v>
      </c>
      <c r="W79" s="19">
        <v>6</v>
      </c>
      <c r="X79" s="19">
        <v>6</v>
      </c>
      <c r="Y79" s="19">
        <v>6</v>
      </c>
      <c r="Z79" s="19">
        <v>6</v>
      </c>
      <c r="AA79" s="19">
        <v>6</v>
      </c>
      <c r="AB79" s="19">
        <v>6</v>
      </c>
      <c r="AC79" s="19">
        <v>6</v>
      </c>
      <c r="AD79" s="19">
        <v>6</v>
      </c>
      <c r="AE79">
        <v>5</v>
      </c>
      <c r="AF79">
        <v>5</v>
      </c>
      <c r="AG79">
        <v>5</v>
      </c>
      <c r="AH79">
        <v>5</v>
      </c>
      <c r="AI79">
        <v>5</v>
      </c>
      <c r="AJ79">
        <v>5</v>
      </c>
      <c r="AK79">
        <v>5</v>
      </c>
      <c r="AL79">
        <v>5</v>
      </c>
      <c r="AM79">
        <v>5</v>
      </c>
      <c r="AN79">
        <v>5</v>
      </c>
      <c r="AO79">
        <v>5</v>
      </c>
      <c r="AP79">
        <v>5</v>
      </c>
      <c r="AQ79">
        <v>5</v>
      </c>
      <c r="AR79">
        <v>5</v>
      </c>
      <c r="AS79">
        <v>5</v>
      </c>
      <c r="AT79">
        <v>5</v>
      </c>
      <c r="AU79">
        <v>5</v>
      </c>
      <c r="AV79">
        <v>5</v>
      </c>
      <c r="AW79">
        <v>5</v>
      </c>
      <c r="AX79">
        <v>5</v>
      </c>
      <c r="AY79">
        <v>5</v>
      </c>
      <c r="AZ79">
        <v>5</v>
      </c>
      <c r="BA79">
        <v>5</v>
      </c>
      <c r="BB79" s="23">
        <v>7</v>
      </c>
      <c r="BC79" s="23">
        <v>7</v>
      </c>
      <c r="BD79" s="23">
        <v>7</v>
      </c>
      <c r="BE79" s="23">
        <v>7</v>
      </c>
      <c r="BF79" s="23">
        <v>7</v>
      </c>
      <c r="BG79" s="23">
        <v>7</v>
      </c>
      <c r="BH79" s="23">
        <v>7</v>
      </c>
      <c r="BI79" s="23">
        <v>7</v>
      </c>
      <c r="BJ79" s="23">
        <v>7</v>
      </c>
      <c r="BK79" s="23">
        <v>7</v>
      </c>
      <c r="BL79" s="23">
        <v>7</v>
      </c>
      <c r="BM79" s="23">
        <v>7</v>
      </c>
      <c r="BN79" s="23">
        <v>7</v>
      </c>
      <c r="BO79" s="23">
        <v>7</v>
      </c>
      <c r="BP79" s="23">
        <v>7</v>
      </c>
      <c r="BQ79" s="23">
        <v>7</v>
      </c>
      <c r="BR79" s="23">
        <v>7</v>
      </c>
      <c r="BS79" s="23">
        <v>7</v>
      </c>
      <c r="BT79" s="23">
        <v>7</v>
      </c>
      <c r="BU79" s="23">
        <v>7</v>
      </c>
      <c r="BV79" s="23">
        <v>7</v>
      </c>
      <c r="BW79" s="23">
        <v>7</v>
      </c>
      <c r="BX79" s="23">
        <v>7</v>
      </c>
      <c r="BY79" s="23">
        <v>7</v>
      </c>
      <c r="BZ79" s="23">
        <v>7</v>
      </c>
      <c r="CA79" s="23">
        <v>7</v>
      </c>
      <c r="CB79" s="23">
        <v>7</v>
      </c>
    </row>
    <row r="80" spans="2:81" ht="13.2" customHeight="1" x14ac:dyDescent="0.25">
      <c r="B80" s="2">
        <f t="shared" si="1"/>
        <v>78</v>
      </c>
      <c r="C80" s="21">
        <v>23</v>
      </c>
      <c r="D80" s="19">
        <v>6</v>
      </c>
      <c r="E80" s="19">
        <v>6</v>
      </c>
      <c r="F80" s="19">
        <v>6</v>
      </c>
      <c r="G80" s="19">
        <v>6</v>
      </c>
      <c r="H80" s="19">
        <v>6</v>
      </c>
      <c r="I80" s="19">
        <v>6</v>
      </c>
      <c r="J80" s="19">
        <v>6</v>
      </c>
      <c r="K80" s="19">
        <v>6</v>
      </c>
      <c r="L80" s="19">
        <v>6</v>
      </c>
      <c r="M80" s="19">
        <v>6</v>
      </c>
      <c r="N80" s="19">
        <v>6</v>
      </c>
      <c r="O80" s="19">
        <v>6</v>
      </c>
      <c r="P80" s="19">
        <v>6</v>
      </c>
      <c r="Q80" s="19">
        <v>6</v>
      </c>
      <c r="R80" s="19">
        <v>6</v>
      </c>
      <c r="S80" s="19">
        <v>6</v>
      </c>
      <c r="T80" s="19">
        <v>6</v>
      </c>
      <c r="U80" s="19">
        <v>6</v>
      </c>
      <c r="V80" s="19">
        <v>6</v>
      </c>
      <c r="W80" s="19">
        <v>6</v>
      </c>
      <c r="X80" s="19">
        <v>6</v>
      </c>
      <c r="Y80" s="19">
        <v>6</v>
      </c>
      <c r="Z80" s="19">
        <v>6</v>
      </c>
      <c r="AA80" s="19">
        <v>6</v>
      </c>
      <c r="AB80" s="19">
        <v>6</v>
      </c>
      <c r="AC80" s="19">
        <v>6</v>
      </c>
      <c r="AD80" s="19">
        <v>6</v>
      </c>
      <c r="AE80" s="19">
        <v>6</v>
      </c>
      <c r="AF80">
        <v>5</v>
      </c>
      <c r="AG80">
        <v>5</v>
      </c>
      <c r="AH80">
        <v>5</v>
      </c>
      <c r="AI80">
        <v>5</v>
      </c>
      <c r="AJ80">
        <v>5</v>
      </c>
      <c r="AK80">
        <v>5</v>
      </c>
      <c r="AL80">
        <v>5</v>
      </c>
      <c r="AM80">
        <v>5</v>
      </c>
      <c r="AN80">
        <v>5</v>
      </c>
      <c r="AO80">
        <v>5</v>
      </c>
      <c r="AP80">
        <v>5</v>
      </c>
      <c r="AQ80">
        <v>5</v>
      </c>
      <c r="AR80">
        <v>5</v>
      </c>
      <c r="AS80">
        <v>5</v>
      </c>
      <c r="AT80">
        <v>5</v>
      </c>
      <c r="AU80">
        <v>5</v>
      </c>
      <c r="AV80">
        <v>5</v>
      </c>
      <c r="AW80">
        <v>5</v>
      </c>
      <c r="AX80">
        <v>5</v>
      </c>
      <c r="AY80">
        <v>5</v>
      </c>
      <c r="AZ80">
        <v>5</v>
      </c>
      <c r="BA80">
        <v>5</v>
      </c>
      <c r="BB80">
        <v>5</v>
      </c>
      <c r="BC80" s="23">
        <v>7</v>
      </c>
      <c r="BD80" s="23">
        <v>7</v>
      </c>
      <c r="BE80" s="23">
        <v>7</v>
      </c>
      <c r="BF80" s="23">
        <v>7</v>
      </c>
      <c r="BG80" s="23">
        <v>7</v>
      </c>
      <c r="BH80" s="23">
        <v>7</v>
      </c>
      <c r="BI80" s="23">
        <v>7</v>
      </c>
      <c r="BJ80" s="23">
        <v>7</v>
      </c>
      <c r="BK80" s="23">
        <v>7</v>
      </c>
      <c r="BL80" s="23">
        <v>7</v>
      </c>
      <c r="BM80" s="23">
        <v>7</v>
      </c>
      <c r="BN80" s="23">
        <v>7</v>
      </c>
      <c r="BO80" s="23">
        <v>7</v>
      </c>
      <c r="BP80" s="23">
        <v>7</v>
      </c>
      <c r="BQ80" s="23">
        <v>7</v>
      </c>
      <c r="BR80" s="23">
        <v>7</v>
      </c>
      <c r="BS80" s="23">
        <v>7</v>
      </c>
      <c r="BT80" s="23">
        <v>7</v>
      </c>
      <c r="BU80" s="23">
        <v>7</v>
      </c>
      <c r="BV80" s="23">
        <v>7</v>
      </c>
      <c r="BW80" s="23">
        <v>7</v>
      </c>
      <c r="BX80" s="23">
        <v>7</v>
      </c>
      <c r="BY80" s="23">
        <v>7</v>
      </c>
      <c r="BZ80" s="23">
        <v>7</v>
      </c>
      <c r="CA80" s="23">
        <v>7</v>
      </c>
      <c r="CB80" s="23">
        <v>7</v>
      </c>
      <c r="CC80" s="23">
        <v>7</v>
      </c>
    </row>
    <row r="81" spans="2:97" ht="13.2" customHeight="1" x14ac:dyDescent="0.25">
      <c r="B81" s="2">
        <f t="shared" si="1"/>
        <v>79</v>
      </c>
      <c r="C81" s="21">
        <v>22</v>
      </c>
      <c r="D81" s="19">
        <v>6</v>
      </c>
      <c r="E81" s="19">
        <v>6</v>
      </c>
      <c r="F81" s="19">
        <v>6</v>
      </c>
      <c r="G81" s="19">
        <v>6</v>
      </c>
      <c r="H81" s="19">
        <v>6</v>
      </c>
      <c r="I81" s="19">
        <v>6</v>
      </c>
      <c r="J81" s="19">
        <v>6</v>
      </c>
      <c r="K81" s="19">
        <v>6</v>
      </c>
      <c r="L81" s="19">
        <v>6</v>
      </c>
      <c r="M81" s="19">
        <v>6</v>
      </c>
      <c r="N81" s="19">
        <v>6</v>
      </c>
      <c r="O81" s="19">
        <v>6</v>
      </c>
      <c r="P81" s="19">
        <v>6</v>
      </c>
      <c r="Q81" s="19">
        <v>6</v>
      </c>
      <c r="R81" s="19">
        <v>6</v>
      </c>
      <c r="S81" s="19">
        <v>6</v>
      </c>
      <c r="T81" s="19">
        <v>6</v>
      </c>
      <c r="U81" s="19">
        <v>6</v>
      </c>
      <c r="V81" s="19">
        <v>6</v>
      </c>
      <c r="W81" s="19">
        <v>6</v>
      </c>
      <c r="X81" s="19">
        <v>6</v>
      </c>
      <c r="Y81" s="19">
        <v>6</v>
      </c>
      <c r="Z81" s="19">
        <v>6</v>
      </c>
      <c r="AA81" s="19">
        <v>6</v>
      </c>
      <c r="AB81" s="19">
        <v>6</v>
      </c>
      <c r="AC81" s="19">
        <v>6</v>
      </c>
      <c r="AD81" s="19">
        <v>6</v>
      </c>
      <c r="AE81" s="19">
        <v>51</v>
      </c>
      <c r="AF81" s="19">
        <v>6</v>
      </c>
      <c r="AG81">
        <v>5</v>
      </c>
      <c r="AH81">
        <v>5</v>
      </c>
      <c r="AI81">
        <v>5</v>
      </c>
      <c r="AJ81">
        <v>5</v>
      </c>
      <c r="AK81">
        <v>5</v>
      </c>
      <c r="AL81">
        <v>5</v>
      </c>
      <c r="AM81">
        <v>5</v>
      </c>
      <c r="AN81">
        <v>5</v>
      </c>
      <c r="AO81">
        <v>5</v>
      </c>
      <c r="AP81">
        <v>5</v>
      </c>
      <c r="AQ81">
        <v>5</v>
      </c>
      <c r="AR81">
        <v>5</v>
      </c>
      <c r="AS81">
        <v>5</v>
      </c>
      <c r="AT81">
        <v>5</v>
      </c>
      <c r="AU81">
        <v>5</v>
      </c>
      <c r="AV81">
        <v>5</v>
      </c>
      <c r="AW81">
        <v>5</v>
      </c>
      <c r="AX81">
        <v>5</v>
      </c>
      <c r="AY81">
        <v>5</v>
      </c>
      <c r="AZ81">
        <v>5</v>
      </c>
      <c r="BA81">
        <v>5</v>
      </c>
      <c r="BB81">
        <v>5</v>
      </c>
      <c r="BC81">
        <v>5</v>
      </c>
      <c r="BD81" s="23">
        <v>7</v>
      </c>
      <c r="BE81" s="23">
        <v>7</v>
      </c>
      <c r="BF81" s="23">
        <v>7</v>
      </c>
      <c r="BG81" s="23">
        <v>7</v>
      </c>
      <c r="BH81" s="23">
        <v>7</v>
      </c>
      <c r="BI81" s="23">
        <v>7</v>
      </c>
      <c r="BJ81" s="23">
        <v>7</v>
      </c>
      <c r="BK81" s="23">
        <v>7</v>
      </c>
      <c r="BL81" s="23">
        <v>7</v>
      </c>
      <c r="BM81" s="23">
        <v>7</v>
      </c>
      <c r="BN81" s="23">
        <v>7</v>
      </c>
      <c r="BO81" s="23">
        <v>7</v>
      </c>
      <c r="BP81" s="23">
        <v>7</v>
      </c>
      <c r="BQ81" s="23">
        <v>7</v>
      </c>
      <c r="BR81" s="23">
        <v>7</v>
      </c>
      <c r="BS81" s="23">
        <v>7</v>
      </c>
      <c r="BT81" s="23">
        <v>7</v>
      </c>
      <c r="BU81" s="23">
        <v>7</v>
      </c>
      <c r="BV81" s="23">
        <v>7</v>
      </c>
      <c r="BW81" s="23">
        <v>7</v>
      </c>
      <c r="BX81" s="23">
        <v>7</v>
      </c>
      <c r="BY81" s="23">
        <v>7</v>
      </c>
      <c r="BZ81" s="23">
        <v>7</v>
      </c>
      <c r="CA81" s="23">
        <v>7</v>
      </c>
      <c r="CB81" s="23">
        <v>7</v>
      </c>
      <c r="CC81" s="23">
        <v>7</v>
      </c>
      <c r="CD81" s="23">
        <v>7</v>
      </c>
    </row>
    <row r="82" spans="2:97" ht="13.2" customHeight="1" x14ac:dyDescent="0.25">
      <c r="B82" s="2">
        <f t="shared" si="1"/>
        <v>80</v>
      </c>
      <c r="C82" s="21">
        <v>21</v>
      </c>
      <c r="D82" s="19">
        <v>6</v>
      </c>
      <c r="E82" s="19">
        <v>6</v>
      </c>
      <c r="F82" s="19">
        <v>6</v>
      </c>
      <c r="G82" s="19">
        <v>6</v>
      </c>
      <c r="H82" s="19">
        <v>6</v>
      </c>
      <c r="I82" s="19">
        <v>6</v>
      </c>
      <c r="J82" s="19">
        <v>6</v>
      </c>
      <c r="K82" s="19">
        <v>6</v>
      </c>
      <c r="L82" s="19">
        <v>6</v>
      </c>
      <c r="M82" s="19">
        <v>6</v>
      </c>
      <c r="N82" s="19">
        <v>6</v>
      </c>
      <c r="O82" s="19">
        <v>6</v>
      </c>
      <c r="P82" s="19">
        <v>6</v>
      </c>
      <c r="Q82" s="19">
        <v>6</v>
      </c>
      <c r="R82" s="19">
        <v>6</v>
      </c>
      <c r="S82" s="19">
        <v>6</v>
      </c>
      <c r="T82" s="19">
        <v>6</v>
      </c>
      <c r="U82" s="19">
        <v>6</v>
      </c>
      <c r="V82" s="19">
        <v>6</v>
      </c>
      <c r="W82" s="19">
        <v>6</v>
      </c>
      <c r="X82" s="19">
        <v>6</v>
      </c>
      <c r="Y82" s="19">
        <v>6</v>
      </c>
      <c r="Z82" s="19">
        <v>6</v>
      </c>
      <c r="AA82" s="19">
        <v>6</v>
      </c>
      <c r="AB82" s="19">
        <v>6</v>
      </c>
      <c r="AC82" s="19">
        <v>6</v>
      </c>
      <c r="AD82" s="19">
        <v>6</v>
      </c>
      <c r="AE82" s="19">
        <v>6</v>
      </c>
      <c r="AF82" s="19">
        <v>6</v>
      </c>
      <c r="AG82" s="19">
        <v>6</v>
      </c>
      <c r="AH82">
        <v>5</v>
      </c>
      <c r="AI82">
        <v>5</v>
      </c>
      <c r="AJ82">
        <v>5</v>
      </c>
      <c r="AK82">
        <v>5</v>
      </c>
      <c r="AL82">
        <v>5</v>
      </c>
      <c r="AM82">
        <v>5</v>
      </c>
      <c r="AN82">
        <v>5</v>
      </c>
      <c r="AO82">
        <v>5</v>
      </c>
      <c r="AP82">
        <v>5</v>
      </c>
      <c r="AQ82">
        <v>5</v>
      </c>
      <c r="AR82">
        <v>5</v>
      </c>
      <c r="AS82">
        <v>5</v>
      </c>
      <c r="AT82">
        <v>5</v>
      </c>
      <c r="AU82">
        <v>5</v>
      </c>
      <c r="AV82">
        <v>5</v>
      </c>
      <c r="AW82">
        <v>5</v>
      </c>
      <c r="AX82">
        <v>5</v>
      </c>
      <c r="AY82">
        <v>5</v>
      </c>
      <c r="AZ82">
        <v>5</v>
      </c>
      <c r="BA82">
        <v>5</v>
      </c>
      <c r="BB82">
        <v>5</v>
      </c>
      <c r="BC82">
        <v>5</v>
      </c>
      <c r="BD82">
        <v>5</v>
      </c>
      <c r="BE82" s="23">
        <v>7</v>
      </c>
      <c r="BF82" s="23">
        <v>7</v>
      </c>
      <c r="BG82" s="23">
        <v>7</v>
      </c>
      <c r="BH82" s="23">
        <v>7</v>
      </c>
      <c r="BI82" s="23">
        <v>7</v>
      </c>
      <c r="BJ82" s="23">
        <v>7</v>
      </c>
      <c r="BK82" s="23">
        <v>7</v>
      </c>
      <c r="BL82" s="23">
        <v>7</v>
      </c>
      <c r="BM82" s="23">
        <v>7</v>
      </c>
      <c r="BN82" s="23">
        <v>7</v>
      </c>
      <c r="BO82" s="23">
        <v>7</v>
      </c>
      <c r="BP82" s="23">
        <v>7</v>
      </c>
      <c r="BQ82" s="23">
        <v>7</v>
      </c>
      <c r="BR82" s="23">
        <v>7</v>
      </c>
      <c r="BS82" s="23">
        <v>7</v>
      </c>
      <c r="BT82" s="23">
        <v>7</v>
      </c>
      <c r="BU82" s="23">
        <v>7</v>
      </c>
      <c r="BV82" s="23">
        <v>7</v>
      </c>
      <c r="BW82" s="23">
        <v>7</v>
      </c>
      <c r="BX82" s="23">
        <v>7</v>
      </c>
      <c r="BY82" s="23">
        <v>7</v>
      </c>
      <c r="BZ82" s="23">
        <v>7</v>
      </c>
      <c r="CA82" s="23">
        <v>7</v>
      </c>
      <c r="CB82" s="23">
        <v>7</v>
      </c>
      <c r="CC82" s="23">
        <v>7</v>
      </c>
      <c r="CD82" s="23">
        <v>7</v>
      </c>
      <c r="CE82" s="23">
        <v>7</v>
      </c>
    </row>
    <row r="83" spans="2:97" ht="13.2" customHeight="1" x14ac:dyDescent="0.25">
      <c r="B83" s="2">
        <f t="shared" si="1"/>
        <v>81</v>
      </c>
      <c r="C83" s="21">
        <v>20</v>
      </c>
      <c r="D83" s="19">
        <v>6</v>
      </c>
      <c r="E83" s="19">
        <v>6</v>
      </c>
      <c r="F83" s="19">
        <v>6</v>
      </c>
      <c r="G83" s="19">
        <v>6</v>
      </c>
      <c r="H83" s="19">
        <v>6</v>
      </c>
      <c r="I83" s="19">
        <v>6</v>
      </c>
      <c r="J83" s="19">
        <v>6</v>
      </c>
      <c r="K83" s="19">
        <v>6</v>
      </c>
      <c r="L83" s="19">
        <v>6</v>
      </c>
      <c r="M83" s="19">
        <v>6</v>
      </c>
      <c r="N83" s="19">
        <v>6</v>
      </c>
      <c r="O83" s="19">
        <v>6</v>
      </c>
      <c r="P83" s="19">
        <v>6</v>
      </c>
      <c r="Q83" s="19">
        <v>6</v>
      </c>
      <c r="R83" s="19">
        <v>6</v>
      </c>
      <c r="S83" s="19">
        <v>6</v>
      </c>
      <c r="T83" s="19">
        <v>6</v>
      </c>
      <c r="U83" s="19">
        <v>6</v>
      </c>
      <c r="V83" s="19">
        <v>6</v>
      </c>
      <c r="W83" s="19">
        <v>6</v>
      </c>
      <c r="X83" s="19">
        <v>6</v>
      </c>
      <c r="Y83" s="19">
        <v>6</v>
      </c>
      <c r="Z83" s="19">
        <v>6</v>
      </c>
      <c r="AA83" s="19">
        <v>6</v>
      </c>
      <c r="AB83" s="19">
        <v>6</v>
      </c>
      <c r="AC83" s="19">
        <v>6</v>
      </c>
      <c r="AD83" s="19">
        <v>6</v>
      </c>
      <c r="AE83" s="19">
        <v>6</v>
      </c>
      <c r="AF83" s="19">
        <v>6</v>
      </c>
      <c r="AG83" s="19">
        <v>6</v>
      </c>
      <c r="AH83" s="19">
        <v>6</v>
      </c>
      <c r="AI83">
        <v>5</v>
      </c>
      <c r="AJ83">
        <v>5</v>
      </c>
      <c r="AK83">
        <v>5</v>
      </c>
      <c r="AL83">
        <v>5</v>
      </c>
      <c r="AM83">
        <v>5</v>
      </c>
      <c r="AN83">
        <v>5</v>
      </c>
      <c r="AO83">
        <v>5</v>
      </c>
      <c r="AP83">
        <v>5</v>
      </c>
      <c r="AQ83">
        <v>5</v>
      </c>
      <c r="AR83">
        <v>5</v>
      </c>
      <c r="AS83">
        <v>5</v>
      </c>
      <c r="AT83">
        <v>5</v>
      </c>
      <c r="AU83">
        <v>5</v>
      </c>
      <c r="AV83">
        <v>5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5</v>
      </c>
      <c r="BD83">
        <v>5</v>
      </c>
      <c r="BE83">
        <v>5</v>
      </c>
      <c r="BF83" s="23">
        <v>7</v>
      </c>
      <c r="BG83" s="23">
        <v>7</v>
      </c>
      <c r="BH83" s="23">
        <v>7</v>
      </c>
      <c r="BI83" s="23">
        <v>7</v>
      </c>
      <c r="BJ83" s="23">
        <v>7</v>
      </c>
      <c r="BK83" s="23">
        <v>7</v>
      </c>
      <c r="BL83" s="23">
        <v>7</v>
      </c>
      <c r="BM83" s="23">
        <v>7</v>
      </c>
      <c r="BN83" s="23">
        <v>7</v>
      </c>
      <c r="BO83" s="23">
        <v>7</v>
      </c>
      <c r="BP83" s="23">
        <v>7</v>
      </c>
      <c r="BQ83" s="23">
        <v>7</v>
      </c>
      <c r="BR83" s="23">
        <v>7</v>
      </c>
      <c r="BS83" s="23">
        <v>7</v>
      </c>
      <c r="BT83" s="23">
        <v>7</v>
      </c>
      <c r="BU83" s="23">
        <v>7</v>
      </c>
      <c r="BV83" s="23">
        <v>7</v>
      </c>
      <c r="BW83" s="23">
        <v>7</v>
      </c>
      <c r="BX83" s="23">
        <v>7</v>
      </c>
      <c r="BY83" s="23">
        <v>7</v>
      </c>
      <c r="BZ83" s="23">
        <v>7</v>
      </c>
      <c r="CA83" s="23">
        <v>7</v>
      </c>
      <c r="CB83" s="23">
        <v>7</v>
      </c>
      <c r="CC83" s="23">
        <v>7</v>
      </c>
      <c r="CD83" s="23">
        <v>7</v>
      </c>
      <c r="CE83" s="23">
        <v>7</v>
      </c>
      <c r="CF83" s="23">
        <v>7</v>
      </c>
    </row>
    <row r="84" spans="2:97" ht="13.2" customHeight="1" x14ac:dyDescent="0.25">
      <c r="B84" s="2">
        <f t="shared" si="1"/>
        <v>82</v>
      </c>
      <c r="C84" s="21">
        <v>19</v>
      </c>
      <c r="D84" s="19">
        <v>6</v>
      </c>
      <c r="E84" s="19">
        <v>6</v>
      </c>
      <c r="F84" s="19">
        <v>6</v>
      </c>
      <c r="G84" s="19">
        <v>6</v>
      </c>
      <c r="H84" s="19">
        <v>6</v>
      </c>
      <c r="I84" s="19">
        <v>6</v>
      </c>
      <c r="J84" s="19">
        <v>6</v>
      </c>
      <c r="K84" s="19">
        <v>6</v>
      </c>
      <c r="L84" s="19">
        <v>6</v>
      </c>
      <c r="M84" s="19">
        <v>6</v>
      </c>
      <c r="N84" s="19">
        <v>6</v>
      </c>
      <c r="O84" s="19">
        <v>6</v>
      </c>
      <c r="P84" s="19">
        <v>6</v>
      </c>
      <c r="Q84" s="19">
        <v>6</v>
      </c>
      <c r="R84" s="19">
        <v>6</v>
      </c>
      <c r="S84" s="19">
        <v>6</v>
      </c>
      <c r="T84" s="19">
        <v>6</v>
      </c>
      <c r="U84" s="19">
        <v>6</v>
      </c>
      <c r="V84" s="19">
        <v>6</v>
      </c>
      <c r="W84" s="19">
        <v>6</v>
      </c>
      <c r="X84" s="19">
        <v>6</v>
      </c>
      <c r="Y84" s="19">
        <v>6</v>
      </c>
      <c r="Z84" s="19">
        <v>6</v>
      </c>
      <c r="AA84" s="19">
        <v>6</v>
      </c>
      <c r="AB84" s="19">
        <v>6</v>
      </c>
      <c r="AC84" s="19">
        <v>6</v>
      </c>
      <c r="AD84" s="19">
        <v>6</v>
      </c>
      <c r="AE84" s="19">
        <v>6</v>
      </c>
      <c r="AF84" s="19">
        <v>6</v>
      </c>
      <c r="AG84" s="19">
        <v>6</v>
      </c>
      <c r="AH84" s="19">
        <v>6</v>
      </c>
      <c r="AI84" s="19">
        <v>6</v>
      </c>
      <c r="AJ84">
        <v>5</v>
      </c>
      <c r="AK84">
        <v>5</v>
      </c>
      <c r="AL84">
        <v>5</v>
      </c>
      <c r="AM84">
        <v>5</v>
      </c>
      <c r="AN84">
        <v>5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 s="25">
        <v>4</v>
      </c>
      <c r="BG84" s="25">
        <v>4</v>
      </c>
      <c r="BH84" s="25">
        <v>4</v>
      </c>
      <c r="BI84" s="25">
        <v>4</v>
      </c>
      <c r="BJ84" s="25">
        <v>4</v>
      </c>
      <c r="BK84" s="25">
        <v>4</v>
      </c>
      <c r="BL84" s="25">
        <v>4</v>
      </c>
      <c r="BM84" s="25">
        <v>4</v>
      </c>
      <c r="BN84" s="25">
        <v>4</v>
      </c>
      <c r="BO84" s="25">
        <v>4</v>
      </c>
      <c r="BP84" s="25">
        <v>4</v>
      </c>
      <c r="BQ84" s="25">
        <v>4</v>
      </c>
      <c r="BR84" s="25">
        <v>4</v>
      </c>
      <c r="BS84" s="25">
        <v>4</v>
      </c>
      <c r="BT84" s="25">
        <v>4</v>
      </c>
      <c r="BU84" s="25">
        <v>4</v>
      </c>
      <c r="BV84" s="25">
        <v>4</v>
      </c>
      <c r="BW84" s="25">
        <v>4</v>
      </c>
      <c r="BX84" s="25">
        <v>4</v>
      </c>
      <c r="BY84" s="25">
        <v>4</v>
      </c>
      <c r="BZ84" s="25">
        <v>4</v>
      </c>
      <c r="CA84" s="25">
        <v>4</v>
      </c>
      <c r="CB84" s="25">
        <v>4</v>
      </c>
      <c r="CC84" s="25">
        <v>4</v>
      </c>
      <c r="CD84" s="25">
        <v>4</v>
      </c>
      <c r="CE84" s="25">
        <v>4</v>
      </c>
      <c r="CF84" s="25">
        <v>4</v>
      </c>
      <c r="CG84" s="25">
        <v>4</v>
      </c>
    </row>
    <row r="85" spans="2:97" ht="13.2" customHeight="1" x14ac:dyDescent="0.25">
      <c r="B85" s="2">
        <f t="shared" si="1"/>
        <v>83</v>
      </c>
      <c r="C85" s="21">
        <v>18</v>
      </c>
      <c r="D85" s="19">
        <v>6</v>
      </c>
      <c r="E85" s="19">
        <v>6</v>
      </c>
      <c r="F85" s="19">
        <v>6</v>
      </c>
      <c r="G85" s="19">
        <v>6</v>
      </c>
      <c r="H85" s="19">
        <v>6</v>
      </c>
      <c r="I85" s="19">
        <v>6</v>
      </c>
      <c r="J85" s="19">
        <v>6</v>
      </c>
      <c r="K85" s="19">
        <v>6</v>
      </c>
      <c r="L85" s="19">
        <v>6</v>
      </c>
      <c r="M85" s="19">
        <v>6</v>
      </c>
      <c r="N85" s="19">
        <v>6</v>
      </c>
      <c r="O85" s="19">
        <v>6</v>
      </c>
      <c r="P85" s="19">
        <v>6</v>
      </c>
      <c r="Q85" s="19">
        <v>6</v>
      </c>
      <c r="R85" s="19">
        <v>6</v>
      </c>
      <c r="S85" s="19">
        <v>6</v>
      </c>
      <c r="T85" s="19">
        <v>6</v>
      </c>
      <c r="U85" s="19">
        <v>6</v>
      </c>
      <c r="V85" s="19">
        <v>6</v>
      </c>
      <c r="W85" s="19">
        <v>6</v>
      </c>
      <c r="X85" s="19">
        <v>6</v>
      </c>
      <c r="Y85" s="19">
        <v>6</v>
      </c>
      <c r="Z85" s="19">
        <v>6</v>
      </c>
      <c r="AA85" s="19">
        <v>6</v>
      </c>
      <c r="AB85" s="19">
        <v>6</v>
      </c>
      <c r="AC85" s="19">
        <v>6</v>
      </c>
      <c r="AD85" s="19">
        <v>6</v>
      </c>
      <c r="AE85" s="19">
        <v>6</v>
      </c>
      <c r="AF85" s="19">
        <v>6</v>
      </c>
      <c r="AG85" s="19">
        <v>6</v>
      </c>
      <c r="AH85" s="19">
        <v>6</v>
      </c>
      <c r="AI85" s="19">
        <v>6</v>
      </c>
      <c r="AJ85" s="19">
        <v>6</v>
      </c>
      <c r="AK85">
        <v>5</v>
      </c>
      <c r="AL85">
        <v>5</v>
      </c>
      <c r="AM85">
        <v>5</v>
      </c>
      <c r="AN85">
        <v>5</v>
      </c>
      <c r="AO85">
        <v>5</v>
      </c>
      <c r="AP85">
        <v>5</v>
      </c>
      <c r="AQ85">
        <v>5</v>
      </c>
      <c r="AR85">
        <v>5</v>
      </c>
      <c r="AS85">
        <v>5</v>
      </c>
      <c r="AT85">
        <v>5</v>
      </c>
      <c r="AU85">
        <v>5</v>
      </c>
      <c r="AV85">
        <v>5</v>
      </c>
      <c r="AW85">
        <v>5</v>
      </c>
      <c r="AX85">
        <v>5</v>
      </c>
      <c r="AY85">
        <v>5</v>
      </c>
      <c r="AZ85">
        <v>5</v>
      </c>
      <c r="BA85">
        <v>5</v>
      </c>
      <c r="BB85">
        <v>5</v>
      </c>
      <c r="BC85">
        <v>5</v>
      </c>
      <c r="BD85">
        <v>5</v>
      </c>
      <c r="BE85">
        <v>5</v>
      </c>
      <c r="BF85" s="25">
        <v>4</v>
      </c>
      <c r="BG85" s="25">
        <v>4</v>
      </c>
      <c r="BH85" s="25">
        <v>4</v>
      </c>
      <c r="BI85" s="25">
        <v>4</v>
      </c>
      <c r="BJ85" s="25">
        <v>4</v>
      </c>
      <c r="BK85" s="25">
        <v>4</v>
      </c>
      <c r="BL85" s="25">
        <v>4</v>
      </c>
      <c r="BM85" s="25">
        <v>4</v>
      </c>
      <c r="BN85" s="25">
        <v>4</v>
      </c>
      <c r="BO85" s="25">
        <v>4</v>
      </c>
      <c r="BP85" s="25">
        <v>4</v>
      </c>
      <c r="BQ85" s="25">
        <v>4</v>
      </c>
      <c r="BR85" s="25">
        <v>4</v>
      </c>
      <c r="BS85" s="25">
        <v>4</v>
      </c>
      <c r="BT85" s="25">
        <v>4</v>
      </c>
      <c r="BU85" s="25">
        <v>4</v>
      </c>
      <c r="BV85" s="25">
        <v>4</v>
      </c>
      <c r="BW85" s="25">
        <v>4</v>
      </c>
      <c r="BX85" s="25">
        <v>4</v>
      </c>
      <c r="BY85" s="25">
        <v>4</v>
      </c>
      <c r="BZ85" s="25">
        <v>4</v>
      </c>
      <c r="CA85" s="25">
        <v>4</v>
      </c>
      <c r="CB85" s="25">
        <v>4</v>
      </c>
      <c r="CC85" s="25">
        <v>4</v>
      </c>
      <c r="CD85" s="25">
        <v>4</v>
      </c>
      <c r="CE85" s="25">
        <v>4</v>
      </c>
      <c r="CF85" s="25">
        <v>4</v>
      </c>
      <c r="CG85" s="25">
        <v>4</v>
      </c>
      <c r="CH85" s="25">
        <v>4</v>
      </c>
    </row>
    <row r="86" spans="2:97" ht="13.2" customHeight="1" x14ac:dyDescent="0.25">
      <c r="B86" s="2">
        <f t="shared" si="1"/>
        <v>84</v>
      </c>
      <c r="C86" s="21">
        <v>17</v>
      </c>
      <c r="D86" s="19">
        <v>6</v>
      </c>
      <c r="E86" s="19">
        <v>6</v>
      </c>
      <c r="F86" s="19">
        <v>6</v>
      </c>
      <c r="G86" s="19">
        <v>6</v>
      </c>
      <c r="H86" s="19">
        <v>6</v>
      </c>
      <c r="I86" s="19">
        <v>6</v>
      </c>
      <c r="J86" s="19">
        <v>6</v>
      </c>
      <c r="K86" s="19">
        <v>6</v>
      </c>
      <c r="L86" s="19">
        <v>6</v>
      </c>
      <c r="M86" s="19">
        <v>6</v>
      </c>
      <c r="N86" s="19">
        <v>6</v>
      </c>
      <c r="O86" s="19">
        <v>6</v>
      </c>
      <c r="P86" s="19">
        <v>6</v>
      </c>
      <c r="Q86" s="19">
        <v>6</v>
      </c>
      <c r="R86" s="19">
        <v>6</v>
      </c>
      <c r="S86" s="19">
        <v>6</v>
      </c>
      <c r="T86" s="19">
        <v>6</v>
      </c>
      <c r="U86" s="19">
        <v>6</v>
      </c>
      <c r="V86" s="19">
        <v>6</v>
      </c>
      <c r="W86" s="19">
        <v>6</v>
      </c>
      <c r="X86" s="19">
        <v>6</v>
      </c>
      <c r="Y86" s="19">
        <v>6</v>
      </c>
      <c r="Z86" s="19">
        <v>6</v>
      </c>
      <c r="AA86" s="19">
        <v>6</v>
      </c>
      <c r="AB86" s="19">
        <v>6</v>
      </c>
      <c r="AC86" s="19">
        <v>6</v>
      </c>
      <c r="AD86" s="19">
        <v>6</v>
      </c>
      <c r="AE86" s="19">
        <v>6</v>
      </c>
      <c r="AF86" s="19">
        <v>6</v>
      </c>
      <c r="AG86" s="19">
        <v>6</v>
      </c>
      <c r="AH86" s="19">
        <v>6</v>
      </c>
      <c r="AI86" s="19">
        <v>6</v>
      </c>
      <c r="AJ86" s="19">
        <v>6</v>
      </c>
      <c r="AK86" s="19">
        <v>6</v>
      </c>
      <c r="AL86">
        <v>5</v>
      </c>
      <c r="AM86">
        <v>5</v>
      </c>
      <c r="AN86">
        <v>5</v>
      </c>
      <c r="AO86">
        <v>5</v>
      </c>
      <c r="AP86">
        <v>5</v>
      </c>
      <c r="AQ86">
        <v>5</v>
      </c>
      <c r="AR86">
        <v>5</v>
      </c>
      <c r="AS86">
        <v>5</v>
      </c>
      <c r="AT86">
        <v>5</v>
      </c>
      <c r="AU86">
        <v>5</v>
      </c>
      <c r="AV86">
        <v>5</v>
      </c>
      <c r="AW86">
        <v>5</v>
      </c>
      <c r="AX86">
        <v>5</v>
      </c>
      <c r="AY86">
        <v>5</v>
      </c>
      <c r="AZ86">
        <v>5</v>
      </c>
      <c r="BA86">
        <v>5</v>
      </c>
      <c r="BB86">
        <v>5</v>
      </c>
      <c r="BC86">
        <v>5</v>
      </c>
      <c r="BD86">
        <v>5</v>
      </c>
      <c r="BE86">
        <v>5</v>
      </c>
      <c r="BF86" s="25">
        <v>4</v>
      </c>
      <c r="BG86" s="25">
        <v>4</v>
      </c>
      <c r="BH86" s="25">
        <v>4</v>
      </c>
      <c r="BI86" s="25">
        <v>4</v>
      </c>
      <c r="BJ86" s="25">
        <v>4</v>
      </c>
      <c r="BK86" s="25">
        <v>4</v>
      </c>
      <c r="BL86" s="25">
        <v>4</v>
      </c>
      <c r="BM86" s="25">
        <v>4</v>
      </c>
      <c r="BN86" s="25">
        <v>4</v>
      </c>
      <c r="BO86" s="25">
        <v>4</v>
      </c>
      <c r="BP86" s="25">
        <v>4</v>
      </c>
      <c r="BQ86" s="25">
        <v>4</v>
      </c>
      <c r="BR86" s="25">
        <v>4</v>
      </c>
      <c r="BS86" s="25">
        <v>4</v>
      </c>
      <c r="BT86" s="25">
        <v>4</v>
      </c>
      <c r="BU86" s="25">
        <v>4</v>
      </c>
      <c r="BV86" s="25">
        <v>4</v>
      </c>
      <c r="BW86" s="25">
        <v>4</v>
      </c>
      <c r="BX86" s="25">
        <v>4</v>
      </c>
      <c r="BY86" s="25">
        <v>4</v>
      </c>
      <c r="BZ86" s="25">
        <v>4</v>
      </c>
      <c r="CA86" s="25">
        <v>4</v>
      </c>
      <c r="CB86" s="25">
        <v>4</v>
      </c>
      <c r="CC86" s="25">
        <v>4</v>
      </c>
      <c r="CD86" s="25">
        <v>4</v>
      </c>
      <c r="CE86" s="25">
        <v>4</v>
      </c>
      <c r="CF86" s="25">
        <v>4</v>
      </c>
      <c r="CG86" s="25">
        <v>4</v>
      </c>
      <c r="CH86" s="25">
        <v>4</v>
      </c>
      <c r="CI86" s="25">
        <v>4</v>
      </c>
    </row>
    <row r="87" spans="2:97" ht="13.2" customHeight="1" x14ac:dyDescent="0.25">
      <c r="B87" s="2">
        <f t="shared" si="1"/>
        <v>85</v>
      </c>
      <c r="C87" s="21">
        <v>16</v>
      </c>
      <c r="D87" s="19">
        <v>6</v>
      </c>
      <c r="E87" s="19">
        <v>6</v>
      </c>
      <c r="F87" s="19">
        <v>6</v>
      </c>
      <c r="G87" s="19">
        <v>6</v>
      </c>
      <c r="H87" s="19">
        <v>6</v>
      </c>
      <c r="I87" s="19">
        <v>6</v>
      </c>
      <c r="J87" s="19">
        <v>6</v>
      </c>
      <c r="K87" s="19">
        <v>6</v>
      </c>
      <c r="L87" s="19">
        <v>6</v>
      </c>
      <c r="M87" s="19">
        <v>6</v>
      </c>
      <c r="N87" s="19">
        <v>6</v>
      </c>
      <c r="O87" s="19">
        <v>6</v>
      </c>
      <c r="P87" s="19">
        <v>6</v>
      </c>
      <c r="Q87" s="19">
        <v>6</v>
      </c>
      <c r="R87" s="19">
        <v>6</v>
      </c>
      <c r="S87" s="19">
        <v>6</v>
      </c>
      <c r="T87" s="19">
        <v>6</v>
      </c>
      <c r="U87" s="19">
        <v>6</v>
      </c>
      <c r="V87" s="19">
        <v>6</v>
      </c>
      <c r="W87" s="19">
        <v>6</v>
      </c>
      <c r="X87" s="19">
        <v>6</v>
      </c>
      <c r="Y87" s="19">
        <v>6</v>
      </c>
      <c r="Z87" s="19">
        <v>6</v>
      </c>
      <c r="AA87" s="19">
        <v>6</v>
      </c>
      <c r="AB87" s="19">
        <v>6</v>
      </c>
      <c r="AC87" s="19">
        <v>6</v>
      </c>
      <c r="AD87" s="19">
        <v>6</v>
      </c>
      <c r="AE87" s="19">
        <v>6</v>
      </c>
      <c r="AF87" s="19">
        <v>6</v>
      </c>
      <c r="AG87" s="19">
        <v>6</v>
      </c>
      <c r="AH87" s="19">
        <v>6</v>
      </c>
      <c r="AI87" s="19">
        <v>6</v>
      </c>
      <c r="AJ87" s="19">
        <v>6</v>
      </c>
      <c r="AK87" s="19">
        <v>6</v>
      </c>
      <c r="AL87" s="19">
        <v>6</v>
      </c>
      <c r="AM87">
        <v>5</v>
      </c>
      <c r="AN87">
        <v>5</v>
      </c>
      <c r="AO87">
        <v>5</v>
      </c>
      <c r="AP87">
        <v>5</v>
      </c>
      <c r="AQ87">
        <v>5</v>
      </c>
      <c r="AR87">
        <v>5</v>
      </c>
      <c r="AS87">
        <v>5</v>
      </c>
      <c r="AT87">
        <v>5</v>
      </c>
      <c r="AU87">
        <v>5</v>
      </c>
      <c r="AV87">
        <v>5</v>
      </c>
      <c r="AW87">
        <v>5</v>
      </c>
      <c r="AX87">
        <v>5</v>
      </c>
      <c r="AY87">
        <v>5</v>
      </c>
      <c r="AZ87">
        <v>5</v>
      </c>
      <c r="BA87">
        <v>5</v>
      </c>
      <c r="BB87">
        <v>5</v>
      </c>
      <c r="BC87">
        <v>5</v>
      </c>
      <c r="BD87">
        <v>5</v>
      </c>
      <c r="BE87">
        <v>5</v>
      </c>
      <c r="BF87" s="25">
        <v>4</v>
      </c>
      <c r="BG87" s="25">
        <v>4</v>
      </c>
      <c r="BH87" s="25">
        <v>4</v>
      </c>
      <c r="BI87" s="25">
        <v>4</v>
      </c>
      <c r="BJ87" s="25">
        <v>4</v>
      </c>
      <c r="BK87" s="25">
        <v>4</v>
      </c>
      <c r="BL87" s="25">
        <v>4</v>
      </c>
      <c r="BM87" s="25">
        <v>4</v>
      </c>
      <c r="BN87" s="25">
        <v>4</v>
      </c>
      <c r="BO87" s="25">
        <v>4</v>
      </c>
      <c r="BP87" s="25">
        <v>4</v>
      </c>
      <c r="BQ87" s="25">
        <v>4</v>
      </c>
      <c r="BR87" s="25">
        <v>4</v>
      </c>
      <c r="BS87" s="25">
        <v>4</v>
      </c>
      <c r="BT87" s="25">
        <v>4</v>
      </c>
      <c r="BU87" s="25">
        <v>4</v>
      </c>
      <c r="BV87" s="25">
        <v>4</v>
      </c>
      <c r="BW87" s="25">
        <v>4</v>
      </c>
      <c r="BX87" s="25">
        <v>4</v>
      </c>
      <c r="BY87" s="25">
        <v>4</v>
      </c>
      <c r="BZ87" s="25">
        <v>4</v>
      </c>
      <c r="CA87" s="25">
        <v>4</v>
      </c>
      <c r="CB87" s="25">
        <v>4</v>
      </c>
      <c r="CC87" s="25">
        <v>4</v>
      </c>
      <c r="CD87" s="25">
        <v>4</v>
      </c>
      <c r="CE87" s="25">
        <v>4</v>
      </c>
      <c r="CF87" s="25">
        <v>4</v>
      </c>
      <c r="CG87" s="25">
        <v>4</v>
      </c>
      <c r="CH87" s="25">
        <v>4</v>
      </c>
      <c r="CI87" s="25">
        <v>4</v>
      </c>
      <c r="CJ87" s="25">
        <v>4</v>
      </c>
    </row>
    <row r="88" spans="2:97" ht="13.2" customHeight="1" x14ac:dyDescent="0.25">
      <c r="B88" s="2">
        <f t="shared" si="1"/>
        <v>86</v>
      </c>
      <c r="C88" s="21">
        <v>15</v>
      </c>
      <c r="D88" s="19">
        <v>6</v>
      </c>
      <c r="E88" s="19">
        <v>6</v>
      </c>
      <c r="F88" s="19">
        <v>6</v>
      </c>
      <c r="G88" s="19">
        <v>6</v>
      </c>
      <c r="H88" s="19">
        <v>6</v>
      </c>
      <c r="I88" s="19">
        <v>6</v>
      </c>
      <c r="J88" s="19">
        <v>6</v>
      </c>
      <c r="K88" s="19">
        <v>6</v>
      </c>
      <c r="L88" s="19">
        <v>6</v>
      </c>
      <c r="M88" s="19">
        <v>6</v>
      </c>
      <c r="N88" s="19">
        <v>6</v>
      </c>
      <c r="O88" s="19">
        <v>6</v>
      </c>
      <c r="P88" s="19">
        <v>6</v>
      </c>
      <c r="Q88" s="19">
        <v>6</v>
      </c>
      <c r="R88" s="19">
        <v>6</v>
      </c>
      <c r="S88" s="19">
        <v>6</v>
      </c>
      <c r="T88" s="19">
        <v>6</v>
      </c>
      <c r="U88" s="19">
        <v>6</v>
      </c>
      <c r="V88" s="19">
        <v>6</v>
      </c>
      <c r="W88" s="19">
        <v>6</v>
      </c>
      <c r="X88" s="19">
        <v>6</v>
      </c>
      <c r="Y88" s="19">
        <v>6</v>
      </c>
      <c r="Z88" s="19">
        <v>6</v>
      </c>
      <c r="AA88" s="19">
        <v>6</v>
      </c>
      <c r="AB88" s="19">
        <v>6</v>
      </c>
      <c r="AC88" s="19">
        <v>6</v>
      </c>
      <c r="AD88" s="19">
        <v>6</v>
      </c>
      <c r="AE88" s="19">
        <v>6</v>
      </c>
      <c r="AF88" s="19">
        <v>6</v>
      </c>
      <c r="AG88" s="19">
        <v>6</v>
      </c>
      <c r="AH88" s="19">
        <v>6</v>
      </c>
      <c r="AI88" s="19">
        <v>6</v>
      </c>
      <c r="AJ88" s="19">
        <v>6</v>
      </c>
      <c r="AK88" s="19">
        <v>6</v>
      </c>
      <c r="AL88" s="19">
        <v>6</v>
      </c>
      <c r="AM88" s="19">
        <v>6</v>
      </c>
      <c r="AN88">
        <v>5</v>
      </c>
      <c r="AO88">
        <v>5</v>
      </c>
      <c r="AP88">
        <v>5</v>
      </c>
      <c r="AQ88">
        <v>5</v>
      </c>
      <c r="AR88">
        <v>5</v>
      </c>
      <c r="AS88">
        <v>5</v>
      </c>
      <c r="AT88">
        <v>5</v>
      </c>
      <c r="AU88">
        <v>5</v>
      </c>
      <c r="AV88">
        <v>5</v>
      </c>
      <c r="AW88">
        <v>5</v>
      </c>
      <c r="AX88">
        <v>5</v>
      </c>
      <c r="AY88">
        <v>5</v>
      </c>
      <c r="AZ88">
        <v>5</v>
      </c>
      <c r="BA88">
        <v>5</v>
      </c>
      <c r="BB88">
        <v>5</v>
      </c>
      <c r="BC88">
        <v>5</v>
      </c>
      <c r="BD88">
        <v>5</v>
      </c>
      <c r="BE88">
        <v>5</v>
      </c>
      <c r="BF88" s="25">
        <v>4</v>
      </c>
      <c r="BG88" s="25">
        <v>4</v>
      </c>
      <c r="BH88" s="25">
        <v>4</v>
      </c>
      <c r="BI88" s="25">
        <v>4</v>
      </c>
      <c r="BJ88" s="25">
        <v>4</v>
      </c>
      <c r="BK88" s="25">
        <v>4</v>
      </c>
      <c r="BL88" s="25">
        <v>4</v>
      </c>
      <c r="BM88" s="25">
        <v>4</v>
      </c>
      <c r="BN88" s="25">
        <v>4</v>
      </c>
      <c r="BO88" s="25">
        <v>4</v>
      </c>
      <c r="BP88" s="25">
        <v>4</v>
      </c>
      <c r="BQ88" s="25">
        <v>4</v>
      </c>
      <c r="BR88" s="25">
        <v>4</v>
      </c>
      <c r="BS88" s="25">
        <v>4</v>
      </c>
      <c r="BT88" s="25">
        <v>4</v>
      </c>
      <c r="BU88" s="25">
        <v>4</v>
      </c>
      <c r="BV88" s="25">
        <v>4</v>
      </c>
      <c r="BW88" s="25">
        <v>4</v>
      </c>
      <c r="BX88" s="25">
        <v>4</v>
      </c>
      <c r="BY88" s="25">
        <v>4</v>
      </c>
      <c r="BZ88" s="25">
        <v>4</v>
      </c>
      <c r="CA88" s="25">
        <v>4</v>
      </c>
      <c r="CB88" s="25">
        <v>4</v>
      </c>
      <c r="CC88" s="25">
        <v>4</v>
      </c>
      <c r="CD88" s="25">
        <v>4</v>
      </c>
      <c r="CE88" s="25">
        <v>4</v>
      </c>
      <c r="CF88" s="25">
        <v>4</v>
      </c>
      <c r="CG88" s="25">
        <v>4</v>
      </c>
      <c r="CH88" s="25">
        <v>4</v>
      </c>
      <c r="CI88" s="25">
        <v>4</v>
      </c>
      <c r="CJ88" s="24">
        <v>2</v>
      </c>
      <c r="CK88" s="24">
        <v>2</v>
      </c>
    </row>
    <row r="89" spans="2:97" ht="13.2" customHeight="1" x14ac:dyDescent="0.25">
      <c r="B89" s="2">
        <f t="shared" si="1"/>
        <v>87</v>
      </c>
      <c r="C89" s="21">
        <v>14</v>
      </c>
      <c r="D89" s="19">
        <v>6</v>
      </c>
      <c r="E89" s="19">
        <v>6</v>
      </c>
      <c r="F89" s="19">
        <v>6</v>
      </c>
      <c r="G89" s="19">
        <v>6</v>
      </c>
      <c r="H89" s="19">
        <v>6</v>
      </c>
      <c r="I89" s="19">
        <v>6</v>
      </c>
      <c r="J89" s="19">
        <v>6</v>
      </c>
      <c r="K89" s="19">
        <v>6</v>
      </c>
      <c r="L89" s="19">
        <v>6</v>
      </c>
      <c r="M89" s="19">
        <v>6</v>
      </c>
      <c r="N89" s="19">
        <v>6</v>
      </c>
      <c r="O89" s="19">
        <v>6</v>
      </c>
      <c r="P89" s="19">
        <v>6</v>
      </c>
      <c r="Q89" s="19">
        <v>6</v>
      </c>
      <c r="R89" s="19">
        <v>6</v>
      </c>
      <c r="S89" s="19">
        <v>6</v>
      </c>
      <c r="T89" s="19">
        <v>6</v>
      </c>
      <c r="U89" s="19">
        <v>6</v>
      </c>
      <c r="V89" s="19">
        <v>6</v>
      </c>
      <c r="W89" s="19">
        <v>6</v>
      </c>
      <c r="X89" s="19">
        <v>6</v>
      </c>
      <c r="Y89" s="19">
        <v>6</v>
      </c>
      <c r="Z89" s="19">
        <v>6</v>
      </c>
      <c r="AA89" s="19">
        <v>6</v>
      </c>
      <c r="AB89" s="19">
        <v>6</v>
      </c>
      <c r="AC89" s="19">
        <v>6</v>
      </c>
      <c r="AD89" s="19">
        <v>6</v>
      </c>
      <c r="AE89" s="19">
        <v>6</v>
      </c>
      <c r="AF89" s="19">
        <v>6</v>
      </c>
      <c r="AG89" s="19">
        <v>6</v>
      </c>
      <c r="AH89" s="19">
        <v>6</v>
      </c>
      <c r="AI89" s="19">
        <v>6</v>
      </c>
      <c r="AJ89" s="19">
        <v>6</v>
      </c>
      <c r="AK89" s="19">
        <v>6</v>
      </c>
      <c r="AL89" s="19">
        <v>6</v>
      </c>
      <c r="AM89" s="19">
        <v>6</v>
      </c>
      <c r="AN89" s="19">
        <v>5</v>
      </c>
      <c r="AO89">
        <v>5</v>
      </c>
      <c r="AP89">
        <v>5</v>
      </c>
      <c r="AQ89">
        <v>5</v>
      </c>
      <c r="AR89">
        <v>5</v>
      </c>
      <c r="AS89">
        <v>5</v>
      </c>
      <c r="AT89">
        <v>5</v>
      </c>
      <c r="AU89">
        <v>5</v>
      </c>
      <c r="AV89">
        <v>5</v>
      </c>
      <c r="AW89">
        <v>5</v>
      </c>
      <c r="AX89">
        <v>5</v>
      </c>
      <c r="AY89">
        <v>5</v>
      </c>
      <c r="AZ89">
        <v>5</v>
      </c>
      <c r="BA89">
        <v>5</v>
      </c>
      <c r="BB89">
        <v>5</v>
      </c>
      <c r="BC89">
        <v>5</v>
      </c>
      <c r="BD89">
        <v>5</v>
      </c>
      <c r="BE89">
        <v>5</v>
      </c>
      <c r="BF89" s="25">
        <v>4</v>
      </c>
      <c r="BG89" s="25">
        <v>4</v>
      </c>
      <c r="BH89" s="25">
        <v>4</v>
      </c>
      <c r="BI89" s="25">
        <v>4</v>
      </c>
      <c r="BJ89" s="25">
        <v>4</v>
      </c>
      <c r="BK89" s="25">
        <v>4</v>
      </c>
      <c r="BL89" s="25">
        <v>4</v>
      </c>
      <c r="BM89" s="25">
        <v>4</v>
      </c>
      <c r="BN89" s="25">
        <v>4</v>
      </c>
      <c r="BO89" s="25">
        <v>4</v>
      </c>
      <c r="BP89" s="25">
        <v>4</v>
      </c>
      <c r="BQ89" s="25">
        <v>4</v>
      </c>
      <c r="BR89" s="25">
        <v>4</v>
      </c>
      <c r="BS89" s="25">
        <v>4</v>
      </c>
      <c r="BT89" s="25">
        <v>4</v>
      </c>
      <c r="BU89" s="25">
        <v>4</v>
      </c>
      <c r="BV89" s="25">
        <v>4</v>
      </c>
      <c r="BW89" s="25">
        <v>4</v>
      </c>
      <c r="BX89" s="25">
        <v>4</v>
      </c>
      <c r="BY89" s="25">
        <v>4</v>
      </c>
      <c r="BZ89" s="25">
        <v>4</v>
      </c>
      <c r="CA89" s="25">
        <v>4</v>
      </c>
      <c r="CB89" s="25">
        <v>4</v>
      </c>
      <c r="CC89" s="25">
        <v>4</v>
      </c>
      <c r="CD89" s="25">
        <v>4</v>
      </c>
      <c r="CE89" s="25">
        <v>4</v>
      </c>
      <c r="CF89" s="25">
        <v>4</v>
      </c>
      <c r="CG89" s="25">
        <v>4</v>
      </c>
      <c r="CH89" s="25">
        <v>4</v>
      </c>
      <c r="CI89" s="24">
        <v>2</v>
      </c>
      <c r="CJ89" s="24">
        <v>2</v>
      </c>
      <c r="CK89" s="24">
        <v>2</v>
      </c>
      <c r="CL89" s="24">
        <v>2</v>
      </c>
    </row>
    <row r="90" spans="2:97" ht="13.2" customHeight="1" x14ac:dyDescent="0.25">
      <c r="B90" s="2">
        <f t="shared" si="1"/>
        <v>88</v>
      </c>
      <c r="C90" s="21">
        <v>13</v>
      </c>
      <c r="D90" s="19">
        <v>6</v>
      </c>
      <c r="E90" s="19">
        <v>6</v>
      </c>
      <c r="F90" s="19">
        <v>6</v>
      </c>
      <c r="G90" s="19">
        <v>6</v>
      </c>
      <c r="H90" s="19">
        <v>6</v>
      </c>
      <c r="I90" s="19">
        <v>6</v>
      </c>
      <c r="J90" s="19">
        <v>6</v>
      </c>
      <c r="K90" s="19">
        <v>6</v>
      </c>
      <c r="L90" s="19">
        <v>6</v>
      </c>
      <c r="M90" s="19">
        <v>6</v>
      </c>
      <c r="N90" s="19">
        <v>6</v>
      </c>
      <c r="O90" s="19">
        <v>6</v>
      </c>
      <c r="P90" s="19">
        <v>6</v>
      </c>
      <c r="Q90" s="19">
        <v>6</v>
      </c>
      <c r="R90" s="19">
        <v>6</v>
      </c>
      <c r="S90" s="19">
        <v>6</v>
      </c>
      <c r="T90" s="19">
        <v>6</v>
      </c>
      <c r="U90" s="19">
        <v>6</v>
      </c>
      <c r="V90" s="19">
        <v>6</v>
      </c>
      <c r="W90" s="19">
        <v>6</v>
      </c>
      <c r="X90" s="19">
        <v>6</v>
      </c>
      <c r="Y90" s="19">
        <v>6</v>
      </c>
      <c r="Z90" s="19">
        <v>6</v>
      </c>
      <c r="AA90" s="19">
        <v>6</v>
      </c>
      <c r="AB90" s="19">
        <v>6</v>
      </c>
      <c r="AC90" s="19">
        <v>6</v>
      </c>
      <c r="AD90" s="19">
        <v>6</v>
      </c>
      <c r="AE90" s="19">
        <v>6</v>
      </c>
      <c r="AF90" s="19">
        <v>6</v>
      </c>
      <c r="AG90" s="19">
        <v>6</v>
      </c>
      <c r="AH90" s="19">
        <v>6</v>
      </c>
      <c r="AI90" s="19">
        <v>6</v>
      </c>
      <c r="AJ90" s="19">
        <v>6</v>
      </c>
      <c r="AK90" s="19">
        <v>6</v>
      </c>
      <c r="AL90" s="19">
        <v>6</v>
      </c>
      <c r="AM90" s="19">
        <v>6</v>
      </c>
      <c r="AN90" s="19">
        <v>6</v>
      </c>
      <c r="AO90" s="19">
        <v>6</v>
      </c>
      <c r="AP90">
        <v>5</v>
      </c>
      <c r="AQ90">
        <v>5</v>
      </c>
      <c r="AR90">
        <v>5</v>
      </c>
      <c r="AS90">
        <v>5</v>
      </c>
      <c r="AT90">
        <v>5</v>
      </c>
      <c r="AU90">
        <v>5</v>
      </c>
      <c r="AV90">
        <v>5</v>
      </c>
      <c r="AW90">
        <v>5</v>
      </c>
      <c r="AX90">
        <v>5</v>
      </c>
      <c r="AY90">
        <v>5</v>
      </c>
      <c r="AZ90">
        <v>5</v>
      </c>
      <c r="BA90">
        <v>5</v>
      </c>
      <c r="BB90">
        <v>5</v>
      </c>
      <c r="BC90">
        <v>5</v>
      </c>
      <c r="BD90">
        <v>5</v>
      </c>
      <c r="BE90">
        <v>5</v>
      </c>
      <c r="BF90" s="25">
        <v>4</v>
      </c>
      <c r="BG90" s="25">
        <v>4</v>
      </c>
      <c r="BH90" s="25">
        <v>4</v>
      </c>
      <c r="BI90" s="25">
        <v>4</v>
      </c>
      <c r="BJ90" s="25">
        <v>4</v>
      </c>
      <c r="BK90" s="25">
        <v>4</v>
      </c>
      <c r="BL90" s="25">
        <v>4</v>
      </c>
      <c r="BM90" s="25">
        <v>4</v>
      </c>
      <c r="BN90" s="25">
        <v>4</v>
      </c>
      <c r="BO90" s="25">
        <v>4</v>
      </c>
      <c r="BP90" s="25">
        <v>4</v>
      </c>
      <c r="BQ90" s="25">
        <v>4</v>
      </c>
      <c r="BR90" s="25">
        <v>4</v>
      </c>
      <c r="BS90" s="25">
        <v>4</v>
      </c>
      <c r="BT90" s="25">
        <v>4</v>
      </c>
      <c r="BU90" s="25">
        <v>4</v>
      </c>
      <c r="BV90" s="25">
        <v>4</v>
      </c>
      <c r="BW90" s="25">
        <v>4</v>
      </c>
      <c r="BX90" s="25">
        <v>4</v>
      </c>
      <c r="BY90" s="25">
        <v>4</v>
      </c>
      <c r="BZ90" s="25">
        <v>4</v>
      </c>
      <c r="CA90" s="25">
        <v>4</v>
      </c>
      <c r="CB90" s="25">
        <v>4</v>
      </c>
      <c r="CC90" s="25">
        <v>4</v>
      </c>
      <c r="CD90" s="25">
        <v>4</v>
      </c>
      <c r="CE90" s="25">
        <v>4</v>
      </c>
      <c r="CF90" s="25">
        <v>4</v>
      </c>
      <c r="CG90" s="25">
        <v>4</v>
      </c>
      <c r="CH90" s="24">
        <v>2</v>
      </c>
      <c r="CI90" s="24">
        <v>2</v>
      </c>
      <c r="CJ90" s="24">
        <v>2</v>
      </c>
      <c r="CK90" s="24">
        <v>2</v>
      </c>
      <c r="CL90" s="24">
        <v>2</v>
      </c>
      <c r="CM90" s="24">
        <v>2</v>
      </c>
    </row>
    <row r="91" spans="2:97" ht="13.2" customHeight="1" x14ac:dyDescent="0.25">
      <c r="B91" s="2">
        <f t="shared" si="1"/>
        <v>89</v>
      </c>
      <c r="C91" s="21">
        <v>12</v>
      </c>
      <c r="D91" s="18">
        <v>3</v>
      </c>
      <c r="E91" s="18">
        <v>3</v>
      </c>
      <c r="F91" s="18">
        <v>3</v>
      </c>
      <c r="G91" s="18">
        <v>3</v>
      </c>
      <c r="H91" s="18">
        <v>3</v>
      </c>
      <c r="I91" s="18">
        <v>3</v>
      </c>
      <c r="J91" s="18">
        <v>3</v>
      </c>
      <c r="K91" s="18">
        <v>3</v>
      </c>
      <c r="L91" s="18">
        <v>3</v>
      </c>
      <c r="M91" s="19">
        <v>6</v>
      </c>
      <c r="N91" s="19">
        <v>6</v>
      </c>
      <c r="O91" s="19">
        <v>6</v>
      </c>
      <c r="P91" s="19">
        <v>6</v>
      </c>
      <c r="Q91" s="19">
        <v>6</v>
      </c>
      <c r="R91" s="19">
        <v>6</v>
      </c>
      <c r="S91" s="19">
        <v>6</v>
      </c>
      <c r="T91" s="19">
        <v>6</v>
      </c>
      <c r="U91" s="19">
        <v>6</v>
      </c>
      <c r="V91" s="19">
        <v>6</v>
      </c>
      <c r="W91" s="19">
        <v>6</v>
      </c>
      <c r="X91" s="19">
        <v>6</v>
      </c>
      <c r="Y91" s="19">
        <v>6</v>
      </c>
      <c r="Z91" s="19">
        <v>6</v>
      </c>
      <c r="AA91" s="19">
        <v>6</v>
      </c>
      <c r="AB91" s="19">
        <v>6</v>
      </c>
      <c r="AC91" s="19">
        <v>6</v>
      </c>
      <c r="AD91" s="19">
        <v>6</v>
      </c>
      <c r="AE91" s="19">
        <v>6</v>
      </c>
      <c r="AF91" s="19">
        <v>6</v>
      </c>
      <c r="AG91" s="19">
        <v>6</v>
      </c>
      <c r="AH91" s="19">
        <v>6</v>
      </c>
      <c r="AI91" s="19">
        <v>6</v>
      </c>
      <c r="AJ91" s="19">
        <v>6</v>
      </c>
      <c r="AK91" s="19">
        <v>6</v>
      </c>
      <c r="AL91" s="19">
        <v>6</v>
      </c>
      <c r="AM91" s="19">
        <v>6</v>
      </c>
      <c r="AN91" s="19">
        <v>6</v>
      </c>
      <c r="AO91" s="19">
        <v>6</v>
      </c>
      <c r="AP91" s="19">
        <v>6</v>
      </c>
      <c r="AQ91">
        <v>5</v>
      </c>
      <c r="AR91">
        <v>5</v>
      </c>
      <c r="AS91">
        <v>5</v>
      </c>
      <c r="AT91">
        <v>5</v>
      </c>
      <c r="AU91">
        <v>5</v>
      </c>
      <c r="AV91">
        <v>5</v>
      </c>
      <c r="AW91">
        <v>5</v>
      </c>
      <c r="AX91">
        <v>5</v>
      </c>
      <c r="AY91">
        <v>5</v>
      </c>
      <c r="AZ91">
        <v>5</v>
      </c>
      <c r="BA91">
        <v>5</v>
      </c>
      <c r="BB91">
        <v>5</v>
      </c>
      <c r="BC91">
        <v>5</v>
      </c>
      <c r="BD91">
        <v>5</v>
      </c>
      <c r="BE91">
        <v>5</v>
      </c>
      <c r="BF91" s="25">
        <v>4</v>
      </c>
      <c r="BG91" s="25">
        <v>4</v>
      </c>
      <c r="BH91" s="25">
        <v>4</v>
      </c>
      <c r="BI91" s="25">
        <v>4</v>
      </c>
      <c r="BJ91" s="25">
        <v>4</v>
      </c>
      <c r="BK91" s="25">
        <v>4</v>
      </c>
      <c r="BL91" s="25">
        <v>4</v>
      </c>
      <c r="BM91" s="25">
        <v>4</v>
      </c>
      <c r="BN91" s="25">
        <v>4</v>
      </c>
      <c r="BO91" s="25">
        <v>4</v>
      </c>
      <c r="BP91" s="25">
        <v>4</v>
      </c>
      <c r="BQ91" s="25">
        <v>4</v>
      </c>
      <c r="BR91" s="25">
        <v>4</v>
      </c>
      <c r="BS91" s="25">
        <v>4</v>
      </c>
      <c r="BT91" s="25">
        <v>4</v>
      </c>
      <c r="BU91" s="25">
        <v>4</v>
      </c>
      <c r="BV91" s="25">
        <v>4</v>
      </c>
      <c r="BW91" s="25">
        <v>4</v>
      </c>
      <c r="BX91" s="25">
        <v>4</v>
      </c>
      <c r="BY91" s="25">
        <v>4</v>
      </c>
      <c r="BZ91" s="25">
        <v>4</v>
      </c>
      <c r="CA91" s="25">
        <v>4</v>
      </c>
      <c r="CB91" s="25">
        <v>4</v>
      </c>
      <c r="CC91" s="25">
        <v>4</v>
      </c>
      <c r="CD91" s="25">
        <v>4</v>
      </c>
      <c r="CE91" s="25">
        <v>4</v>
      </c>
      <c r="CF91" s="25">
        <v>4</v>
      </c>
      <c r="CG91" s="24">
        <v>2</v>
      </c>
      <c r="CH91" s="24">
        <v>2</v>
      </c>
      <c r="CI91" s="24">
        <v>2</v>
      </c>
      <c r="CJ91" s="24">
        <v>2</v>
      </c>
      <c r="CK91" s="24">
        <v>2</v>
      </c>
      <c r="CL91" s="24">
        <v>2</v>
      </c>
      <c r="CM91" s="24">
        <v>2</v>
      </c>
      <c r="CN91" s="24">
        <v>2</v>
      </c>
    </row>
    <row r="92" spans="2:97" ht="13.2" customHeight="1" x14ac:dyDescent="0.25">
      <c r="B92" s="2">
        <f t="shared" si="1"/>
        <v>90</v>
      </c>
      <c r="C92" s="21">
        <v>11</v>
      </c>
      <c r="D92" s="18">
        <v>3</v>
      </c>
      <c r="E92" s="18">
        <v>3</v>
      </c>
      <c r="F92" s="18">
        <v>3</v>
      </c>
      <c r="G92" s="18">
        <v>3</v>
      </c>
      <c r="H92" s="18">
        <v>3</v>
      </c>
      <c r="I92" s="18">
        <v>3</v>
      </c>
      <c r="J92" s="18">
        <v>3</v>
      </c>
      <c r="K92" s="18">
        <v>3</v>
      </c>
      <c r="L92" s="18">
        <v>3</v>
      </c>
      <c r="M92" s="18">
        <v>3</v>
      </c>
      <c r="N92" s="19">
        <v>6</v>
      </c>
      <c r="O92" s="19">
        <v>6</v>
      </c>
      <c r="P92" s="19">
        <v>6</v>
      </c>
      <c r="Q92" s="19">
        <v>6</v>
      </c>
      <c r="R92" s="19">
        <v>6</v>
      </c>
      <c r="S92" s="19">
        <v>6</v>
      </c>
      <c r="T92" s="19">
        <v>6</v>
      </c>
      <c r="U92" s="19">
        <v>6</v>
      </c>
      <c r="V92" s="19">
        <v>6</v>
      </c>
      <c r="W92" s="19">
        <v>6</v>
      </c>
      <c r="X92" s="19">
        <v>6</v>
      </c>
      <c r="Y92" s="19">
        <v>6</v>
      </c>
      <c r="Z92" s="19">
        <v>6</v>
      </c>
      <c r="AA92" s="19">
        <v>6</v>
      </c>
      <c r="AB92" s="19">
        <v>6</v>
      </c>
      <c r="AC92" s="19">
        <v>6</v>
      </c>
      <c r="AD92" s="19">
        <v>6</v>
      </c>
      <c r="AE92" s="19">
        <v>6</v>
      </c>
      <c r="AF92" s="19">
        <v>6</v>
      </c>
      <c r="AG92" s="19">
        <v>6</v>
      </c>
      <c r="AH92" s="19">
        <v>6</v>
      </c>
      <c r="AI92" s="19">
        <v>6</v>
      </c>
      <c r="AJ92" s="19">
        <v>6</v>
      </c>
      <c r="AK92" s="19">
        <v>6</v>
      </c>
      <c r="AL92" s="19">
        <v>6</v>
      </c>
      <c r="AM92" s="19">
        <v>6</v>
      </c>
      <c r="AN92" s="19">
        <v>6</v>
      </c>
      <c r="AO92" s="19">
        <v>6</v>
      </c>
      <c r="AP92" s="19">
        <v>6</v>
      </c>
      <c r="AQ92" s="19">
        <v>6</v>
      </c>
      <c r="AR92">
        <v>5</v>
      </c>
      <c r="AS92">
        <v>5</v>
      </c>
      <c r="AT92">
        <v>5</v>
      </c>
      <c r="AU92">
        <v>5</v>
      </c>
      <c r="AV92">
        <v>5</v>
      </c>
      <c r="AW92">
        <v>5</v>
      </c>
      <c r="AX92">
        <v>5</v>
      </c>
      <c r="AY92">
        <v>5</v>
      </c>
      <c r="AZ92">
        <v>5</v>
      </c>
      <c r="BA92">
        <v>5</v>
      </c>
      <c r="BB92">
        <v>5</v>
      </c>
      <c r="BC92">
        <v>5</v>
      </c>
      <c r="BD92">
        <v>5</v>
      </c>
      <c r="BE92">
        <v>5</v>
      </c>
      <c r="BF92" s="25">
        <v>4</v>
      </c>
      <c r="BG92" s="25">
        <v>4</v>
      </c>
      <c r="BH92" s="25">
        <v>4</v>
      </c>
      <c r="BI92" s="25">
        <v>4</v>
      </c>
      <c r="BJ92" s="25">
        <v>4</v>
      </c>
      <c r="BK92" s="25">
        <v>4</v>
      </c>
      <c r="BL92" s="25">
        <v>4</v>
      </c>
      <c r="BM92" s="25">
        <v>4</v>
      </c>
      <c r="BN92" s="25">
        <v>4</v>
      </c>
      <c r="BO92" s="25">
        <v>4</v>
      </c>
      <c r="BP92" s="25">
        <v>4</v>
      </c>
      <c r="BQ92" s="25">
        <v>4</v>
      </c>
      <c r="BR92" s="25">
        <v>4</v>
      </c>
      <c r="BS92" s="25">
        <v>4</v>
      </c>
      <c r="BT92" s="25">
        <v>4</v>
      </c>
      <c r="BU92" s="25">
        <v>4</v>
      </c>
      <c r="BV92" s="25">
        <v>4</v>
      </c>
      <c r="BW92" s="25">
        <v>4</v>
      </c>
      <c r="BX92" s="25">
        <v>4</v>
      </c>
      <c r="BY92" s="25">
        <v>4</v>
      </c>
      <c r="BZ92" s="25">
        <v>4</v>
      </c>
      <c r="CA92" s="25">
        <v>4</v>
      </c>
      <c r="CB92" s="25">
        <v>4</v>
      </c>
      <c r="CC92" s="25">
        <v>4</v>
      </c>
      <c r="CD92" s="25">
        <v>4</v>
      </c>
      <c r="CE92" s="25">
        <v>4</v>
      </c>
      <c r="CF92" s="25">
        <v>4</v>
      </c>
      <c r="CG92" s="24">
        <v>2</v>
      </c>
      <c r="CH92" s="24">
        <v>2</v>
      </c>
      <c r="CI92" s="24">
        <v>2</v>
      </c>
      <c r="CJ92" s="24">
        <v>2</v>
      </c>
      <c r="CK92" s="24">
        <v>2</v>
      </c>
      <c r="CL92" s="24">
        <v>2</v>
      </c>
      <c r="CM92" s="24">
        <v>2</v>
      </c>
      <c r="CN92" s="24">
        <v>2</v>
      </c>
      <c r="CO92" s="24">
        <v>2</v>
      </c>
    </row>
    <row r="93" spans="2:97" ht="13.2" customHeight="1" x14ac:dyDescent="0.25">
      <c r="B93" s="2">
        <f t="shared" si="1"/>
        <v>91</v>
      </c>
      <c r="C93" s="21">
        <v>10</v>
      </c>
      <c r="D93" s="18">
        <v>3</v>
      </c>
      <c r="E93" s="18">
        <v>3</v>
      </c>
      <c r="F93" s="18">
        <v>3</v>
      </c>
      <c r="G93" s="18">
        <v>3</v>
      </c>
      <c r="H93" s="18">
        <v>3</v>
      </c>
      <c r="I93" s="18">
        <v>3</v>
      </c>
      <c r="J93" s="18">
        <v>3</v>
      </c>
      <c r="K93" s="18">
        <v>3</v>
      </c>
      <c r="L93" s="18">
        <v>3</v>
      </c>
      <c r="M93" s="18">
        <v>3</v>
      </c>
      <c r="N93" s="18">
        <v>3</v>
      </c>
      <c r="O93" s="19">
        <v>6</v>
      </c>
      <c r="P93" s="19">
        <v>6</v>
      </c>
      <c r="Q93" s="19">
        <v>6</v>
      </c>
      <c r="R93" s="19">
        <v>6</v>
      </c>
      <c r="S93" s="19">
        <v>6</v>
      </c>
      <c r="T93" s="19">
        <v>6</v>
      </c>
      <c r="U93" s="19">
        <v>6</v>
      </c>
      <c r="V93" s="19">
        <v>6</v>
      </c>
      <c r="W93" s="19">
        <v>6</v>
      </c>
      <c r="X93" s="19">
        <v>6</v>
      </c>
      <c r="Y93" s="19">
        <v>6</v>
      </c>
      <c r="Z93" s="19">
        <v>6</v>
      </c>
      <c r="AA93" s="19">
        <v>6</v>
      </c>
      <c r="AB93" s="19">
        <v>6</v>
      </c>
      <c r="AC93" s="19">
        <v>6</v>
      </c>
      <c r="AD93" s="19">
        <v>6</v>
      </c>
      <c r="AE93" s="19">
        <v>6</v>
      </c>
      <c r="AF93" s="19">
        <v>6</v>
      </c>
      <c r="AG93" s="19">
        <v>6</v>
      </c>
      <c r="AH93" s="19">
        <v>6</v>
      </c>
      <c r="AI93" s="19">
        <v>6</v>
      </c>
      <c r="AJ93" s="19">
        <v>6</v>
      </c>
      <c r="AK93" s="19">
        <v>6</v>
      </c>
      <c r="AL93" s="19">
        <v>6</v>
      </c>
      <c r="AM93" s="19">
        <v>6</v>
      </c>
      <c r="AN93" s="19">
        <v>6</v>
      </c>
      <c r="AO93" s="19">
        <v>6</v>
      </c>
      <c r="AP93" s="19">
        <v>6</v>
      </c>
      <c r="AQ93" s="19">
        <v>6</v>
      </c>
      <c r="AR93" s="19">
        <v>6</v>
      </c>
      <c r="AS93">
        <v>5</v>
      </c>
      <c r="AT93">
        <v>5</v>
      </c>
      <c r="AU93">
        <v>5</v>
      </c>
      <c r="AV93">
        <v>5</v>
      </c>
      <c r="AW93">
        <v>5</v>
      </c>
      <c r="AX93">
        <v>5</v>
      </c>
      <c r="AY93">
        <v>5</v>
      </c>
      <c r="AZ93">
        <v>5</v>
      </c>
      <c r="BA93">
        <v>5</v>
      </c>
      <c r="BB93">
        <v>5</v>
      </c>
      <c r="BC93">
        <v>5</v>
      </c>
      <c r="BD93">
        <v>5</v>
      </c>
      <c r="BE93">
        <v>5</v>
      </c>
      <c r="BF93" s="25">
        <v>4</v>
      </c>
      <c r="BG93" s="25">
        <v>4</v>
      </c>
      <c r="BH93" s="25">
        <v>4</v>
      </c>
      <c r="BI93" s="25">
        <v>4</v>
      </c>
      <c r="BJ93" s="25">
        <v>4</v>
      </c>
      <c r="BK93" s="25">
        <v>4</v>
      </c>
      <c r="BL93" s="25">
        <v>4</v>
      </c>
      <c r="BM93" s="25">
        <v>4</v>
      </c>
      <c r="BN93" s="25">
        <v>4</v>
      </c>
      <c r="BO93" s="25">
        <v>4</v>
      </c>
      <c r="BP93" s="25">
        <v>4</v>
      </c>
      <c r="BQ93" s="25">
        <v>4</v>
      </c>
      <c r="BR93" s="25">
        <v>4</v>
      </c>
      <c r="BS93" s="25">
        <v>4</v>
      </c>
      <c r="BT93" s="25">
        <v>4</v>
      </c>
      <c r="BU93" s="25">
        <v>4</v>
      </c>
      <c r="BV93" s="25">
        <v>4</v>
      </c>
      <c r="BW93" s="25">
        <v>4</v>
      </c>
      <c r="BX93" s="25">
        <v>4</v>
      </c>
      <c r="BY93" s="25">
        <v>4</v>
      </c>
      <c r="BZ93" s="25">
        <v>4</v>
      </c>
      <c r="CA93" s="25">
        <v>4</v>
      </c>
      <c r="CB93" s="25">
        <v>4</v>
      </c>
      <c r="CC93" s="25">
        <v>4</v>
      </c>
      <c r="CD93" s="25">
        <v>4</v>
      </c>
      <c r="CE93" s="25">
        <v>4</v>
      </c>
      <c r="CF93" s="24">
        <v>2</v>
      </c>
      <c r="CG93" s="24">
        <v>2</v>
      </c>
      <c r="CH93" s="24">
        <v>2</v>
      </c>
      <c r="CI93" s="24">
        <v>2</v>
      </c>
      <c r="CJ93" s="24">
        <v>2</v>
      </c>
      <c r="CK93" s="24">
        <v>2</v>
      </c>
      <c r="CL93" s="24">
        <v>2</v>
      </c>
      <c r="CM93" s="24">
        <v>2</v>
      </c>
      <c r="CN93" s="24">
        <v>2</v>
      </c>
      <c r="CO93" s="24">
        <v>2</v>
      </c>
      <c r="CP93" s="20">
        <v>1</v>
      </c>
    </row>
    <row r="94" spans="2:97" ht="13.2" customHeight="1" x14ac:dyDescent="0.25">
      <c r="B94" s="2">
        <f t="shared" si="1"/>
        <v>92</v>
      </c>
      <c r="C94" s="21">
        <v>9</v>
      </c>
      <c r="D94" s="18">
        <v>3</v>
      </c>
      <c r="E94" s="18">
        <v>3</v>
      </c>
      <c r="F94" s="18">
        <v>3</v>
      </c>
      <c r="G94" s="18">
        <v>3</v>
      </c>
      <c r="H94" s="18">
        <v>3</v>
      </c>
      <c r="I94" s="18">
        <v>3</v>
      </c>
      <c r="J94" s="18">
        <v>3</v>
      </c>
      <c r="K94" s="18">
        <v>3</v>
      </c>
      <c r="L94" s="18">
        <v>3</v>
      </c>
      <c r="M94" s="18">
        <v>3</v>
      </c>
      <c r="N94" s="18">
        <v>3</v>
      </c>
      <c r="O94" s="18">
        <v>3</v>
      </c>
      <c r="P94" s="19">
        <v>6</v>
      </c>
      <c r="Q94" s="19">
        <v>6</v>
      </c>
      <c r="R94" s="19">
        <v>6</v>
      </c>
      <c r="S94" s="19">
        <v>6</v>
      </c>
      <c r="T94" s="19">
        <v>6</v>
      </c>
      <c r="U94" s="19">
        <v>6</v>
      </c>
      <c r="V94" s="19">
        <v>6</v>
      </c>
      <c r="W94" s="19">
        <v>6</v>
      </c>
      <c r="X94" s="19">
        <v>6</v>
      </c>
      <c r="Y94" s="19">
        <v>6</v>
      </c>
      <c r="Z94" s="19">
        <v>6</v>
      </c>
      <c r="AA94" s="19">
        <v>6</v>
      </c>
      <c r="AB94" s="19">
        <v>6</v>
      </c>
      <c r="AC94" s="19">
        <v>6</v>
      </c>
      <c r="AD94" s="19">
        <v>6</v>
      </c>
      <c r="AE94" s="19">
        <v>6</v>
      </c>
      <c r="AF94" s="19">
        <v>6</v>
      </c>
      <c r="AG94" s="19">
        <v>6</v>
      </c>
      <c r="AH94" s="19">
        <v>6</v>
      </c>
      <c r="AI94" s="19">
        <v>6</v>
      </c>
      <c r="AJ94" s="19">
        <v>6</v>
      </c>
      <c r="AK94" s="19">
        <v>6</v>
      </c>
      <c r="AL94" s="19">
        <v>6</v>
      </c>
      <c r="AM94" s="19">
        <v>6</v>
      </c>
      <c r="AN94" s="19">
        <v>6</v>
      </c>
      <c r="AO94" s="19">
        <v>6</v>
      </c>
      <c r="AP94" s="19">
        <v>6</v>
      </c>
      <c r="AQ94" s="19">
        <v>6</v>
      </c>
      <c r="AR94" s="19">
        <v>6</v>
      </c>
      <c r="AS94" s="19">
        <v>6</v>
      </c>
      <c r="AT94">
        <v>5</v>
      </c>
      <c r="AU94">
        <v>5</v>
      </c>
      <c r="AV94">
        <v>5</v>
      </c>
      <c r="AW94">
        <v>5</v>
      </c>
      <c r="AX94">
        <v>5</v>
      </c>
      <c r="AY94">
        <v>5</v>
      </c>
      <c r="AZ94">
        <v>5</v>
      </c>
      <c r="BA94">
        <v>5</v>
      </c>
      <c r="BB94">
        <v>5</v>
      </c>
      <c r="BC94">
        <v>5</v>
      </c>
      <c r="BD94">
        <v>5</v>
      </c>
      <c r="BE94">
        <v>5</v>
      </c>
      <c r="BF94" s="25">
        <v>4</v>
      </c>
      <c r="BG94" s="25">
        <v>4</v>
      </c>
      <c r="BH94" s="25">
        <v>4</v>
      </c>
      <c r="BI94" s="25">
        <v>4</v>
      </c>
      <c r="BJ94" s="25">
        <v>4</v>
      </c>
      <c r="BK94" s="25">
        <v>4</v>
      </c>
      <c r="BL94" s="25">
        <v>4</v>
      </c>
      <c r="BM94" s="25">
        <v>4</v>
      </c>
      <c r="BN94" s="25">
        <v>4</v>
      </c>
      <c r="BO94" s="25">
        <v>4</v>
      </c>
      <c r="BP94" s="25">
        <v>4</v>
      </c>
      <c r="BQ94" s="25">
        <v>4</v>
      </c>
      <c r="BR94" s="25">
        <v>4</v>
      </c>
      <c r="BS94" s="25">
        <v>4</v>
      </c>
      <c r="BT94" s="25">
        <v>4</v>
      </c>
      <c r="BU94" s="25">
        <v>4</v>
      </c>
      <c r="BV94" s="25">
        <v>4</v>
      </c>
      <c r="BW94" s="25">
        <v>4</v>
      </c>
      <c r="BX94" s="25">
        <v>4</v>
      </c>
      <c r="BY94" s="25">
        <v>4</v>
      </c>
      <c r="BZ94" s="25">
        <v>4</v>
      </c>
      <c r="CA94" s="25">
        <v>4</v>
      </c>
      <c r="CB94" s="25">
        <v>4</v>
      </c>
      <c r="CC94" s="25">
        <v>4</v>
      </c>
      <c r="CD94" s="25">
        <v>4</v>
      </c>
      <c r="CE94" s="24">
        <v>2</v>
      </c>
      <c r="CF94" s="24">
        <v>2</v>
      </c>
      <c r="CG94" s="24">
        <v>2</v>
      </c>
      <c r="CH94" s="24">
        <v>2</v>
      </c>
      <c r="CI94" s="24">
        <v>2</v>
      </c>
      <c r="CJ94" s="24">
        <v>2</v>
      </c>
      <c r="CK94" s="24">
        <v>2</v>
      </c>
      <c r="CL94" s="24">
        <v>2</v>
      </c>
      <c r="CM94" s="24">
        <v>2</v>
      </c>
      <c r="CN94" s="24">
        <v>2</v>
      </c>
      <c r="CO94" s="20">
        <v>1</v>
      </c>
      <c r="CP94" s="20">
        <v>1</v>
      </c>
      <c r="CQ94" s="20">
        <v>1</v>
      </c>
    </row>
    <row r="95" spans="2:97" ht="13.2" customHeight="1" x14ac:dyDescent="0.25">
      <c r="B95" s="2">
        <f t="shared" si="1"/>
        <v>93</v>
      </c>
      <c r="C95" s="21">
        <v>8</v>
      </c>
      <c r="D95" s="18">
        <v>3</v>
      </c>
      <c r="E95" s="18">
        <v>3</v>
      </c>
      <c r="F95" s="18">
        <v>3</v>
      </c>
      <c r="G95" s="18">
        <v>3</v>
      </c>
      <c r="H95" s="18">
        <v>3</v>
      </c>
      <c r="I95" s="18">
        <v>3</v>
      </c>
      <c r="J95" s="18">
        <v>3</v>
      </c>
      <c r="K95" s="18">
        <v>3</v>
      </c>
      <c r="L95" s="18">
        <v>3</v>
      </c>
      <c r="M95" s="18">
        <v>3</v>
      </c>
      <c r="N95" s="18">
        <v>3</v>
      </c>
      <c r="O95" s="18">
        <v>3</v>
      </c>
      <c r="P95" s="18">
        <v>3</v>
      </c>
      <c r="Q95" s="19">
        <v>6</v>
      </c>
      <c r="R95" s="19">
        <v>6</v>
      </c>
      <c r="S95" s="19">
        <v>6</v>
      </c>
      <c r="T95" s="19">
        <v>6</v>
      </c>
      <c r="U95" s="19">
        <v>6</v>
      </c>
      <c r="V95" s="19">
        <v>6</v>
      </c>
      <c r="W95" s="19">
        <v>6</v>
      </c>
      <c r="X95" s="19">
        <v>6</v>
      </c>
      <c r="Y95" s="19">
        <v>6</v>
      </c>
      <c r="Z95" s="19">
        <v>6</v>
      </c>
      <c r="AA95" s="19">
        <v>6</v>
      </c>
      <c r="AB95" s="19">
        <v>6</v>
      </c>
      <c r="AC95" s="19">
        <v>6</v>
      </c>
      <c r="AD95" s="19">
        <v>6</v>
      </c>
      <c r="AE95" s="19">
        <v>6</v>
      </c>
      <c r="AF95" s="19">
        <v>6</v>
      </c>
      <c r="AG95" s="19">
        <v>6</v>
      </c>
      <c r="AH95" s="19">
        <v>6</v>
      </c>
      <c r="AI95" s="19">
        <v>6</v>
      </c>
      <c r="AJ95" s="19">
        <v>6</v>
      </c>
      <c r="AK95" s="19">
        <v>6</v>
      </c>
      <c r="AL95" s="19">
        <v>6</v>
      </c>
      <c r="AM95" s="19">
        <v>6</v>
      </c>
      <c r="AN95" s="19">
        <v>6</v>
      </c>
      <c r="AO95" s="19">
        <v>6</v>
      </c>
      <c r="AP95" s="19">
        <v>6</v>
      </c>
      <c r="AQ95" s="19">
        <v>6</v>
      </c>
      <c r="AR95" s="19">
        <v>6</v>
      </c>
      <c r="AS95" s="19">
        <v>6</v>
      </c>
      <c r="AT95" s="19">
        <v>6</v>
      </c>
      <c r="AU95">
        <v>5</v>
      </c>
      <c r="AV95">
        <v>5</v>
      </c>
      <c r="AW95">
        <v>5</v>
      </c>
      <c r="AX95">
        <v>5</v>
      </c>
      <c r="AY95">
        <v>5</v>
      </c>
      <c r="AZ95">
        <v>5</v>
      </c>
      <c r="BA95">
        <v>5</v>
      </c>
      <c r="BB95">
        <v>5</v>
      </c>
      <c r="BC95">
        <v>5</v>
      </c>
      <c r="BD95">
        <v>5</v>
      </c>
      <c r="BE95">
        <v>5</v>
      </c>
      <c r="BF95" s="25">
        <v>4</v>
      </c>
      <c r="BG95" s="25">
        <v>4</v>
      </c>
      <c r="BH95" s="25">
        <v>4</v>
      </c>
      <c r="BI95" s="25">
        <v>4</v>
      </c>
      <c r="BJ95" s="25">
        <v>4</v>
      </c>
      <c r="BK95" s="25">
        <v>4</v>
      </c>
      <c r="BL95" s="25">
        <v>4</v>
      </c>
      <c r="BM95" s="25">
        <v>4</v>
      </c>
      <c r="BN95" s="25">
        <v>4</v>
      </c>
      <c r="BO95" s="25">
        <v>4</v>
      </c>
      <c r="BP95" s="25">
        <v>4</v>
      </c>
      <c r="BQ95" s="25">
        <v>4</v>
      </c>
      <c r="BR95" s="25">
        <v>4</v>
      </c>
      <c r="BS95" s="25">
        <v>4</v>
      </c>
      <c r="BT95" s="25">
        <v>4</v>
      </c>
      <c r="BU95" s="25">
        <v>4</v>
      </c>
      <c r="BV95" s="25">
        <v>4</v>
      </c>
      <c r="BW95" s="25">
        <v>4</v>
      </c>
      <c r="BX95" s="25">
        <v>4</v>
      </c>
      <c r="BY95" s="25">
        <v>4</v>
      </c>
      <c r="BZ95" s="25">
        <v>4</v>
      </c>
      <c r="CA95" s="25">
        <v>4</v>
      </c>
      <c r="CB95" s="25">
        <v>4</v>
      </c>
      <c r="CC95" s="25">
        <v>4</v>
      </c>
      <c r="CD95" s="24">
        <v>2</v>
      </c>
      <c r="CE95" s="24">
        <v>2</v>
      </c>
      <c r="CF95" s="24">
        <v>2</v>
      </c>
      <c r="CG95" s="24">
        <v>2</v>
      </c>
      <c r="CH95" s="24">
        <v>2</v>
      </c>
      <c r="CI95" s="24">
        <v>2</v>
      </c>
      <c r="CJ95" s="24">
        <v>2</v>
      </c>
      <c r="CK95" s="24">
        <v>2</v>
      </c>
      <c r="CL95" s="24">
        <v>2</v>
      </c>
      <c r="CM95" s="24">
        <v>2</v>
      </c>
      <c r="CN95" s="24">
        <v>2</v>
      </c>
      <c r="CO95" s="20">
        <v>1</v>
      </c>
      <c r="CP95" s="20">
        <v>1</v>
      </c>
      <c r="CQ95" s="20">
        <v>1</v>
      </c>
      <c r="CR95" s="20">
        <v>1</v>
      </c>
    </row>
    <row r="96" spans="2:97" ht="13.2" customHeight="1" x14ac:dyDescent="0.25">
      <c r="B96" s="2">
        <f t="shared" si="1"/>
        <v>94</v>
      </c>
      <c r="C96" s="21">
        <v>7</v>
      </c>
      <c r="D96" s="18">
        <v>3</v>
      </c>
      <c r="E96" s="18">
        <v>3</v>
      </c>
      <c r="F96" s="18">
        <v>3</v>
      </c>
      <c r="G96" s="18">
        <v>3</v>
      </c>
      <c r="H96" s="18">
        <v>3</v>
      </c>
      <c r="I96" s="18">
        <v>3</v>
      </c>
      <c r="J96" s="18">
        <v>3</v>
      </c>
      <c r="K96" s="18">
        <v>3</v>
      </c>
      <c r="L96" s="18">
        <v>3</v>
      </c>
      <c r="M96" s="18">
        <v>3</v>
      </c>
      <c r="N96" s="18">
        <v>3</v>
      </c>
      <c r="O96" s="18">
        <v>3</v>
      </c>
      <c r="P96" s="18">
        <v>3</v>
      </c>
      <c r="Q96" s="18">
        <v>3</v>
      </c>
      <c r="R96" s="19">
        <v>6</v>
      </c>
      <c r="S96" s="19">
        <v>6</v>
      </c>
      <c r="T96" s="19">
        <v>6</v>
      </c>
      <c r="U96" s="19">
        <v>6</v>
      </c>
      <c r="V96" s="19">
        <v>6</v>
      </c>
      <c r="W96" s="19">
        <v>6</v>
      </c>
      <c r="X96" s="19">
        <v>6</v>
      </c>
      <c r="Y96" s="19">
        <v>6</v>
      </c>
      <c r="Z96" s="19">
        <v>6</v>
      </c>
      <c r="AA96" s="19">
        <v>6</v>
      </c>
      <c r="AB96" s="19">
        <v>6</v>
      </c>
      <c r="AC96" s="19">
        <v>6</v>
      </c>
      <c r="AD96" s="19">
        <v>6</v>
      </c>
      <c r="AE96" s="19">
        <v>6</v>
      </c>
      <c r="AF96" s="19">
        <v>6</v>
      </c>
      <c r="AG96" s="19">
        <v>6</v>
      </c>
      <c r="AH96" s="19">
        <v>6</v>
      </c>
      <c r="AI96" s="19">
        <v>6</v>
      </c>
      <c r="AJ96" s="19">
        <v>6</v>
      </c>
      <c r="AK96" s="19">
        <v>6</v>
      </c>
      <c r="AL96" s="19">
        <v>6</v>
      </c>
      <c r="AM96" s="19">
        <v>6</v>
      </c>
      <c r="AN96" s="19">
        <v>6</v>
      </c>
      <c r="AO96" s="19">
        <v>6</v>
      </c>
      <c r="AP96" s="19">
        <v>6</v>
      </c>
      <c r="AQ96" s="19">
        <v>6</v>
      </c>
      <c r="AR96" s="19">
        <v>6</v>
      </c>
      <c r="AS96" s="19">
        <v>6</v>
      </c>
      <c r="AT96" s="19">
        <v>6</v>
      </c>
      <c r="AU96" s="19">
        <v>6</v>
      </c>
      <c r="AV96" s="25">
        <v>4</v>
      </c>
      <c r="AW96" s="25">
        <v>4</v>
      </c>
      <c r="AX96" s="25">
        <v>4</v>
      </c>
      <c r="AY96" s="25">
        <v>4</v>
      </c>
      <c r="AZ96" s="25">
        <v>4</v>
      </c>
      <c r="BA96" s="25">
        <v>4</v>
      </c>
      <c r="BB96" s="25">
        <v>4</v>
      </c>
      <c r="BC96" s="25">
        <v>4</v>
      </c>
      <c r="BD96" s="25">
        <v>4</v>
      </c>
      <c r="BE96" s="25">
        <v>4</v>
      </c>
      <c r="BF96" s="25">
        <v>4</v>
      </c>
      <c r="BG96" s="25">
        <v>4</v>
      </c>
      <c r="BH96" s="25">
        <v>4</v>
      </c>
      <c r="BI96" s="25">
        <v>4</v>
      </c>
      <c r="BJ96" s="25">
        <v>4</v>
      </c>
      <c r="BK96" s="25">
        <v>4</v>
      </c>
      <c r="BL96" s="25">
        <v>4</v>
      </c>
      <c r="BM96" s="25">
        <v>4</v>
      </c>
      <c r="BN96" s="25">
        <v>4</v>
      </c>
      <c r="BO96" s="25">
        <v>4</v>
      </c>
      <c r="BP96" s="25">
        <v>4</v>
      </c>
      <c r="BQ96" s="25">
        <v>4</v>
      </c>
      <c r="BR96" s="25">
        <v>4</v>
      </c>
      <c r="BS96" s="25">
        <v>4</v>
      </c>
      <c r="BT96" s="25">
        <v>4</v>
      </c>
      <c r="BU96" s="25">
        <v>4</v>
      </c>
      <c r="BV96" s="25">
        <v>4</v>
      </c>
      <c r="BW96" s="25">
        <v>4</v>
      </c>
      <c r="BX96" s="25">
        <v>4</v>
      </c>
      <c r="BY96" s="25">
        <v>4</v>
      </c>
      <c r="BZ96" s="25">
        <v>4</v>
      </c>
      <c r="CA96" s="25">
        <v>4</v>
      </c>
      <c r="CB96" s="25">
        <v>4</v>
      </c>
      <c r="CC96" s="24">
        <v>2</v>
      </c>
      <c r="CD96" s="24">
        <v>2</v>
      </c>
      <c r="CE96" s="24">
        <v>2</v>
      </c>
      <c r="CF96" s="24">
        <v>2</v>
      </c>
      <c r="CG96" s="24">
        <v>2</v>
      </c>
      <c r="CH96" s="24">
        <v>2</v>
      </c>
      <c r="CI96" s="24">
        <v>2</v>
      </c>
      <c r="CJ96" s="24">
        <v>2</v>
      </c>
      <c r="CK96" s="24">
        <v>2</v>
      </c>
      <c r="CL96" s="24">
        <v>2</v>
      </c>
      <c r="CM96" s="24">
        <v>2</v>
      </c>
      <c r="CN96" s="20">
        <v>1</v>
      </c>
      <c r="CO96" s="20">
        <v>1</v>
      </c>
      <c r="CP96" s="20">
        <v>1</v>
      </c>
      <c r="CQ96" s="20">
        <v>1</v>
      </c>
      <c r="CR96" s="20">
        <v>1</v>
      </c>
      <c r="CS96" s="20">
        <v>1</v>
      </c>
    </row>
    <row r="97" spans="1:104" ht="13.2" customHeight="1" x14ac:dyDescent="0.25">
      <c r="A97" s="21" t="s">
        <v>15</v>
      </c>
      <c r="B97" s="2">
        <f t="shared" si="1"/>
        <v>95</v>
      </c>
      <c r="C97" s="21">
        <v>6</v>
      </c>
      <c r="D97" s="18">
        <v>3</v>
      </c>
      <c r="E97" s="18">
        <v>3</v>
      </c>
      <c r="F97" s="18">
        <v>3</v>
      </c>
      <c r="G97" s="18">
        <v>3</v>
      </c>
      <c r="H97" s="18">
        <v>3</v>
      </c>
      <c r="I97" s="18">
        <v>3</v>
      </c>
      <c r="J97" s="18">
        <v>3</v>
      </c>
      <c r="K97" s="18">
        <v>3</v>
      </c>
      <c r="L97" s="18">
        <v>3</v>
      </c>
      <c r="M97" s="18">
        <v>3</v>
      </c>
      <c r="N97" s="18">
        <v>3</v>
      </c>
      <c r="O97" s="18">
        <v>3</v>
      </c>
      <c r="P97" s="18">
        <v>3</v>
      </c>
      <c r="Q97" s="18">
        <v>3</v>
      </c>
      <c r="R97" s="18">
        <v>3</v>
      </c>
      <c r="S97" s="19">
        <v>6</v>
      </c>
      <c r="T97" s="19">
        <v>6</v>
      </c>
      <c r="U97" s="19">
        <v>6</v>
      </c>
      <c r="V97" s="19">
        <v>6</v>
      </c>
      <c r="W97" s="19">
        <v>6</v>
      </c>
      <c r="X97" s="19">
        <v>6</v>
      </c>
      <c r="Y97" s="19">
        <v>6</v>
      </c>
      <c r="Z97" s="19">
        <v>6</v>
      </c>
      <c r="AA97" s="19">
        <v>6</v>
      </c>
      <c r="AB97" s="19">
        <v>6</v>
      </c>
      <c r="AC97" s="19">
        <v>6</v>
      </c>
      <c r="AD97" s="19">
        <v>6</v>
      </c>
      <c r="AE97" s="19">
        <v>6</v>
      </c>
      <c r="AF97" s="19">
        <v>6</v>
      </c>
      <c r="AG97" s="19">
        <v>6</v>
      </c>
      <c r="AH97" s="19">
        <v>6</v>
      </c>
      <c r="AI97" s="19">
        <v>6</v>
      </c>
      <c r="AJ97" s="19">
        <v>6</v>
      </c>
      <c r="AK97" s="19">
        <v>6</v>
      </c>
      <c r="AL97" s="19">
        <v>6</v>
      </c>
      <c r="AM97" s="19">
        <v>6</v>
      </c>
      <c r="AN97" s="19">
        <v>6</v>
      </c>
      <c r="AO97" s="19">
        <v>6</v>
      </c>
      <c r="AP97" s="19">
        <v>6</v>
      </c>
      <c r="AQ97" s="19">
        <v>6</v>
      </c>
      <c r="AR97" s="19">
        <v>6</v>
      </c>
      <c r="AS97" s="19">
        <v>6</v>
      </c>
      <c r="AT97" s="19">
        <v>6</v>
      </c>
      <c r="AU97" s="19">
        <v>6</v>
      </c>
      <c r="AV97" s="19">
        <v>6</v>
      </c>
      <c r="AW97" s="25">
        <v>4</v>
      </c>
      <c r="AX97" s="25">
        <v>4</v>
      </c>
      <c r="AY97" s="25">
        <v>4</v>
      </c>
      <c r="AZ97" s="25">
        <v>4</v>
      </c>
      <c r="BA97" s="25">
        <v>4</v>
      </c>
      <c r="BB97" s="25">
        <v>4</v>
      </c>
      <c r="BC97" s="25">
        <v>4</v>
      </c>
      <c r="BD97" s="25">
        <v>4</v>
      </c>
      <c r="BE97" s="25">
        <v>4</v>
      </c>
      <c r="BF97" s="25">
        <v>4</v>
      </c>
      <c r="BG97" s="25">
        <v>4</v>
      </c>
      <c r="BH97" s="25">
        <v>4</v>
      </c>
      <c r="BI97" s="25">
        <v>4</v>
      </c>
      <c r="BJ97" s="25">
        <v>4</v>
      </c>
      <c r="BK97" s="25">
        <v>4</v>
      </c>
      <c r="BL97" s="25">
        <v>4</v>
      </c>
      <c r="BM97" s="25">
        <v>4</v>
      </c>
      <c r="BN97" s="25">
        <v>4</v>
      </c>
      <c r="BO97" s="25">
        <v>4</v>
      </c>
      <c r="BP97" s="25">
        <v>4</v>
      </c>
      <c r="BQ97" s="25">
        <v>4</v>
      </c>
      <c r="BR97" s="25">
        <v>4</v>
      </c>
      <c r="BS97" s="25">
        <v>4</v>
      </c>
      <c r="BT97" s="25">
        <v>4</v>
      </c>
      <c r="BU97" s="25">
        <v>4</v>
      </c>
      <c r="BV97" s="25">
        <v>4</v>
      </c>
      <c r="BW97" s="25">
        <v>4</v>
      </c>
      <c r="BX97" s="25">
        <v>4</v>
      </c>
      <c r="BY97" s="25">
        <v>4</v>
      </c>
      <c r="BZ97" s="25">
        <v>4</v>
      </c>
      <c r="CA97" s="25">
        <v>4</v>
      </c>
      <c r="CB97" s="24">
        <v>2</v>
      </c>
      <c r="CC97" s="24">
        <v>2</v>
      </c>
      <c r="CD97" s="24">
        <v>2</v>
      </c>
      <c r="CE97" s="24">
        <v>2</v>
      </c>
      <c r="CF97" s="24">
        <v>2</v>
      </c>
      <c r="CG97" s="24">
        <v>2</v>
      </c>
      <c r="CH97" s="24">
        <v>2</v>
      </c>
      <c r="CI97" s="24">
        <v>2</v>
      </c>
      <c r="CJ97" s="24">
        <v>2</v>
      </c>
      <c r="CK97" s="24">
        <v>2</v>
      </c>
      <c r="CL97" s="24">
        <v>2</v>
      </c>
      <c r="CM97" s="24">
        <v>2</v>
      </c>
      <c r="CN97" s="20">
        <v>1</v>
      </c>
      <c r="CO97" s="20">
        <v>1</v>
      </c>
      <c r="CP97" s="20">
        <v>1</v>
      </c>
      <c r="CQ97" s="20">
        <v>1</v>
      </c>
      <c r="CR97" s="20">
        <v>1</v>
      </c>
      <c r="CS97" s="20">
        <v>1</v>
      </c>
      <c r="CT97" s="20">
        <v>1</v>
      </c>
    </row>
    <row r="98" spans="1:104" ht="13.2" customHeight="1" x14ac:dyDescent="0.25">
      <c r="A98" s="21" t="s">
        <v>262</v>
      </c>
      <c r="B98" s="2">
        <f t="shared" si="1"/>
        <v>96</v>
      </c>
      <c r="C98" s="21">
        <v>5</v>
      </c>
      <c r="D98" s="18">
        <v>3</v>
      </c>
      <c r="E98" s="18">
        <v>3</v>
      </c>
      <c r="F98" s="18">
        <v>3</v>
      </c>
      <c r="G98" s="18">
        <v>3</v>
      </c>
      <c r="H98" s="18">
        <v>3</v>
      </c>
      <c r="I98" s="18">
        <v>3</v>
      </c>
      <c r="J98" s="18">
        <v>3</v>
      </c>
      <c r="K98" s="18">
        <v>3</v>
      </c>
      <c r="L98" s="18">
        <v>3</v>
      </c>
      <c r="M98" s="18">
        <v>3</v>
      </c>
      <c r="N98" s="18">
        <v>3</v>
      </c>
      <c r="O98" s="18">
        <v>3</v>
      </c>
      <c r="P98" s="18">
        <v>3</v>
      </c>
      <c r="Q98" s="18">
        <v>3</v>
      </c>
      <c r="R98" s="18">
        <v>3</v>
      </c>
      <c r="S98" s="18">
        <v>3</v>
      </c>
      <c r="T98" s="19">
        <v>6</v>
      </c>
      <c r="U98" s="19">
        <v>6</v>
      </c>
      <c r="V98" s="19">
        <v>6</v>
      </c>
      <c r="W98" s="19">
        <v>6</v>
      </c>
      <c r="X98" s="19">
        <v>6</v>
      </c>
      <c r="Y98" s="19">
        <v>6</v>
      </c>
      <c r="Z98" s="19">
        <v>6</v>
      </c>
      <c r="AA98" s="19">
        <v>6</v>
      </c>
      <c r="AB98" s="19">
        <v>6</v>
      </c>
      <c r="AC98" s="19">
        <v>6</v>
      </c>
      <c r="AD98" s="19">
        <v>6</v>
      </c>
      <c r="AE98" s="19">
        <v>6</v>
      </c>
      <c r="AF98" s="19">
        <v>6</v>
      </c>
      <c r="AG98" s="19">
        <v>6</v>
      </c>
      <c r="AH98" s="19">
        <v>6</v>
      </c>
      <c r="AI98" s="19">
        <v>6</v>
      </c>
      <c r="AJ98" s="19">
        <v>6</v>
      </c>
      <c r="AK98" s="19">
        <v>6</v>
      </c>
      <c r="AL98" s="19">
        <v>6</v>
      </c>
      <c r="AM98" s="19">
        <v>6</v>
      </c>
      <c r="AN98" s="19">
        <v>6</v>
      </c>
      <c r="AO98" s="19">
        <v>6</v>
      </c>
      <c r="AP98" s="19">
        <v>6</v>
      </c>
      <c r="AQ98" s="19">
        <v>6</v>
      </c>
      <c r="AR98" s="19">
        <v>6</v>
      </c>
      <c r="AS98" s="19">
        <v>6</v>
      </c>
      <c r="AT98" s="19">
        <v>6</v>
      </c>
      <c r="AU98" s="19">
        <v>6</v>
      </c>
      <c r="AV98" s="19">
        <v>6</v>
      </c>
      <c r="AW98" s="19">
        <v>6</v>
      </c>
      <c r="AX98" s="25">
        <v>4</v>
      </c>
      <c r="AY98" s="25">
        <v>4</v>
      </c>
      <c r="AZ98" s="25">
        <v>4</v>
      </c>
      <c r="BA98" s="25">
        <v>4</v>
      </c>
      <c r="BB98" s="25">
        <v>4</v>
      </c>
      <c r="BC98" s="25">
        <v>4</v>
      </c>
      <c r="BD98" s="25">
        <v>4</v>
      </c>
      <c r="BE98" s="25">
        <v>4</v>
      </c>
      <c r="BF98" s="25">
        <v>4</v>
      </c>
      <c r="BG98" s="25">
        <v>4</v>
      </c>
      <c r="BH98" s="25">
        <v>4</v>
      </c>
      <c r="BI98" s="25">
        <v>4</v>
      </c>
      <c r="BJ98" s="25">
        <v>4</v>
      </c>
      <c r="BK98" s="25">
        <v>4</v>
      </c>
      <c r="BL98" s="25">
        <v>4</v>
      </c>
      <c r="BM98" s="25">
        <v>4</v>
      </c>
      <c r="BN98" s="25">
        <v>4</v>
      </c>
      <c r="BO98" s="25">
        <v>4</v>
      </c>
      <c r="BP98" s="25">
        <v>4</v>
      </c>
      <c r="BQ98" s="25">
        <v>4</v>
      </c>
      <c r="BR98" s="25">
        <v>4</v>
      </c>
      <c r="BS98" s="25">
        <v>4</v>
      </c>
      <c r="BT98" s="25">
        <v>4</v>
      </c>
      <c r="BU98" s="25">
        <v>4</v>
      </c>
      <c r="BV98" s="25">
        <v>4</v>
      </c>
      <c r="BW98" s="25">
        <v>4</v>
      </c>
      <c r="BX98" s="25">
        <v>4</v>
      </c>
      <c r="BY98" s="25">
        <v>4</v>
      </c>
      <c r="BZ98" s="25">
        <v>4</v>
      </c>
      <c r="CA98" s="24">
        <v>2</v>
      </c>
      <c r="CB98" s="24">
        <v>2</v>
      </c>
      <c r="CC98" s="24">
        <v>2</v>
      </c>
      <c r="CD98" s="24">
        <v>2</v>
      </c>
      <c r="CE98" s="24">
        <v>2</v>
      </c>
      <c r="CF98" s="24">
        <v>2</v>
      </c>
      <c r="CG98" s="24">
        <v>2</v>
      </c>
      <c r="CH98" s="24">
        <v>2</v>
      </c>
      <c r="CI98" s="24">
        <v>2</v>
      </c>
      <c r="CJ98" s="24">
        <v>2</v>
      </c>
      <c r="CK98" s="24">
        <v>2</v>
      </c>
      <c r="CL98" s="24">
        <v>2</v>
      </c>
      <c r="CM98" s="20">
        <v>1</v>
      </c>
      <c r="CN98" s="20">
        <v>1</v>
      </c>
      <c r="CO98" s="20">
        <v>1</v>
      </c>
      <c r="CP98" s="20">
        <v>1</v>
      </c>
      <c r="CQ98" s="20">
        <v>1</v>
      </c>
      <c r="CR98" s="20">
        <v>1</v>
      </c>
      <c r="CS98" s="20">
        <v>1</v>
      </c>
      <c r="CT98" s="20">
        <v>1</v>
      </c>
      <c r="CU98" s="20">
        <v>1</v>
      </c>
    </row>
    <row r="99" spans="1:104" ht="13.2" customHeight="1" x14ac:dyDescent="0.25">
      <c r="A99" s="21" t="s">
        <v>262</v>
      </c>
      <c r="B99" s="2">
        <f t="shared" si="1"/>
        <v>97</v>
      </c>
      <c r="C99" s="21">
        <v>4</v>
      </c>
      <c r="D99" s="18">
        <v>3</v>
      </c>
      <c r="E99" s="18">
        <v>3</v>
      </c>
      <c r="F99" s="18">
        <v>3</v>
      </c>
      <c r="G99" s="18">
        <v>3</v>
      </c>
      <c r="H99" s="18">
        <v>3</v>
      </c>
      <c r="I99" s="18">
        <v>3</v>
      </c>
      <c r="J99" s="18">
        <v>3</v>
      </c>
      <c r="K99" s="18">
        <v>3</v>
      </c>
      <c r="L99" s="18">
        <v>3</v>
      </c>
      <c r="M99" s="18">
        <v>3</v>
      </c>
      <c r="N99" s="18">
        <v>3</v>
      </c>
      <c r="O99" s="18">
        <v>3</v>
      </c>
      <c r="P99" s="18">
        <v>3</v>
      </c>
      <c r="Q99" s="18">
        <v>3</v>
      </c>
      <c r="R99" s="18">
        <v>3</v>
      </c>
      <c r="S99" s="18">
        <v>3</v>
      </c>
      <c r="T99" s="18">
        <v>3</v>
      </c>
      <c r="U99" s="19">
        <v>6</v>
      </c>
      <c r="V99" s="19">
        <v>6</v>
      </c>
      <c r="W99" s="19">
        <v>6</v>
      </c>
      <c r="X99" s="19">
        <v>6</v>
      </c>
      <c r="Y99" s="19">
        <v>6</v>
      </c>
      <c r="Z99" s="19">
        <v>6</v>
      </c>
      <c r="AA99" s="19">
        <v>6</v>
      </c>
      <c r="AB99" s="19">
        <v>6</v>
      </c>
      <c r="AC99" s="19">
        <v>6</v>
      </c>
      <c r="AD99" s="19">
        <v>6</v>
      </c>
      <c r="AE99" s="19">
        <v>6</v>
      </c>
      <c r="AF99" s="19">
        <v>6</v>
      </c>
      <c r="AG99" s="19">
        <v>6</v>
      </c>
      <c r="AH99" s="19">
        <v>6</v>
      </c>
      <c r="AI99" s="19">
        <v>6</v>
      </c>
      <c r="AJ99" s="19">
        <v>6</v>
      </c>
      <c r="AK99" s="19">
        <v>6</v>
      </c>
      <c r="AL99" s="19">
        <v>6</v>
      </c>
      <c r="AM99" s="19">
        <v>6</v>
      </c>
      <c r="AN99" s="19">
        <v>6</v>
      </c>
      <c r="AO99" s="19">
        <v>6</v>
      </c>
      <c r="AP99" s="19">
        <v>6</v>
      </c>
      <c r="AQ99" s="19">
        <v>6</v>
      </c>
      <c r="AR99" s="19">
        <v>6</v>
      </c>
      <c r="AS99" s="19">
        <v>6</v>
      </c>
      <c r="AT99" s="19">
        <v>6</v>
      </c>
      <c r="AU99" s="19">
        <v>6</v>
      </c>
      <c r="AV99" s="19">
        <v>6</v>
      </c>
      <c r="AW99" s="19">
        <v>6</v>
      </c>
      <c r="AX99" s="19">
        <v>6</v>
      </c>
      <c r="AY99" s="25">
        <v>4</v>
      </c>
      <c r="AZ99" s="25">
        <v>4</v>
      </c>
      <c r="BA99" s="25">
        <v>4</v>
      </c>
      <c r="BB99" s="25">
        <v>4</v>
      </c>
      <c r="BC99" s="25">
        <v>4</v>
      </c>
      <c r="BD99" s="25">
        <v>4</v>
      </c>
      <c r="BE99" s="25">
        <v>4</v>
      </c>
      <c r="BF99" s="25">
        <v>4</v>
      </c>
      <c r="BG99" s="25">
        <v>4</v>
      </c>
      <c r="BH99" s="25">
        <v>4</v>
      </c>
      <c r="BI99" s="25">
        <v>4</v>
      </c>
      <c r="BJ99" s="25">
        <v>4</v>
      </c>
      <c r="BK99" s="25">
        <v>4</v>
      </c>
      <c r="BL99" s="25">
        <v>4</v>
      </c>
      <c r="BM99" s="25">
        <v>4</v>
      </c>
      <c r="BN99" s="25">
        <v>4</v>
      </c>
      <c r="BO99" s="25">
        <v>4</v>
      </c>
      <c r="BP99" s="25">
        <v>4</v>
      </c>
      <c r="BQ99" s="25">
        <v>4</v>
      </c>
      <c r="BR99" s="25">
        <v>4</v>
      </c>
      <c r="BS99" s="25">
        <v>4</v>
      </c>
      <c r="BT99" s="25">
        <v>4</v>
      </c>
      <c r="BU99" s="25">
        <v>4</v>
      </c>
      <c r="BV99" s="25">
        <v>4</v>
      </c>
      <c r="BW99" s="25">
        <v>4</v>
      </c>
      <c r="BX99" s="25">
        <v>4</v>
      </c>
      <c r="BY99" s="25">
        <v>4</v>
      </c>
      <c r="BZ99" s="24">
        <v>2</v>
      </c>
      <c r="CA99" s="24">
        <v>2</v>
      </c>
      <c r="CB99" s="24">
        <v>2</v>
      </c>
      <c r="CC99" s="24">
        <v>2</v>
      </c>
      <c r="CD99" s="24">
        <v>2</v>
      </c>
      <c r="CE99" s="24">
        <v>2</v>
      </c>
      <c r="CF99" s="24">
        <v>2</v>
      </c>
      <c r="CG99" s="24">
        <v>2</v>
      </c>
      <c r="CH99" s="24">
        <v>2</v>
      </c>
      <c r="CI99" s="24">
        <v>2</v>
      </c>
      <c r="CJ99" s="24">
        <v>2</v>
      </c>
      <c r="CK99" s="24">
        <v>2</v>
      </c>
      <c r="CL99" s="24">
        <v>2</v>
      </c>
      <c r="CM99" s="20">
        <v>1</v>
      </c>
      <c r="CN99" s="20">
        <v>1</v>
      </c>
      <c r="CO99" s="20">
        <v>1</v>
      </c>
      <c r="CP99" s="20">
        <v>1</v>
      </c>
      <c r="CQ99" s="20">
        <v>1</v>
      </c>
      <c r="CR99" s="20">
        <v>1</v>
      </c>
      <c r="CS99" s="20">
        <v>1</v>
      </c>
      <c r="CT99" s="20">
        <v>1</v>
      </c>
      <c r="CU99" s="20">
        <v>1</v>
      </c>
      <c r="CV99" s="20">
        <v>1</v>
      </c>
    </row>
    <row r="100" spans="1:104" ht="13.2" customHeight="1" x14ac:dyDescent="0.25">
      <c r="A100" s="21" t="s">
        <v>287</v>
      </c>
      <c r="B100" s="2">
        <f t="shared" si="1"/>
        <v>98</v>
      </c>
      <c r="C100" s="21">
        <v>3</v>
      </c>
      <c r="D100" s="18">
        <v>3</v>
      </c>
      <c r="E100" s="18">
        <v>3</v>
      </c>
      <c r="F100" s="18">
        <v>3</v>
      </c>
      <c r="G100" s="18">
        <v>3</v>
      </c>
      <c r="H100" s="18">
        <v>3</v>
      </c>
      <c r="I100" s="18">
        <v>3</v>
      </c>
      <c r="J100" s="18">
        <v>3</v>
      </c>
      <c r="K100" s="18">
        <v>3</v>
      </c>
      <c r="L100" s="18">
        <v>3</v>
      </c>
      <c r="M100" s="18">
        <v>3</v>
      </c>
      <c r="N100" s="18">
        <v>3</v>
      </c>
      <c r="O100" s="18">
        <v>3</v>
      </c>
      <c r="P100" s="18">
        <v>3</v>
      </c>
      <c r="Q100" s="18">
        <v>3</v>
      </c>
      <c r="R100" s="18">
        <v>3</v>
      </c>
      <c r="S100" s="18">
        <v>3</v>
      </c>
      <c r="T100" s="18">
        <v>3</v>
      </c>
      <c r="U100" s="18">
        <v>3</v>
      </c>
      <c r="V100" s="19">
        <v>6</v>
      </c>
      <c r="W100" s="19">
        <v>6</v>
      </c>
      <c r="X100" s="19">
        <v>6</v>
      </c>
      <c r="Y100" s="19">
        <v>6</v>
      </c>
      <c r="Z100" s="19">
        <v>6</v>
      </c>
      <c r="AA100" s="19">
        <v>6</v>
      </c>
      <c r="AB100" s="19">
        <v>6</v>
      </c>
      <c r="AC100" s="19">
        <v>6</v>
      </c>
      <c r="AD100" s="19">
        <v>6</v>
      </c>
      <c r="AE100" s="19">
        <v>6</v>
      </c>
      <c r="AF100" s="19">
        <v>6</v>
      </c>
      <c r="AG100" s="19">
        <v>6</v>
      </c>
      <c r="AH100" s="19">
        <v>6</v>
      </c>
      <c r="AI100" s="19">
        <v>6</v>
      </c>
      <c r="AJ100" s="19">
        <v>6</v>
      </c>
      <c r="AK100" s="19">
        <v>6</v>
      </c>
      <c r="AL100" s="19">
        <v>6</v>
      </c>
      <c r="AM100" s="19">
        <v>6</v>
      </c>
      <c r="AN100" s="19">
        <v>6</v>
      </c>
      <c r="AO100" s="19">
        <v>6</v>
      </c>
      <c r="AP100" s="19">
        <v>6</v>
      </c>
      <c r="AQ100" s="19">
        <v>6</v>
      </c>
      <c r="AR100" s="19">
        <v>6</v>
      </c>
      <c r="AS100" s="19">
        <v>6</v>
      </c>
      <c r="AT100" s="19">
        <v>6</v>
      </c>
      <c r="AU100" s="19">
        <v>6</v>
      </c>
      <c r="AV100" s="19">
        <v>6</v>
      </c>
      <c r="AW100" s="19">
        <v>6</v>
      </c>
      <c r="AX100" s="19">
        <v>6</v>
      </c>
      <c r="AY100" s="19">
        <v>6</v>
      </c>
      <c r="AZ100" s="25">
        <v>4</v>
      </c>
      <c r="BA100" s="25">
        <v>4</v>
      </c>
      <c r="BB100" s="25">
        <v>4</v>
      </c>
      <c r="BC100" s="25">
        <v>4</v>
      </c>
      <c r="BD100" s="25">
        <v>4</v>
      </c>
      <c r="BE100" s="25">
        <v>4</v>
      </c>
      <c r="BF100" s="25">
        <v>4</v>
      </c>
      <c r="BG100" s="25">
        <v>4</v>
      </c>
      <c r="BH100" s="25">
        <v>4</v>
      </c>
      <c r="BI100" s="25">
        <v>4</v>
      </c>
      <c r="BJ100" s="25">
        <v>4</v>
      </c>
      <c r="BK100" s="25">
        <v>4</v>
      </c>
      <c r="BL100" s="25">
        <v>4</v>
      </c>
      <c r="BM100" s="25">
        <v>4</v>
      </c>
      <c r="BN100" s="25">
        <v>4</v>
      </c>
      <c r="BO100" s="25">
        <v>4</v>
      </c>
      <c r="BP100" s="25">
        <v>4</v>
      </c>
      <c r="BQ100" s="25">
        <v>4</v>
      </c>
      <c r="BR100" s="25">
        <v>4</v>
      </c>
      <c r="BS100" s="25">
        <v>4</v>
      </c>
      <c r="BT100" s="25">
        <v>4</v>
      </c>
      <c r="BU100" s="25">
        <v>4</v>
      </c>
      <c r="BV100" s="25">
        <v>4</v>
      </c>
      <c r="BW100" s="25">
        <v>4</v>
      </c>
      <c r="BX100" s="25">
        <v>4</v>
      </c>
      <c r="BY100" s="24">
        <v>2</v>
      </c>
      <c r="BZ100" s="24">
        <v>2</v>
      </c>
      <c r="CA100" s="24">
        <v>2</v>
      </c>
      <c r="CB100" s="24">
        <v>2</v>
      </c>
      <c r="CC100" s="24">
        <v>2</v>
      </c>
      <c r="CD100" s="24">
        <v>2</v>
      </c>
      <c r="CE100" s="24">
        <v>2</v>
      </c>
      <c r="CF100" s="24">
        <v>2</v>
      </c>
      <c r="CG100" s="24">
        <v>2</v>
      </c>
      <c r="CH100" s="24">
        <v>2</v>
      </c>
      <c r="CI100" s="24">
        <v>2</v>
      </c>
      <c r="CJ100" s="24">
        <v>2</v>
      </c>
      <c r="CK100" s="24">
        <v>2</v>
      </c>
      <c r="CL100" s="20">
        <v>1</v>
      </c>
      <c r="CM100" s="20">
        <v>1</v>
      </c>
      <c r="CN100" s="20">
        <v>1</v>
      </c>
      <c r="CO100" s="20">
        <v>1</v>
      </c>
      <c r="CP100" s="20">
        <v>1</v>
      </c>
      <c r="CQ100" s="20">
        <v>1</v>
      </c>
      <c r="CR100" s="20">
        <v>1</v>
      </c>
      <c r="CS100" s="20">
        <v>1</v>
      </c>
      <c r="CT100" s="20">
        <v>1</v>
      </c>
      <c r="CU100" s="20">
        <v>1</v>
      </c>
      <c r="CV100" s="20">
        <v>1</v>
      </c>
      <c r="CW100" s="20">
        <v>1</v>
      </c>
    </row>
    <row r="101" spans="1:104" ht="13.2" customHeight="1" x14ac:dyDescent="0.25">
      <c r="A101" s="21" t="s">
        <v>286</v>
      </c>
      <c r="B101" s="2">
        <f t="shared" si="1"/>
        <v>99</v>
      </c>
      <c r="C101" s="21">
        <v>2</v>
      </c>
      <c r="D101" s="18">
        <v>3</v>
      </c>
      <c r="E101" s="18">
        <v>3</v>
      </c>
      <c r="F101" s="18">
        <v>3</v>
      </c>
      <c r="G101" s="18">
        <v>3</v>
      </c>
      <c r="H101" s="18">
        <v>3</v>
      </c>
      <c r="I101" s="18">
        <v>3</v>
      </c>
      <c r="J101" s="18">
        <v>3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  <c r="V101" s="18">
        <v>3</v>
      </c>
      <c r="W101" s="19">
        <v>6</v>
      </c>
      <c r="X101" s="19">
        <v>6</v>
      </c>
      <c r="Y101" s="19">
        <v>6</v>
      </c>
      <c r="Z101" s="19">
        <v>6</v>
      </c>
      <c r="AA101" s="19">
        <v>6</v>
      </c>
      <c r="AB101" s="19">
        <v>6</v>
      </c>
      <c r="AC101" s="19">
        <v>6</v>
      </c>
      <c r="AD101" s="19">
        <v>6</v>
      </c>
      <c r="AE101" s="19">
        <v>6</v>
      </c>
      <c r="AF101" s="19">
        <v>6</v>
      </c>
      <c r="AG101" s="19">
        <v>6</v>
      </c>
      <c r="AH101" s="19">
        <v>6</v>
      </c>
      <c r="AI101" s="19">
        <v>6</v>
      </c>
      <c r="AJ101" s="19">
        <v>6</v>
      </c>
      <c r="AK101" s="19">
        <v>6</v>
      </c>
      <c r="AL101" s="19">
        <v>6</v>
      </c>
      <c r="AM101" s="19">
        <v>6</v>
      </c>
      <c r="AN101" s="19">
        <v>6</v>
      </c>
      <c r="AO101" s="19">
        <v>6</v>
      </c>
      <c r="AP101" s="19">
        <v>6</v>
      </c>
      <c r="AQ101" s="19">
        <v>6</v>
      </c>
      <c r="AR101" s="19">
        <v>6</v>
      </c>
      <c r="AS101" s="19">
        <v>6</v>
      </c>
      <c r="AT101" s="19">
        <v>6</v>
      </c>
      <c r="AU101" s="19">
        <v>6</v>
      </c>
      <c r="AV101" s="19">
        <v>6</v>
      </c>
      <c r="AW101" s="19">
        <v>6</v>
      </c>
      <c r="AX101" s="19">
        <v>6</v>
      </c>
      <c r="AY101" s="19">
        <v>6</v>
      </c>
      <c r="AZ101" s="19">
        <v>6</v>
      </c>
      <c r="BA101" s="25">
        <v>4</v>
      </c>
      <c r="BB101" s="25">
        <v>4</v>
      </c>
      <c r="BC101" s="25">
        <v>4</v>
      </c>
      <c r="BD101" s="25">
        <v>4</v>
      </c>
      <c r="BE101" s="25">
        <v>4</v>
      </c>
      <c r="BF101" s="25">
        <v>4</v>
      </c>
      <c r="BG101" s="25">
        <v>4</v>
      </c>
      <c r="BH101" s="25">
        <v>4</v>
      </c>
      <c r="BI101" s="25">
        <v>4</v>
      </c>
      <c r="BJ101" s="25">
        <v>4</v>
      </c>
      <c r="BK101" s="25">
        <v>4</v>
      </c>
      <c r="BL101" s="25">
        <v>4</v>
      </c>
      <c r="BM101" s="25">
        <v>4</v>
      </c>
      <c r="BN101" s="25">
        <v>4</v>
      </c>
      <c r="BO101" s="25">
        <v>4</v>
      </c>
      <c r="BP101" s="25">
        <v>4</v>
      </c>
      <c r="BQ101" s="25">
        <v>4</v>
      </c>
      <c r="BR101" s="25">
        <v>4</v>
      </c>
      <c r="BS101" s="25">
        <v>4</v>
      </c>
      <c r="BT101" s="25">
        <v>4</v>
      </c>
      <c r="BU101" s="25">
        <v>4</v>
      </c>
      <c r="BV101" s="25">
        <v>4</v>
      </c>
      <c r="BW101" s="25">
        <v>4</v>
      </c>
      <c r="BX101" s="24">
        <v>2</v>
      </c>
      <c r="BY101" s="24">
        <v>2</v>
      </c>
      <c r="BZ101" s="24">
        <v>2</v>
      </c>
      <c r="CA101" s="24">
        <v>2</v>
      </c>
      <c r="CB101" s="24">
        <v>2</v>
      </c>
      <c r="CC101" s="24">
        <v>2</v>
      </c>
      <c r="CD101" s="24">
        <v>2</v>
      </c>
      <c r="CE101" s="24">
        <v>2</v>
      </c>
      <c r="CF101" s="24">
        <v>2</v>
      </c>
      <c r="CG101" s="24">
        <v>2</v>
      </c>
      <c r="CH101" s="24">
        <v>2</v>
      </c>
      <c r="CI101" s="24">
        <v>2</v>
      </c>
      <c r="CJ101" s="24">
        <v>2</v>
      </c>
      <c r="CK101" s="24">
        <v>2</v>
      </c>
      <c r="CL101" s="20">
        <v>1</v>
      </c>
      <c r="CM101" s="20">
        <v>1</v>
      </c>
      <c r="CN101" s="20">
        <v>1</v>
      </c>
      <c r="CO101" s="20">
        <v>1</v>
      </c>
      <c r="CP101" s="20">
        <v>1</v>
      </c>
      <c r="CQ101" s="20">
        <v>1</v>
      </c>
      <c r="CR101" s="20">
        <v>1</v>
      </c>
      <c r="CS101" s="20">
        <v>1</v>
      </c>
      <c r="CT101" s="20">
        <v>1</v>
      </c>
      <c r="CU101" s="20">
        <v>1</v>
      </c>
      <c r="CV101" s="20">
        <v>1</v>
      </c>
      <c r="CW101" s="20">
        <v>1</v>
      </c>
      <c r="CX101" s="20">
        <v>1</v>
      </c>
    </row>
    <row r="102" spans="1:104" ht="13.2" customHeight="1" x14ac:dyDescent="0.25">
      <c r="A102" s="21" t="s">
        <v>285</v>
      </c>
      <c r="B102" s="2">
        <f t="shared" si="1"/>
        <v>100</v>
      </c>
      <c r="C102" s="21">
        <v>1</v>
      </c>
      <c r="D102" s="18">
        <v>3</v>
      </c>
      <c r="E102" s="18">
        <v>3</v>
      </c>
      <c r="F102" s="18">
        <v>3</v>
      </c>
      <c r="G102" s="18">
        <v>3</v>
      </c>
      <c r="H102" s="18">
        <v>3</v>
      </c>
      <c r="I102" s="18">
        <v>3</v>
      </c>
      <c r="J102" s="18">
        <v>3</v>
      </c>
      <c r="K102" s="18">
        <v>3</v>
      </c>
      <c r="L102" s="18">
        <v>3</v>
      </c>
      <c r="M102" s="18">
        <v>3</v>
      </c>
      <c r="N102" s="18">
        <v>3</v>
      </c>
      <c r="O102" s="18">
        <v>3</v>
      </c>
      <c r="P102" s="18">
        <v>3</v>
      </c>
      <c r="Q102" s="18">
        <v>3</v>
      </c>
      <c r="R102" s="18">
        <v>3</v>
      </c>
      <c r="S102" s="18">
        <v>3</v>
      </c>
      <c r="T102" s="18">
        <v>3</v>
      </c>
      <c r="U102" s="18">
        <v>3</v>
      </c>
      <c r="V102" s="18">
        <v>3</v>
      </c>
      <c r="W102" s="18">
        <v>3</v>
      </c>
      <c r="X102" s="19">
        <v>6</v>
      </c>
      <c r="Y102" s="19">
        <v>6</v>
      </c>
      <c r="Z102" s="19">
        <v>6</v>
      </c>
      <c r="AA102" s="19">
        <v>6</v>
      </c>
      <c r="AB102" s="19">
        <v>6</v>
      </c>
      <c r="AC102" s="19">
        <v>6</v>
      </c>
      <c r="AD102" s="19">
        <v>6</v>
      </c>
      <c r="AE102" s="19">
        <v>6</v>
      </c>
      <c r="AF102" s="19">
        <v>6</v>
      </c>
      <c r="AG102" s="19">
        <v>6</v>
      </c>
      <c r="AH102" s="19">
        <v>6</v>
      </c>
      <c r="AI102" s="19">
        <v>6</v>
      </c>
      <c r="AJ102" s="19">
        <v>6</v>
      </c>
      <c r="AK102" s="19">
        <v>6</v>
      </c>
      <c r="AL102" s="19">
        <v>6</v>
      </c>
      <c r="AM102" s="19">
        <v>6</v>
      </c>
      <c r="AN102" s="19">
        <v>6</v>
      </c>
      <c r="AO102" s="19">
        <v>6</v>
      </c>
      <c r="AP102" s="19">
        <v>6</v>
      </c>
      <c r="AQ102" s="19">
        <v>6</v>
      </c>
      <c r="AR102" s="19">
        <v>6</v>
      </c>
      <c r="AS102" s="19">
        <v>6</v>
      </c>
      <c r="AT102" s="19">
        <v>6</v>
      </c>
      <c r="AU102" s="19">
        <v>6</v>
      </c>
      <c r="AV102" s="19">
        <v>6</v>
      </c>
      <c r="AW102" s="19">
        <v>6</v>
      </c>
      <c r="AX102" s="19">
        <v>6</v>
      </c>
      <c r="AY102" s="19">
        <v>6</v>
      </c>
      <c r="AZ102" s="19">
        <v>6</v>
      </c>
      <c r="BA102" s="19">
        <v>6</v>
      </c>
      <c r="BB102" s="25">
        <v>4</v>
      </c>
      <c r="BC102" s="25">
        <v>4</v>
      </c>
      <c r="BD102" s="25">
        <v>4</v>
      </c>
      <c r="BE102" s="25">
        <v>4</v>
      </c>
      <c r="BF102" s="25">
        <v>4</v>
      </c>
      <c r="BG102" s="25">
        <v>4</v>
      </c>
      <c r="BH102" s="25">
        <v>4</v>
      </c>
      <c r="BI102" s="25">
        <v>4</v>
      </c>
      <c r="BJ102" s="25">
        <v>4</v>
      </c>
      <c r="BK102" s="25">
        <v>4</v>
      </c>
      <c r="BL102" s="25">
        <v>4</v>
      </c>
      <c r="BM102" s="25">
        <v>4</v>
      </c>
      <c r="BN102" s="25">
        <v>4</v>
      </c>
      <c r="BO102" s="25">
        <v>4</v>
      </c>
      <c r="BP102" s="25">
        <v>4</v>
      </c>
      <c r="BQ102" s="25">
        <v>4</v>
      </c>
      <c r="BR102" s="25">
        <v>4</v>
      </c>
      <c r="BS102" s="25">
        <v>4</v>
      </c>
      <c r="BT102" s="25">
        <v>4</v>
      </c>
      <c r="BU102" s="25">
        <v>4</v>
      </c>
      <c r="BV102" s="25">
        <v>4</v>
      </c>
      <c r="BW102" s="25">
        <v>4</v>
      </c>
      <c r="BX102" s="24">
        <v>2</v>
      </c>
      <c r="BY102" s="24">
        <v>2</v>
      </c>
      <c r="BZ102" s="24">
        <v>2</v>
      </c>
      <c r="CA102" s="24">
        <v>2</v>
      </c>
      <c r="CB102" s="24">
        <v>2</v>
      </c>
      <c r="CC102" s="24">
        <v>2</v>
      </c>
      <c r="CD102" s="24">
        <v>2</v>
      </c>
      <c r="CE102" s="24">
        <v>2</v>
      </c>
      <c r="CF102" s="24">
        <v>2</v>
      </c>
      <c r="CG102" s="24">
        <v>2</v>
      </c>
      <c r="CH102" s="24">
        <v>2</v>
      </c>
      <c r="CI102" s="24">
        <v>2</v>
      </c>
      <c r="CJ102" s="24">
        <v>2</v>
      </c>
      <c r="CK102" s="20">
        <v>1</v>
      </c>
      <c r="CL102" s="20">
        <v>1</v>
      </c>
      <c r="CM102" s="20">
        <v>1</v>
      </c>
      <c r="CN102" s="20">
        <v>1</v>
      </c>
      <c r="CO102" s="20">
        <v>1</v>
      </c>
      <c r="CP102" s="20">
        <v>1</v>
      </c>
      <c r="CQ102" s="20">
        <v>1</v>
      </c>
      <c r="CR102" s="20">
        <v>1</v>
      </c>
      <c r="CS102" s="20">
        <v>1</v>
      </c>
      <c r="CT102" s="20">
        <v>1</v>
      </c>
      <c r="CU102" s="20">
        <v>1</v>
      </c>
      <c r="CV102" s="20">
        <v>1</v>
      </c>
      <c r="CW102" s="20">
        <v>1</v>
      </c>
      <c r="CX102" s="20">
        <v>1</v>
      </c>
      <c r="CY102" s="20">
        <v>1</v>
      </c>
    </row>
    <row r="103" spans="1:104" ht="13.2" customHeight="1" thickBot="1" x14ac:dyDescent="0.3">
      <c r="A103" s="334" t="s">
        <v>15</v>
      </c>
      <c r="B103" s="335">
        <f t="shared" si="1"/>
        <v>101</v>
      </c>
      <c r="C103" s="334">
        <v>0</v>
      </c>
      <c r="D103" s="18">
        <v>3</v>
      </c>
      <c r="E103" s="18">
        <v>3</v>
      </c>
      <c r="F103" s="18">
        <v>3</v>
      </c>
      <c r="G103" s="18">
        <v>3</v>
      </c>
      <c r="H103" s="18">
        <v>3</v>
      </c>
      <c r="I103" s="18">
        <v>3</v>
      </c>
      <c r="J103" s="18">
        <v>3</v>
      </c>
      <c r="K103" s="18">
        <v>3</v>
      </c>
      <c r="L103" s="18">
        <v>3</v>
      </c>
      <c r="M103" s="18">
        <v>3</v>
      </c>
      <c r="N103" s="18">
        <v>3</v>
      </c>
      <c r="O103" s="18">
        <v>3</v>
      </c>
      <c r="P103" s="18">
        <v>3</v>
      </c>
      <c r="Q103" s="18">
        <v>3</v>
      </c>
      <c r="R103" s="18">
        <v>3</v>
      </c>
      <c r="S103" s="18">
        <v>3</v>
      </c>
      <c r="T103" s="18">
        <v>3</v>
      </c>
      <c r="U103" s="18">
        <v>3</v>
      </c>
      <c r="V103" s="18">
        <v>3</v>
      </c>
      <c r="W103" s="18">
        <v>3</v>
      </c>
      <c r="X103" s="18">
        <v>3</v>
      </c>
      <c r="Y103" s="19">
        <v>6</v>
      </c>
      <c r="Z103" s="19">
        <v>6</v>
      </c>
      <c r="AA103" s="19">
        <v>6</v>
      </c>
      <c r="AB103" s="19">
        <v>6</v>
      </c>
      <c r="AC103" s="19">
        <v>6</v>
      </c>
      <c r="AD103" s="19">
        <v>6</v>
      </c>
      <c r="AE103" s="19">
        <v>6</v>
      </c>
      <c r="AF103" s="19">
        <v>6</v>
      </c>
      <c r="AG103" s="19">
        <v>6</v>
      </c>
      <c r="AH103" s="19">
        <v>6</v>
      </c>
      <c r="AI103" s="19">
        <v>6</v>
      </c>
      <c r="AJ103" s="19">
        <v>6</v>
      </c>
      <c r="AK103" s="19">
        <v>6</v>
      </c>
      <c r="AL103" s="19">
        <v>6</v>
      </c>
      <c r="AM103" s="19">
        <v>6</v>
      </c>
      <c r="AN103" s="19">
        <v>6</v>
      </c>
      <c r="AO103" s="19">
        <v>6</v>
      </c>
      <c r="AP103" s="19">
        <v>6</v>
      </c>
      <c r="AQ103" s="19">
        <v>6</v>
      </c>
      <c r="AR103" s="19">
        <v>6</v>
      </c>
      <c r="AS103" s="19">
        <v>6</v>
      </c>
      <c r="AT103" s="19">
        <v>6</v>
      </c>
      <c r="AU103" s="19">
        <v>6</v>
      </c>
      <c r="AV103" s="19">
        <v>6</v>
      </c>
      <c r="AW103" s="19">
        <v>6</v>
      </c>
      <c r="AX103" s="19">
        <v>6</v>
      </c>
      <c r="AY103" s="19">
        <v>6</v>
      </c>
      <c r="AZ103" s="19">
        <v>6</v>
      </c>
      <c r="BA103" s="19">
        <v>6</v>
      </c>
      <c r="BB103" s="19">
        <v>6</v>
      </c>
      <c r="BC103" s="25">
        <v>4</v>
      </c>
      <c r="BD103" s="25">
        <v>4</v>
      </c>
      <c r="BE103" s="25">
        <v>4</v>
      </c>
      <c r="BF103" s="25">
        <v>4</v>
      </c>
      <c r="BG103" s="25">
        <v>4</v>
      </c>
      <c r="BH103" s="25">
        <v>4</v>
      </c>
      <c r="BI103" s="25">
        <v>4</v>
      </c>
      <c r="BJ103" s="25">
        <v>4</v>
      </c>
      <c r="BK103" s="25">
        <v>4</v>
      </c>
      <c r="BL103" s="25">
        <v>4</v>
      </c>
      <c r="BM103" s="25">
        <v>4</v>
      </c>
      <c r="BN103" s="25">
        <v>4</v>
      </c>
      <c r="BO103" s="25">
        <v>4</v>
      </c>
      <c r="BP103" s="25">
        <v>4</v>
      </c>
      <c r="BQ103" s="25">
        <v>4</v>
      </c>
      <c r="BR103" s="25">
        <v>4</v>
      </c>
      <c r="BS103" s="25">
        <v>4</v>
      </c>
      <c r="BT103" s="25">
        <v>4</v>
      </c>
      <c r="BU103" s="25">
        <v>4</v>
      </c>
      <c r="BV103" s="25">
        <v>4</v>
      </c>
      <c r="BW103" s="24">
        <v>2</v>
      </c>
      <c r="BX103" s="24">
        <v>2</v>
      </c>
      <c r="BY103" s="24">
        <v>2</v>
      </c>
      <c r="BZ103" s="24">
        <v>2</v>
      </c>
      <c r="CA103" s="24">
        <v>2</v>
      </c>
      <c r="CB103" s="24">
        <v>2</v>
      </c>
      <c r="CC103" s="24">
        <v>2</v>
      </c>
      <c r="CD103" s="24">
        <v>2</v>
      </c>
      <c r="CE103" s="24">
        <v>2</v>
      </c>
      <c r="CF103" s="24">
        <v>2</v>
      </c>
      <c r="CG103" s="24">
        <v>2</v>
      </c>
      <c r="CH103" s="24">
        <v>2</v>
      </c>
      <c r="CI103" s="24">
        <v>2</v>
      </c>
      <c r="CJ103" s="24">
        <v>2</v>
      </c>
      <c r="CK103" s="20">
        <v>1</v>
      </c>
      <c r="CL103" s="20">
        <v>1</v>
      </c>
      <c r="CM103" s="20">
        <v>1</v>
      </c>
      <c r="CN103" s="20">
        <v>1</v>
      </c>
      <c r="CO103" s="20">
        <v>1</v>
      </c>
      <c r="CP103" s="20">
        <v>1</v>
      </c>
      <c r="CQ103" s="20">
        <v>1</v>
      </c>
      <c r="CR103" s="20">
        <v>1</v>
      </c>
      <c r="CS103" s="20">
        <v>1</v>
      </c>
      <c r="CT103" s="20">
        <v>1</v>
      </c>
      <c r="CU103" s="20">
        <v>1</v>
      </c>
      <c r="CV103" s="20">
        <v>1</v>
      </c>
      <c r="CW103" s="20">
        <v>1</v>
      </c>
      <c r="CX103" s="20">
        <v>1</v>
      </c>
      <c r="CY103" s="20">
        <v>1</v>
      </c>
      <c r="CZ103" s="20">
        <v>1</v>
      </c>
    </row>
    <row r="104" spans="1:104" x14ac:dyDescent="0.25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5">
      <c r="A105" s="131" t="s">
        <v>1065</v>
      </c>
      <c r="D105">
        <v>1</v>
      </c>
      <c r="E105" s="333">
        <f>(D105+1)</f>
        <v>2</v>
      </c>
      <c r="F105" s="333">
        <f t="shared" ref="F105:BQ105" si="2">(E105+1)</f>
        <v>3</v>
      </c>
      <c r="G105" s="333">
        <f t="shared" si="2"/>
        <v>4</v>
      </c>
      <c r="H105" s="333">
        <f t="shared" si="2"/>
        <v>5</v>
      </c>
      <c r="I105" s="333">
        <f t="shared" si="2"/>
        <v>6</v>
      </c>
      <c r="J105" s="333">
        <f t="shared" si="2"/>
        <v>7</v>
      </c>
      <c r="K105" s="333">
        <f t="shared" si="2"/>
        <v>8</v>
      </c>
      <c r="L105" s="333">
        <f t="shared" si="2"/>
        <v>9</v>
      </c>
      <c r="M105" s="333">
        <f t="shared" si="2"/>
        <v>10</v>
      </c>
      <c r="N105" s="333">
        <f t="shared" si="2"/>
        <v>11</v>
      </c>
      <c r="O105" s="333">
        <f t="shared" si="2"/>
        <v>12</v>
      </c>
      <c r="P105" s="333">
        <f t="shared" si="2"/>
        <v>13</v>
      </c>
      <c r="Q105" s="333">
        <f t="shared" si="2"/>
        <v>14</v>
      </c>
      <c r="R105" s="333">
        <f t="shared" si="2"/>
        <v>15</v>
      </c>
      <c r="S105" s="333">
        <f t="shared" si="2"/>
        <v>16</v>
      </c>
      <c r="T105" s="333">
        <f t="shared" si="2"/>
        <v>17</v>
      </c>
      <c r="U105" s="333">
        <f t="shared" si="2"/>
        <v>18</v>
      </c>
      <c r="V105" s="333">
        <f t="shared" si="2"/>
        <v>19</v>
      </c>
      <c r="W105" s="333">
        <f t="shared" si="2"/>
        <v>20</v>
      </c>
      <c r="X105" s="333">
        <f t="shared" si="2"/>
        <v>21</v>
      </c>
      <c r="Y105" s="333">
        <f t="shared" si="2"/>
        <v>22</v>
      </c>
      <c r="Z105" s="333">
        <f t="shared" si="2"/>
        <v>23</v>
      </c>
      <c r="AA105" s="333">
        <f t="shared" si="2"/>
        <v>24</v>
      </c>
      <c r="AB105" s="333">
        <f t="shared" si="2"/>
        <v>25</v>
      </c>
      <c r="AC105" s="333">
        <f t="shared" si="2"/>
        <v>26</v>
      </c>
      <c r="AD105" s="333">
        <f t="shared" si="2"/>
        <v>27</v>
      </c>
      <c r="AE105" s="333">
        <f t="shared" si="2"/>
        <v>28</v>
      </c>
      <c r="AF105" s="333">
        <f t="shared" si="2"/>
        <v>29</v>
      </c>
      <c r="AG105" s="333">
        <f t="shared" si="2"/>
        <v>30</v>
      </c>
      <c r="AH105" s="333">
        <f t="shared" si="2"/>
        <v>31</v>
      </c>
      <c r="AI105" s="333">
        <f t="shared" si="2"/>
        <v>32</v>
      </c>
      <c r="AJ105" s="333">
        <f t="shared" si="2"/>
        <v>33</v>
      </c>
      <c r="AK105" s="333">
        <f t="shared" si="2"/>
        <v>34</v>
      </c>
      <c r="AL105" s="333">
        <f t="shared" si="2"/>
        <v>35</v>
      </c>
      <c r="AM105" s="333">
        <f t="shared" si="2"/>
        <v>36</v>
      </c>
      <c r="AN105" s="333">
        <f t="shared" si="2"/>
        <v>37</v>
      </c>
      <c r="AO105" s="333">
        <f t="shared" si="2"/>
        <v>38</v>
      </c>
      <c r="AP105" s="333">
        <f t="shared" si="2"/>
        <v>39</v>
      </c>
      <c r="AQ105" s="333">
        <f t="shared" si="2"/>
        <v>40</v>
      </c>
      <c r="AR105" s="333">
        <f t="shared" si="2"/>
        <v>41</v>
      </c>
      <c r="AS105" s="333">
        <f t="shared" si="2"/>
        <v>42</v>
      </c>
      <c r="AT105" s="333">
        <f t="shared" si="2"/>
        <v>43</v>
      </c>
      <c r="AU105" s="333">
        <f t="shared" si="2"/>
        <v>44</v>
      </c>
      <c r="AV105" s="333">
        <f t="shared" si="2"/>
        <v>45</v>
      </c>
      <c r="AW105" s="333">
        <f t="shared" si="2"/>
        <v>46</v>
      </c>
      <c r="AX105" s="333">
        <f t="shared" si="2"/>
        <v>47</v>
      </c>
      <c r="AY105" s="333">
        <f t="shared" si="2"/>
        <v>48</v>
      </c>
      <c r="AZ105" s="333">
        <f t="shared" si="2"/>
        <v>49</v>
      </c>
      <c r="BA105" s="333">
        <f t="shared" si="2"/>
        <v>50</v>
      </c>
      <c r="BB105" s="333">
        <f t="shared" si="2"/>
        <v>51</v>
      </c>
      <c r="BC105" s="333">
        <f t="shared" si="2"/>
        <v>52</v>
      </c>
      <c r="BD105" s="333">
        <f t="shared" si="2"/>
        <v>53</v>
      </c>
      <c r="BE105" s="333">
        <f t="shared" si="2"/>
        <v>54</v>
      </c>
      <c r="BF105" s="333">
        <f t="shared" si="2"/>
        <v>55</v>
      </c>
      <c r="BG105" s="333">
        <f t="shared" si="2"/>
        <v>56</v>
      </c>
      <c r="BH105" s="333">
        <f t="shared" si="2"/>
        <v>57</v>
      </c>
      <c r="BI105" s="333">
        <f t="shared" si="2"/>
        <v>58</v>
      </c>
      <c r="BJ105" s="333">
        <f t="shared" si="2"/>
        <v>59</v>
      </c>
      <c r="BK105" s="333">
        <f t="shared" si="2"/>
        <v>60</v>
      </c>
      <c r="BL105" s="333">
        <f t="shared" si="2"/>
        <v>61</v>
      </c>
      <c r="BM105" s="333">
        <f t="shared" si="2"/>
        <v>62</v>
      </c>
      <c r="BN105" s="333">
        <f t="shared" si="2"/>
        <v>63</v>
      </c>
      <c r="BO105" s="333">
        <f t="shared" si="2"/>
        <v>64</v>
      </c>
      <c r="BP105" s="333">
        <f t="shared" si="2"/>
        <v>65</v>
      </c>
      <c r="BQ105" s="333">
        <f t="shared" si="2"/>
        <v>66</v>
      </c>
      <c r="BR105" s="333">
        <f t="shared" ref="BR105:CZ105" si="3">(BQ105+1)</f>
        <v>67</v>
      </c>
      <c r="BS105" s="333">
        <f t="shared" si="3"/>
        <v>68</v>
      </c>
      <c r="BT105" s="333">
        <f t="shared" si="3"/>
        <v>69</v>
      </c>
      <c r="BU105" s="333">
        <f t="shared" si="3"/>
        <v>70</v>
      </c>
      <c r="BV105" s="333">
        <f t="shared" si="3"/>
        <v>71</v>
      </c>
      <c r="BW105" s="333">
        <f t="shared" si="3"/>
        <v>72</v>
      </c>
      <c r="BX105" s="333">
        <f t="shared" si="3"/>
        <v>73</v>
      </c>
      <c r="BY105" s="333">
        <f t="shared" si="3"/>
        <v>74</v>
      </c>
      <c r="BZ105" s="333">
        <f t="shared" si="3"/>
        <v>75</v>
      </c>
      <c r="CA105" s="333">
        <f t="shared" si="3"/>
        <v>76</v>
      </c>
      <c r="CB105" s="333">
        <f t="shared" si="3"/>
        <v>77</v>
      </c>
      <c r="CC105" s="333">
        <f t="shared" si="3"/>
        <v>78</v>
      </c>
      <c r="CD105" s="333">
        <f t="shared" si="3"/>
        <v>79</v>
      </c>
      <c r="CE105" s="333">
        <f t="shared" si="3"/>
        <v>80</v>
      </c>
      <c r="CF105" s="333">
        <f t="shared" si="3"/>
        <v>81</v>
      </c>
      <c r="CG105" s="333">
        <f t="shared" si="3"/>
        <v>82</v>
      </c>
      <c r="CH105" s="333">
        <f t="shared" si="3"/>
        <v>83</v>
      </c>
      <c r="CI105" s="333">
        <f t="shared" si="3"/>
        <v>84</v>
      </c>
      <c r="CJ105" s="333">
        <f t="shared" si="3"/>
        <v>85</v>
      </c>
      <c r="CK105" s="333">
        <f t="shared" si="3"/>
        <v>86</v>
      </c>
      <c r="CL105" s="333">
        <f t="shared" si="3"/>
        <v>87</v>
      </c>
      <c r="CM105" s="333">
        <f t="shared" si="3"/>
        <v>88</v>
      </c>
      <c r="CN105" s="333">
        <f t="shared" si="3"/>
        <v>89</v>
      </c>
      <c r="CO105" s="333">
        <f t="shared" si="3"/>
        <v>90</v>
      </c>
      <c r="CP105" s="333">
        <f t="shared" si="3"/>
        <v>91</v>
      </c>
      <c r="CQ105" s="333">
        <f t="shared" si="3"/>
        <v>92</v>
      </c>
      <c r="CR105" s="333">
        <f t="shared" si="3"/>
        <v>93</v>
      </c>
      <c r="CS105" s="333">
        <f t="shared" si="3"/>
        <v>94</v>
      </c>
      <c r="CT105" s="333">
        <f t="shared" si="3"/>
        <v>95</v>
      </c>
      <c r="CU105" s="333">
        <f t="shared" si="3"/>
        <v>96</v>
      </c>
      <c r="CV105" s="333">
        <f t="shared" si="3"/>
        <v>97</v>
      </c>
      <c r="CW105" s="333">
        <f t="shared" si="3"/>
        <v>98</v>
      </c>
      <c r="CX105" s="333">
        <f t="shared" si="3"/>
        <v>99</v>
      </c>
      <c r="CY105" s="333">
        <f t="shared" si="3"/>
        <v>100</v>
      </c>
      <c r="CZ105" s="333">
        <f t="shared" si="3"/>
        <v>101</v>
      </c>
    </row>
    <row r="106" spans="1:104" x14ac:dyDescent="0.25">
      <c r="A106">
        <v>1</v>
      </c>
      <c r="B106" s="2">
        <f>(A106+1)</f>
        <v>2</v>
      </c>
      <c r="C106" s="2">
        <f t="shared" ref="C106:BN106" si="4">(B106+1)</f>
        <v>3</v>
      </c>
      <c r="D106" s="2">
        <f t="shared" si="4"/>
        <v>4</v>
      </c>
      <c r="E106" s="2">
        <f t="shared" si="4"/>
        <v>5</v>
      </c>
      <c r="F106" s="2">
        <f t="shared" si="4"/>
        <v>6</v>
      </c>
      <c r="G106" s="2">
        <f t="shared" si="4"/>
        <v>7</v>
      </c>
      <c r="H106" s="2">
        <f t="shared" si="4"/>
        <v>8</v>
      </c>
      <c r="I106" s="2">
        <f t="shared" si="4"/>
        <v>9</v>
      </c>
      <c r="J106" s="2">
        <f t="shared" si="4"/>
        <v>10</v>
      </c>
      <c r="K106" s="2">
        <f t="shared" si="4"/>
        <v>11</v>
      </c>
      <c r="L106" s="2">
        <f t="shared" si="4"/>
        <v>12</v>
      </c>
      <c r="M106" s="2">
        <f t="shared" si="4"/>
        <v>13</v>
      </c>
      <c r="N106" s="2">
        <f t="shared" si="4"/>
        <v>14</v>
      </c>
      <c r="O106" s="2">
        <f t="shared" si="4"/>
        <v>15</v>
      </c>
      <c r="P106" s="2">
        <f t="shared" si="4"/>
        <v>16</v>
      </c>
      <c r="Q106" s="2">
        <f t="shared" si="4"/>
        <v>17</v>
      </c>
      <c r="R106" s="2">
        <f t="shared" si="4"/>
        <v>18</v>
      </c>
      <c r="S106" s="2">
        <f t="shared" si="4"/>
        <v>19</v>
      </c>
      <c r="T106" s="2">
        <f t="shared" si="4"/>
        <v>20</v>
      </c>
      <c r="U106" s="2">
        <f t="shared" si="4"/>
        <v>21</v>
      </c>
      <c r="V106" s="2">
        <f t="shared" si="4"/>
        <v>22</v>
      </c>
      <c r="W106" s="2">
        <f t="shared" si="4"/>
        <v>23</v>
      </c>
      <c r="X106" s="2">
        <f t="shared" si="4"/>
        <v>24</v>
      </c>
      <c r="Y106" s="2">
        <f t="shared" si="4"/>
        <v>25</v>
      </c>
      <c r="Z106" s="2">
        <f t="shared" si="4"/>
        <v>26</v>
      </c>
      <c r="AA106" s="2">
        <f t="shared" si="4"/>
        <v>27</v>
      </c>
      <c r="AB106" s="2">
        <f t="shared" si="4"/>
        <v>28</v>
      </c>
      <c r="AC106" s="2">
        <f t="shared" si="4"/>
        <v>29</v>
      </c>
      <c r="AD106" s="2">
        <f t="shared" si="4"/>
        <v>30</v>
      </c>
      <c r="AE106" s="2">
        <f t="shared" si="4"/>
        <v>31</v>
      </c>
      <c r="AF106" s="2">
        <f t="shared" si="4"/>
        <v>32</v>
      </c>
      <c r="AG106" s="2">
        <f t="shared" si="4"/>
        <v>33</v>
      </c>
      <c r="AH106" s="2">
        <f t="shared" si="4"/>
        <v>34</v>
      </c>
      <c r="AI106" s="2">
        <f t="shared" si="4"/>
        <v>35</v>
      </c>
      <c r="AJ106" s="2">
        <f t="shared" si="4"/>
        <v>36</v>
      </c>
      <c r="AK106" s="2">
        <f t="shared" si="4"/>
        <v>37</v>
      </c>
      <c r="AL106" s="2">
        <f t="shared" si="4"/>
        <v>38</v>
      </c>
      <c r="AM106" s="2">
        <f t="shared" si="4"/>
        <v>39</v>
      </c>
      <c r="AN106" s="2">
        <f t="shared" si="4"/>
        <v>40</v>
      </c>
      <c r="AO106" s="2">
        <f t="shared" si="4"/>
        <v>41</v>
      </c>
      <c r="AP106" s="2">
        <f t="shared" si="4"/>
        <v>42</v>
      </c>
      <c r="AQ106" s="2">
        <f t="shared" si="4"/>
        <v>43</v>
      </c>
      <c r="AR106" s="2">
        <f t="shared" si="4"/>
        <v>44</v>
      </c>
      <c r="AS106" s="2">
        <f t="shared" si="4"/>
        <v>45</v>
      </c>
      <c r="AT106" s="2">
        <f t="shared" si="4"/>
        <v>46</v>
      </c>
      <c r="AU106" s="2">
        <f t="shared" si="4"/>
        <v>47</v>
      </c>
      <c r="AV106" s="2">
        <f t="shared" si="4"/>
        <v>48</v>
      </c>
      <c r="AW106" s="2">
        <f t="shared" si="4"/>
        <v>49</v>
      </c>
      <c r="AX106" s="2">
        <f t="shared" si="4"/>
        <v>50</v>
      </c>
      <c r="AY106" s="2">
        <f t="shared" si="4"/>
        <v>51</v>
      </c>
      <c r="AZ106" s="2">
        <f t="shared" si="4"/>
        <v>52</v>
      </c>
      <c r="BA106" s="2">
        <f t="shared" si="4"/>
        <v>53</v>
      </c>
      <c r="BB106" s="2">
        <f t="shared" si="4"/>
        <v>54</v>
      </c>
      <c r="BC106" s="2">
        <f t="shared" si="4"/>
        <v>55</v>
      </c>
      <c r="BD106" s="2">
        <f t="shared" si="4"/>
        <v>56</v>
      </c>
      <c r="BE106" s="2">
        <f t="shared" si="4"/>
        <v>57</v>
      </c>
      <c r="BF106" s="2">
        <f t="shared" si="4"/>
        <v>58</v>
      </c>
      <c r="BG106" s="2">
        <f t="shared" si="4"/>
        <v>59</v>
      </c>
      <c r="BH106" s="2">
        <f t="shared" si="4"/>
        <v>60</v>
      </c>
      <c r="BI106" s="2">
        <f t="shared" si="4"/>
        <v>61</v>
      </c>
      <c r="BJ106" s="2">
        <f t="shared" si="4"/>
        <v>62</v>
      </c>
      <c r="BK106" s="2">
        <f t="shared" si="4"/>
        <v>63</v>
      </c>
      <c r="BL106" s="2">
        <f t="shared" si="4"/>
        <v>64</v>
      </c>
      <c r="BM106" s="2">
        <f t="shared" si="4"/>
        <v>65</v>
      </c>
      <c r="BN106" s="2">
        <f t="shared" si="4"/>
        <v>66</v>
      </c>
      <c r="BO106" s="2">
        <f t="shared" ref="BO106:CZ106" si="5">(BN106+1)</f>
        <v>67</v>
      </c>
      <c r="BP106" s="2">
        <f t="shared" si="5"/>
        <v>68</v>
      </c>
      <c r="BQ106" s="2">
        <f t="shared" si="5"/>
        <v>69</v>
      </c>
      <c r="BR106" s="2">
        <f t="shared" si="5"/>
        <v>70</v>
      </c>
      <c r="BS106" s="2">
        <f t="shared" si="5"/>
        <v>71</v>
      </c>
      <c r="BT106" s="2">
        <f t="shared" si="5"/>
        <v>72</v>
      </c>
      <c r="BU106" s="2">
        <f t="shared" si="5"/>
        <v>73</v>
      </c>
      <c r="BV106" s="2">
        <f t="shared" si="5"/>
        <v>74</v>
      </c>
      <c r="BW106" s="2">
        <f t="shared" si="5"/>
        <v>75</v>
      </c>
      <c r="BX106" s="2">
        <f t="shared" si="5"/>
        <v>76</v>
      </c>
      <c r="BY106" s="2">
        <f t="shared" si="5"/>
        <v>77</v>
      </c>
      <c r="BZ106" s="2">
        <f t="shared" si="5"/>
        <v>78</v>
      </c>
      <c r="CA106" s="2">
        <f t="shared" si="5"/>
        <v>79</v>
      </c>
      <c r="CB106" s="2">
        <f t="shared" si="5"/>
        <v>80</v>
      </c>
      <c r="CC106" s="2">
        <f t="shared" si="5"/>
        <v>81</v>
      </c>
      <c r="CD106" s="2">
        <f t="shared" si="5"/>
        <v>82</v>
      </c>
      <c r="CE106" s="2">
        <f t="shared" si="5"/>
        <v>83</v>
      </c>
      <c r="CF106" s="2">
        <f t="shared" si="5"/>
        <v>84</v>
      </c>
      <c r="CG106" s="2">
        <f t="shared" si="5"/>
        <v>85</v>
      </c>
      <c r="CH106" s="2">
        <f t="shared" si="5"/>
        <v>86</v>
      </c>
      <c r="CI106" s="2">
        <f t="shared" si="5"/>
        <v>87</v>
      </c>
      <c r="CJ106" s="2">
        <f t="shared" si="5"/>
        <v>88</v>
      </c>
      <c r="CK106" s="2">
        <f t="shared" si="5"/>
        <v>89</v>
      </c>
      <c r="CL106" s="2">
        <f t="shared" si="5"/>
        <v>90</v>
      </c>
      <c r="CM106" s="2">
        <f t="shared" si="5"/>
        <v>91</v>
      </c>
      <c r="CN106" s="2">
        <f t="shared" si="5"/>
        <v>92</v>
      </c>
      <c r="CO106" s="2">
        <f t="shared" si="5"/>
        <v>93</v>
      </c>
      <c r="CP106" s="2">
        <f t="shared" si="5"/>
        <v>94</v>
      </c>
      <c r="CQ106" s="2">
        <f t="shared" si="5"/>
        <v>95</v>
      </c>
      <c r="CR106" s="2">
        <f t="shared" si="5"/>
        <v>96</v>
      </c>
      <c r="CS106" s="2">
        <f t="shared" si="5"/>
        <v>97</v>
      </c>
      <c r="CT106" s="2">
        <f t="shared" si="5"/>
        <v>98</v>
      </c>
      <c r="CU106" s="2">
        <f t="shared" si="5"/>
        <v>99</v>
      </c>
      <c r="CV106" s="2">
        <f t="shared" si="5"/>
        <v>100</v>
      </c>
      <c r="CW106" s="2">
        <f t="shared" si="5"/>
        <v>101</v>
      </c>
      <c r="CX106" s="2">
        <f t="shared" si="5"/>
        <v>102</v>
      </c>
      <c r="CY106" s="2">
        <f t="shared" si="5"/>
        <v>103</v>
      </c>
      <c r="CZ106" s="2">
        <f t="shared" si="5"/>
        <v>104</v>
      </c>
    </row>
    <row r="108" spans="1:104" x14ac:dyDescent="0.25">
      <c r="E108" s="14"/>
      <c r="F108" s="14"/>
      <c r="G108" s="14"/>
      <c r="H108" s="14"/>
      <c r="I108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oglio36"/>
  <dimension ref="A1:CZ108"/>
  <sheetViews>
    <sheetView topLeftCell="A13" zoomScale="32" workbookViewId="0">
      <selection activeCell="DG36" sqref="DG36"/>
    </sheetView>
  </sheetViews>
  <sheetFormatPr defaultRowHeight="13.2" x14ac:dyDescent="0.25"/>
  <cols>
    <col min="2" max="2" width="3.5546875" customWidth="1"/>
    <col min="3" max="3" width="4" customWidth="1"/>
    <col min="4" max="103" width="3.5546875" customWidth="1"/>
    <col min="104" max="104" width="4.33203125" customWidth="1"/>
    <col min="105" max="105" width="3.5546875" customWidth="1"/>
  </cols>
  <sheetData>
    <row r="1" spans="1:104" ht="50.4" x14ac:dyDescent="0.7">
      <c r="A1" t="str">
        <f>ADDRESS(Suolo!E23,Suolo!E24)</f>
        <v>$S$85</v>
      </c>
      <c r="B1" s="338" t="s">
        <v>1064</v>
      </c>
      <c r="C1" s="337" t="s">
        <v>1063</v>
      </c>
      <c r="D1" s="329" t="s">
        <v>287</v>
      </c>
      <c r="E1" s="329" t="s">
        <v>1055</v>
      </c>
      <c r="F1" s="329"/>
      <c r="G1" s="329" t="s">
        <v>1057</v>
      </c>
      <c r="H1" s="329"/>
      <c r="I1" s="329" t="s">
        <v>20</v>
      </c>
      <c r="J1" s="329"/>
      <c r="K1" s="329" t="s">
        <v>599</v>
      </c>
      <c r="L1" s="329"/>
      <c r="M1" s="329" t="s">
        <v>601</v>
      </c>
      <c r="N1" s="329"/>
      <c r="O1" s="329" t="s">
        <v>1056</v>
      </c>
      <c r="Q1" s="329" t="s">
        <v>601</v>
      </c>
    </row>
    <row r="2" spans="1:104" ht="13.35" customHeight="1" x14ac:dyDescent="0.25">
      <c r="D2" s="14">
        <v>0</v>
      </c>
      <c r="E2" s="14">
        <f>(D2+1)</f>
        <v>1</v>
      </c>
      <c r="F2" s="14">
        <f t="shared" ref="F2:BQ2" si="0">(E2+1)</f>
        <v>2</v>
      </c>
      <c r="G2" s="14">
        <f t="shared" si="0"/>
        <v>3</v>
      </c>
      <c r="H2" s="14">
        <f t="shared" si="0"/>
        <v>4</v>
      </c>
      <c r="I2" s="14">
        <f t="shared" si="0"/>
        <v>5</v>
      </c>
      <c r="J2" s="14">
        <f t="shared" si="0"/>
        <v>6</v>
      </c>
      <c r="K2" s="14">
        <f t="shared" si="0"/>
        <v>7</v>
      </c>
      <c r="L2" s="14">
        <f t="shared" si="0"/>
        <v>8</v>
      </c>
      <c r="M2" s="14">
        <f t="shared" si="0"/>
        <v>9</v>
      </c>
      <c r="N2" s="14">
        <f t="shared" si="0"/>
        <v>10</v>
      </c>
      <c r="O2" s="14">
        <f t="shared" si="0"/>
        <v>11</v>
      </c>
      <c r="P2" s="14">
        <f t="shared" si="0"/>
        <v>12</v>
      </c>
      <c r="Q2" s="14">
        <f t="shared" si="0"/>
        <v>13</v>
      </c>
      <c r="R2" s="14">
        <f t="shared" si="0"/>
        <v>14</v>
      </c>
      <c r="S2" s="14">
        <f t="shared" si="0"/>
        <v>15</v>
      </c>
      <c r="T2" s="14">
        <f t="shared" si="0"/>
        <v>16</v>
      </c>
      <c r="U2" s="14">
        <f t="shared" si="0"/>
        <v>17</v>
      </c>
      <c r="V2" s="14">
        <f t="shared" si="0"/>
        <v>18</v>
      </c>
      <c r="W2" s="14">
        <f t="shared" si="0"/>
        <v>19</v>
      </c>
      <c r="X2" s="14">
        <f t="shared" si="0"/>
        <v>20</v>
      </c>
      <c r="Y2" s="14">
        <f t="shared" si="0"/>
        <v>21</v>
      </c>
      <c r="Z2" s="14">
        <f t="shared" si="0"/>
        <v>22</v>
      </c>
      <c r="AA2" s="14">
        <f t="shared" si="0"/>
        <v>23</v>
      </c>
      <c r="AB2" s="14">
        <f t="shared" si="0"/>
        <v>24</v>
      </c>
      <c r="AC2" s="14">
        <f t="shared" si="0"/>
        <v>25</v>
      </c>
      <c r="AD2" s="14">
        <f t="shared" si="0"/>
        <v>26</v>
      </c>
      <c r="AE2" s="14">
        <f t="shared" si="0"/>
        <v>27</v>
      </c>
      <c r="AF2" s="14">
        <f t="shared" si="0"/>
        <v>28</v>
      </c>
      <c r="AG2" s="14">
        <f t="shared" si="0"/>
        <v>29</v>
      </c>
      <c r="AH2" s="14">
        <f t="shared" si="0"/>
        <v>30</v>
      </c>
      <c r="AI2" s="14">
        <f t="shared" si="0"/>
        <v>31</v>
      </c>
      <c r="AJ2" s="14">
        <f t="shared" si="0"/>
        <v>32</v>
      </c>
      <c r="AK2" s="14">
        <f t="shared" si="0"/>
        <v>33</v>
      </c>
      <c r="AL2" s="14">
        <f t="shared" si="0"/>
        <v>34</v>
      </c>
      <c r="AM2" s="14">
        <f t="shared" si="0"/>
        <v>35</v>
      </c>
      <c r="AN2" s="14">
        <f t="shared" si="0"/>
        <v>36</v>
      </c>
      <c r="AO2" s="14">
        <f t="shared" si="0"/>
        <v>37</v>
      </c>
      <c r="AP2" s="14">
        <f t="shared" si="0"/>
        <v>38</v>
      </c>
      <c r="AQ2" s="14">
        <f t="shared" si="0"/>
        <v>39</v>
      </c>
      <c r="AR2" s="14">
        <f t="shared" si="0"/>
        <v>40</v>
      </c>
      <c r="AS2" s="14">
        <f t="shared" si="0"/>
        <v>41</v>
      </c>
      <c r="AT2" s="14">
        <f t="shared" si="0"/>
        <v>42</v>
      </c>
      <c r="AU2" s="14">
        <f t="shared" si="0"/>
        <v>43</v>
      </c>
      <c r="AV2" s="14">
        <f t="shared" si="0"/>
        <v>44</v>
      </c>
      <c r="AW2" s="14">
        <f t="shared" si="0"/>
        <v>45</v>
      </c>
      <c r="AX2" s="14">
        <f t="shared" si="0"/>
        <v>46</v>
      </c>
      <c r="AY2" s="14">
        <f t="shared" si="0"/>
        <v>47</v>
      </c>
      <c r="AZ2" s="14">
        <f t="shared" si="0"/>
        <v>48</v>
      </c>
      <c r="BA2" s="14">
        <f t="shared" si="0"/>
        <v>49</v>
      </c>
      <c r="BB2" s="14">
        <f t="shared" si="0"/>
        <v>50</v>
      </c>
      <c r="BC2" s="14">
        <f t="shared" si="0"/>
        <v>51</v>
      </c>
      <c r="BD2" s="14">
        <f t="shared" si="0"/>
        <v>52</v>
      </c>
      <c r="BE2" s="14">
        <f t="shared" si="0"/>
        <v>53</v>
      </c>
      <c r="BF2" s="14">
        <f t="shared" si="0"/>
        <v>54</v>
      </c>
      <c r="BG2" s="14">
        <f t="shared" si="0"/>
        <v>55</v>
      </c>
      <c r="BH2" s="14">
        <f t="shared" si="0"/>
        <v>56</v>
      </c>
      <c r="BI2" s="14">
        <f t="shared" si="0"/>
        <v>57</v>
      </c>
      <c r="BJ2" s="14">
        <f t="shared" si="0"/>
        <v>58</v>
      </c>
      <c r="BK2" s="14">
        <f t="shared" si="0"/>
        <v>59</v>
      </c>
      <c r="BL2" s="14">
        <f t="shared" si="0"/>
        <v>60</v>
      </c>
      <c r="BM2" s="14">
        <f t="shared" si="0"/>
        <v>61</v>
      </c>
      <c r="BN2" s="14">
        <f t="shared" si="0"/>
        <v>62</v>
      </c>
      <c r="BO2" s="14">
        <f t="shared" si="0"/>
        <v>63</v>
      </c>
      <c r="BP2" s="14">
        <f t="shared" si="0"/>
        <v>64</v>
      </c>
      <c r="BQ2" s="14">
        <f t="shared" si="0"/>
        <v>65</v>
      </c>
      <c r="BR2" s="14">
        <f t="shared" ref="BR2:CZ2" si="1">(BQ2+1)</f>
        <v>66</v>
      </c>
      <c r="BS2" s="14">
        <f t="shared" si="1"/>
        <v>67</v>
      </c>
      <c r="BT2" s="14">
        <f t="shared" si="1"/>
        <v>68</v>
      </c>
      <c r="BU2" s="14">
        <f t="shared" si="1"/>
        <v>69</v>
      </c>
      <c r="BV2" s="14">
        <f t="shared" si="1"/>
        <v>70</v>
      </c>
      <c r="BW2" s="14">
        <f t="shared" si="1"/>
        <v>71</v>
      </c>
      <c r="BX2" s="14">
        <f t="shared" si="1"/>
        <v>72</v>
      </c>
      <c r="BY2" s="14">
        <f t="shared" si="1"/>
        <v>73</v>
      </c>
      <c r="BZ2" s="14">
        <f t="shared" si="1"/>
        <v>74</v>
      </c>
      <c r="CA2" s="14">
        <f t="shared" si="1"/>
        <v>75</v>
      </c>
      <c r="CB2" s="14">
        <f t="shared" si="1"/>
        <v>76</v>
      </c>
      <c r="CC2" s="14">
        <f t="shared" si="1"/>
        <v>77</v>
      </c>
      <c r="CD2" s="14">
        <f t="shared" si="1"/>
        <v>78</v>
      </c>
      <c r="CE2" s="14">
        <f t="shared" si="1"/>
        <v>79</v>
      </c>
      <c r="CF2" s="14">
        <f t="shared" si="1"/>
        <v>80</v>
      </c>
      <c r="CG2" s="14">
        <f t="shared" si="1"/>
        <v>81</v>
      </c>
      <c r="CH2" s="14">
        <f t="shared" si="1"/>
        <v>82</v>
      </c>
      <c r="CI2" s="14">
        <f t="shared" si="1"/>
        <v>83</v>
      </c>
      <c r="CJ2" s="14">
        <f t="shared" si="1"/>
        <v>84</v>
      </c>
      <c r="CK2" s="14">
        <f t="shared" si="1"/>
        <v>85</v>
      </c>
      <c r="CL2" s="14">
        <f t="shared" si="1"/>
        <v>86</v>
      </c>
      <c r="CM2" s="14">
        <f t="shared" si="1"/>
        <v>87</v>
      </c>
      <c r="CN2" s="14">
        <f t="shared" si="1"/>
        <v>88</v>
      </c>
      <c r="CO2" s="14">
        <f t="shared" si="1"/>
        <v>89</v>
      </c>
      <c r="CP2" s="14">
        <f t="shared" si="1"/>
        <v>90</v>
      </c>
      <c r="CQ2" s="14">
        <f t="shared" si="1"/>
        <v>91</v>
      </c>
      <c r="CR2" s="14">
        <f t="shared" si="1"/>
        <v>92</v>
      </c>
      <c r="CS2" s="14">
        <f t="shared" si="1"/>
        <v>93</v>
      </c>
      <c r="CT2" s="14">
        <f t="shared" si="1"/>
        <v>94</v>
      </c>
      <c r="CU2" s="14">
        <f t="shared" si="1"/>
        <v>95</v>
      </c>
      <c r="CV2" s="14">
        <f t="shared" si="1"/>
        <v>96</v>
      </c>
      <c r="CW2" s="14">
        <f t="shared" si="1"/>
        <v>97</v>
      </c>
      <c r="CX2" s="14">
        <f t="shared" si="1"/>
        <v>98</v>
      </c>
      <c r="CY2" s="14">
        <f t="shared" si="1"/>
        <v>99</v>
      </c>
      <c r="CZ2" s="14">
        <f t="shared" si="1"/>
        <v>100</v>
      </c>
    </row>
    <row r="3" spans="1:104" ht="13.35" customHeight="1" x14ac:dyDescent="0.25">
      <c r="B3">
        <v>1</v>
      </c>
      <c r="C3" s="21">
        <v>100</v>
      </c>
      <c r="D3" s="327" t="s">
        <v>15</v>
      </c>
    </row>
    <row r="4" spans="1:104" ht="13.35" customHeight="1" x14ac:dyDescent="0.25">
      <c r="B4" s="2">
        <f>(B3+1)</f>
        <v>2</v>
      </c>
      <c r="C4" s="21">
        <v>99</v>
      </c>
      <c r="D4" s="327" t="s">
        <v>15</v>
      </c>
      <c r="E4" s="327" t="s">
        <v>15</v>
      </c>
    </row>
    <row r="5" spans="1:104" ht="13.35" customHeight="1" x14ac:dyDescent="0.25">
      <c r="B5" s="2">
        <f t="shared" ref="B5:B68" si="2">(B4+1)</f>
        <v>3</v>
      </c>
      <c r="C5" s="21">
        <v>98</v>
      </c>
      <c r="D5" s="327" t="s">
        <v>15</v>
      </c>
      <c r="E5" s="327" t="s">
        <v>15</v>
      </c>
      <c r="F5" s="327" t="s">
        <v>15</v>
      </c>
    </row>
    <row r="6" spans="1:104" ht="13.35" customHeight="1" x14ac:dyDescent="0.25">
      <c r="B6" s="2">
        <f t="shared" si="2"/>
        <v>4</v>
      </c>
      <c r="C6" s="21">
        <v>97</v>
      </c>
      <c r="D6" s="327" t="s">
        <v>15</v>
      </c>
      <c r="E6" s="327" t="s">
        <v>15</v>
      </c>
      <c r="F6" s="327" t="s">
        <v>15</v>
      </c>
      <c r="G6" s="327" t="s">
        <v>15</v>
      </c>
    </row>
    <row r="7" spans="1:104" ht="13.35" customHeight="1" x14ac:dyDescent="0.25">
      <c r="B7" s="2">
        <f t="shared" si="2"/>
        <v>5</v>
      </c>
      <c r="C7" s="21">
        <v>96</v>
      </c>
      <c r="D7" s="327" t="s">
        <v>15</v>
      </c>
      <c r="E7" s="327" t="s">
        <v>15</v>
      </c>
      <c r="F7" s="327" t="s">
        <v>15</v>
      </c>
      <c r="G7" s="327" t="s">
        <v>15</v>
      </c>
      <c r="H7" s="327" t="s">
        <v>15</v>
      </c>
    </row>
    <row r="8" spans="1:104" ht="13.35" customHeight="1" x14ac:dyDescent="0.25">
      <c r="B8" s="2">
        <f t="shared" si="2"/>
        <v>6</v>
      </c>
      <c r="C8" s="21">
        <v>95</v>
      </c>
      <c r="D8" s="327" t="s">
        <v>15</v>
      </c>
      <c r="E8" s="327" t="s">
        <v>15</v>
      </c>
      <c r="F8" s="327" t="s">
        <v>15</v>
      </c>
      <c r="G8" s="327" t="s">
        <v>15</v>
      </c>
      <c r="H8" s="327" t="s">
        <v>15</v>
      </c>
      <c r="I8" s="327" t="s">
        <v>15</v>
      </c>
    </row>
    <row r="9" spans="1:104" ht="13.35" customHeight="1" x14ac:dyDescent="0.25">
      <c r="B9" s="2">
        <f t="shared" si="2"/>
        <v>7</v>
      </c>
      <c r="C9" s="21">
        <v>94</v>
      </c>
      <c r="D9" s="327" t="s">
        <v>15</v>
      </c>
      <c r="E9" s="327" t="s">
        <v>15</v>
      </c>
      <c r="F9" s="327" t="s">
        <v>15</v>
      </c>
      <c r="G9" s="327" t="s">
        <v>15</v>
      </c>
      <c r="H9" s="327" t="s">
        <v>15</v>
      </c>
      <c r="I9" s="327" t="s">
        <v>15</v>
      </c>
      <c r="J9" s="327" t="s">
        <v>15</v>
      </c>
    </row>
    <row r="10" spans="1:104" ht="13.35" customHeight="1" x14ac:dyDescent="0.25">
      <c r="B10" s="2">
        <f t="shared" si="2"/>
        <v>8</v>
      </c>
      <c r="C10" s="21">
        <v>93</v>
      </c>
      <c r="D10" s="327" t="s">
        <v>15</v>
      </c>
      <c r="E10" s="327" t="s">
        <v>15</v>
      </c>
      <c r="F10" s="327" t="s">
        <v>15</v>
      </c>
      <c r="G10" s="327" t="s">
        <v>15</v>
      </c>
      <c r="H10" s="327" t="s">
        <v>15</v>
      </c>
      <c r="I10" s="327" t="s">
        <v>15</v>
      </c>
      <c r="J10" s="327" t="s">
        <v>15</v>
      </c>
      <c r="K10" s="327" t="s">
        <v>15</v>
      </c>
    </row>
    <row r="11" spans="1:104" ht="13.35" customHeight="1" x14ac:dyDescent="0.25">
      <c r="B11" s="2">
        <f t="shared" si="2"/>
        <v>9</v>
      </c>
      <c r="C11" s="21">
        <v>92</v>
      </c>
      <c r="D11" s="327" t="s">
        <v>15</v>
      </c>
      <c r="E11" s="327" t="s">
        <v>15</v>
      </c>
      <c r="F11" s="327" t="s">
        <v>15</v>
      </c>
      <c r="G11" s="327" t="s">
        <v>15</v>
      </c>
      <c r="H11" s="327" t="s">
        <v>15</v>
      </c>
      <c r="I11" s="327" t="s">
        <v>15</v>
      </c>
      <c r="J11" s="327" t="s">
        <v>15</v>
      </c>
      <c r="K11" s="327" t="s">
        <v>15</v>
      </c>
      <c r="L11" s="327" t="s">
        <v>15</v>
      </c>
    </row>
    <row r="12" spans="1:104" ht="13.35" customHeight="1" x14ac:dyDescent="0.25">
      <c r="B12" s="2">
        <f t="shared" si="2"/>
        <v>10</v>
      </c>
      <c r="C12" s="21">
        <v>91</v>
      </c>
      <c r="D12" s="327" t="s">
        <v>15</v>
      </c>
      <c r="E12" s="327" t="s">
        <v>15</v>
      </c>
      <c r="F12" s="327" t="s">
        <v>15</v>
      </c>
      <c r="G12" s="327" t="s">
        <v>15</v>
      </c>
      <c r="H12" s="327" t="s">
        <v>15</v>
      </c>
      <c r="I12" s="327" t="s">
        <v>15</v>
      </c>
      <c r="J12" s="327" t="s">
        <v>15</v>
      </c>
      <c r="K12" s="327" t="s">
        <v>15</v>
      </c>
      <c r="L12" s="327" t="s">
        <v>15</v>
      </c>
      <c r="M12" s="327" t="s">
        <v>15</v>
      </c>
    </row>
    <row r="13" spans="1:104" ht="13.35" customHeight="1" x14ac:dyDescent="0.25">
      <c r="B13" s="2">
        <f t="shared" si="2"/>
        <v>11</v>
      </c>
      <c r="C13" s="21">
        <v>90</v>
      </c>
      <c r="D13" s="327" t="s">
        <v>15</v>
      </c>
      <c r="E13" s="327" t="s">
        <v>15</v>
      </c>
      <c r="F13" s="327" t="s">
        <v>15</v>
      </c>
      <c r="G13" s="327" t="s">
        <v>15</v>
      </c>
      <c r="H13" s="327" t="s">
        <v>15</v>
      </c>
      <c r="I13" s="327" t="s">
        <v>15</v>
      </c>
      <c r="J13" s="327" t="s">
        <v>15</v>
      </c>
      <c r="K13" s="327" t="s">
        <v>15</v>
      </c>
      <c r="L13" s="327" t="s">
        <v>15</v>
      </c>
      <c r="M13" s="327" t="s">
        <v>15</v>
      </c>
      <c r="N13" s="327" t="s">
        <v>15</v>
      </c>
    </row>
    <row r="14" spans="1:104" ht="13.35" customHeight="1" x14ac:dyDescent="0.25">
      <c r="B14" s="2">
        <f t="shared" si="2"/>
        <v>12</v>
      </c>
      <c r="C14" s="21">
        <v>89</v>
      </c>
      <c r="D14" s="327" t="s">
        <v>15</v>
      </c>
      <c r="E14" s="327" t="s">
        <v>15</v>
      </c>
      <c r="F14" s="327" t="s">
        <v>15</v>
      </c>
      <c r="G14" s="327" t="s">
        <v>15</v>
      </c>
      <c r="H14" s="327" t="s">
        <v>15</v>
      </c>
      <c r="I14" s="327" t="s">
        <v>15</v>
      </c>
      <c r="J14" s="327" t="s">
        <v>15</v>
      </c>
      <c r="K14" s="327" t="s">
        <v>15</v>
      </c>
      <c r="L14" s="327" t="s">
        <v>15</v>
      </c>
      <c r="M14" s="327" t="s">
        <v>15</v>
      </c>
      <c r="N14" s="327" t="s">
        <v>15</v>
      </c>
      <c r="O14" s="327" t="s">
        <v>15</v>
      </c>
    </row>
    <row r="15" spans="1:104" ht="13.35" customHeight="1" x14ac:dyDescent="0.25">
      <c r="B15" s="2">
        <f t="shared" si="2"/>
        <v>13</v>
      </c>
      <c r="C15" s="21">
        <v>88</v>
      </c>
      <c r="D15" s="327" t="s">
        <v>15</v>
      </c>
      <c r="E15" s="327" t="s">
        <v>15</v>
      </c>
      <c r="F15" s="327" t="s">
        <v>15</v>
      </c>
      <c r="G15" s="327" t="s">
        <v>15</v>
      </c>
      <c r="H15" s="327" t="s">
        <v>15</v>
      </c>
      <c r="I15" s="327" t="s">
        <v>15</v>
      </c>
      <c r="J15" s="327" t="s">
        <v>15</v>
      </c>
      <c r="K15" s="327" t="s">
        <v>15</v>
      </c>
      <c r="L15" s="327" t="s">
        <v>15</v>
      </c>
      <c r="M15" s="327" t="s">
        <v>15</v>
      </c>
      <c r="N15" s="327" t="s">
        <v>15</v>
      </c>
      <c r="O15" s="327" t="s">
        <v>15</v>
      </c>
      <c r="P15" s="327" t="s">
        <v>15</v>
      </c>
    </row>
    <row r="16" spans="1:104" ht="13.35" customHeight="1" x14ac:dyDescent="0.25">
      <c r="B16" s="2">
        <f t="shared" si="2"/>
        <v>14</v>
      </c>
      <c r="C16" s="21">
        <v>87</v>
      </c>
      <c r="D16" s="327" t="s">
        <v>15</v>
      </c>
      <c r="E16" s="327" t="s">
        <v>15</v>
      </c>
      <c r="F16" s="327" t="s">
        <v>15</v>
      </c>
      <c r="G16" s="327" t="s">
        <v>15</v>
      </c>
      <c r="H16" s="327" t="s">
        <v>15</v>
      </c>
      <c r="I16" s="327" t="s">
        <v>15</v>
      </c>
      <c r="J16" s="327" t="s">
        <v>15</v>
      </c>
      <c r="K16" s="327" t="s">
        <v>15</v>
      </c>
      <c r="L16" s="327" t="s">
        <v>15</v>
      </c>
      <c r="M16" s="327" t="s">
        <v>15</v>
      </c>
      <c r="N16" s="327" t="s">
        <v>15</v>
      </c>
      <c r="O16" s="327" t="s">
        <v>15</v>
      </c>
      <c r="P16" s="327" t="s">
        <v>15</v>
      </c>
      <c r="Q16" s="327" t="s">
        <v>15</v>
      </c>
    </row>
    <row r="17" spans="2:33" ht="13.35" customHeight="1" x14ac:dyDescent="0.25">
      <c r="B17" s="2">
        <f t="shared" si="2"/>
        <v>15</v>
      </c>
      <c r="C17" s="21">
        <v>86</v>
      </c>
      <c r="D17" s="327" t="s">
        <v>15</v>
      </c>
      <c r="E17" s="327" t="s">
        <v>15</v>
      </c>
      <c r="F17" s="327" t="s">
        <v>15</v>
      </c>
      <c r="G17" s="327" t="s">
        <v>15</v>
      </c>
      <c r="H17" s="327" t="s">
        <v>15</v>
      </c>
      <c r="I17" s="327" t="s">
        <v>15</v>
      </c>
      <c r="J17" s="327" t="s">
        <v>15</v>
      </c>
      <c r="K17" s="327" t="s">
        <v>15</v>
      </c>
      <c r="L17" s="327" t="s">
        <v>15</v>
      </c>
      <c r="M17" s="327" t="s">
        <v>15</v>
      </c>
      <c r="N17" s="327" t="s">
        <v>15</v>
      </c>
      <c r="O17" s="327" t="s">
        <v>15</v>
      </c>
      <c r="P17" s="327" t="s">
        <v>15</v>
      </c>
      <c r="Q17" s="327" t="s">
        <v>15</v>
      </c>
      <c r="R17" s="327" t="s">
        <v>15</v>
      </c>
    </row>
    <row r="18" spans="2:33" ht="13.35" customHeight="1" x14ac:dyDescent="0.25">
      <c r="B18" s="2">
        <f t="shared" si="2"/>
        <v>16</v>
      </c>
      <c r="C18" s="21">
        <v>85</v>
      </c>
      <c r="D18" s="327" t="s">
        <v>15</v>
      </c>
      <c r="E18" s="327" t="s">
        <v>15</v>
      </c>
      <c r="F18" s="327" t="s">
        <v>15</v>
      </c>
      <c r="G18" s="327" t="s">
        <v>15</v>
      </c>
      <c r="H18" s="327" t="s">
        <v>15</v>
      </c>
      <c r="I18" s="327" t="s">
        <v>15</v>
      </c>
      <c r="J18" s="327" t="s">
        <v>15</v>
      </c>
      <c r="K18" s="327" t="s">
        <v>15</v>
      </c>
      <c r="L18" s="327" t="s">
        <v>15</v>
      </c>
      <c r="M18" s="327" t="s">
        <v>15</v>
      </c>
      <c r="N18" s="327" t="s">
        <v>15</v>
      </c>
      <c r="O18" s="327" t="s">
        <v>15</v>
      </c>
      <c r="P18" s="327" t="s">
        <v>15</v>
      </c>
      <c r="Q18" s="327" t="s">
        <v>15</v>
      </c>
      <c r="R18" s="327" t="s">
        <v>15</v>
      </c>
      <c r="S18" s="327" t="s">
        <v>15</v>
      </c>
    </row>
    <row r="19" spans="2:33" ht="13.35" customHeight="1" x14ac:dyDescent="0.25">
      <c r="B19" s="2">
        <f t="shared" si="2"/>
        <v>17</v>
      </c>
      <c r="C19" s="21">
        <v>84</v>
      </c>
      <c r="D19" s="327" t="s">
        <v>15</v>
      </c>
      <c r="E19" s="327" t="s">
        <v>15</v>
      </c>
      <c r="F19" s="327" t="s">
        <v>15</v>
      </c>
      <c r="G19" s="327" t="s">
        <v>15</v>
      </c>
      <c r="H19" s="327" t="s">
        <v>15</v>
      </c>
      <c r="I19" s="327" t="s">
        <v>15</v>
      </c>
      <c r="J19" s="327" t="s">
        <v>15</v>
      </c>
      <c r="K19" s="327" t="s">
        <v>15</v>
      </c>
      <c r="L19" s="327" t="s">
        <v>15</v>
      </c>
      <c r="M19" s="327" t="s">
        <v>15</v>
      </c>
      <c r="N19" s="327" t="s">
        <v>15</v>
      </c>
      <c r="O19" s="327" t="s">
        <v>15</v>
      </c>
      <c r="P19" s="327" t="s">
        <v>15</v>
      </c>
      <c r="Q19" s="327" t="s">
        <v>15</v>
      </c>
      <c r="R19" s="327" t="s">
        <v>15</v>
      </c>
      <c r="S19" s="327" t="s">
        <v>15</v>
      </c>
      <c r="T19" s="327" t="s">
        <v>15</v>
      </c>
    </row>
    <row r="20" spans="2:33" ht="13.35" customHeight="1" x14ac:dyDescent="0.25">
      <c r="B20" s="2">
        <f t="shared" si="2"/>
        <v>18</v>
      </c>
      <c r="C20" s="21">
        <v>83</v>
      </c>
      <c r="D20" s="327" t="s">
        <v>15</v>
      </c>
      <c r="E20" s="327" t="s">
        <v>15</v>
      </c>
      <c r="F20" s="327" t="s">
        <v>15</v>
      </c>
      <c r="G20" s="327" t="s">
        <v>15</v>
      </c>
      <c r="H20" s="327" t="s">
        <v>15</v>
      </c>
      <c r="I20" s="327" t="s">
        <v>15</v>
      </c>
      <c r="J20" s="327" t="s">
        <v>15</v>
      </c>
      <c r="K20" s="327" t="s">
        <v>15</v>
      </c>
      <c r="L20" s="327" t="s">
        <v>15</v>
      </c>
      <c r="M20" s="327" t="s">
        <v>15</v>
      </c>
      <c r="N20" s="327" t="s">
        <v>15</v>
      </c>
      <c r="O20" s="327" t="s">
        <v>15</v>
      </c>
      <c r="P20" s="327" t="s">
        <v>15</v>
      </c>
      <c r="Q20" s="327" t="s">
        <v>15</v>
      </c>
      <c r="R20" s="327" t="s">
        <v>15</v>
      </c>
      <c r="S20" s="327" t="s">
        <v>15</v>
      </c>
      <c r="T20" s="327" t="s">
        <v>15</v>
      </c>
      <c r="U20" s="327" t="s">
        <v>15</v>
      </c>
    </row>
    <row r="21" spans="2:33" ht="13.35" customHeight="1" x14ac:dyDescent="0.25">
      <c r="B21" s="2">
        <f t="shared" si="2"/>
        <v>19</v>
      </c>
      <c r="C21" s="21">
        <v>82</v>
      </c>
      <c r="D21" s="327" t="s">
        <v>15</v>
      </c>
      <c r="E21" s="327" t="s">
        <v>15</v>
      </c>
      <c r="F21" s="327" t="s">
        <v>15</v>
      </c>
      <c r="G21" s="327" t="s">
        <v>15</v>
      </c>
      <c r="H21" s="327" t="s">
        <v>15</v>
      </c>
      <c r="I21" s="327" t="s">
        <v>15</v>
      </c>
      <c r="J21" s="327" t="s">
        <v>15</v>
      </c>
      <c r="K21" s="327" t="s">
        <v>15</v>
      </c>
      <c r="L21" s="327" t="s">
        <v>15</v>
      </c>
      <c r="M21" s="327" t="s">
        <v>15</v>
      </c>
      <c r="N21" s="327" t="s">
        <v>15</v>
      </c>
      <c r="O21" s="327" t="s">
        <v>15</v>
      </c>
      <c r="P21" s="327" t="s">
        <v>15</v>
      </c>
      <c r="Q21" s="327" t="s">
        <v>15</v>
      </c>
      <c r="R21" s="327" t="s">
        <v>15</v>
      </c>
      <c r="S21" s="327" t="s">
        <v>15</v>
      </c>
      <c r="T21" s="327" t="s">
        <v>15</v>
      </c>
      <c r="U21" s="327" t="s">
        <v>15</v>
      </c>
      <c r="V21" s="327" t="s">
        <v>15</v>
      </c>
    </row>
    <row r="22" spans="2:33" ht="13.35" customHeight="1" x14ac:dyDescent="0.25">
      <c r="B22" s="2">
        <f t="shared" si="2"/>
        <v>20</v>
      </c>
      <c r="C22" s="21">
        <v>81</v>
      </c>
      <c r="D22" s="327" t="s">
        <v>15</v>
      </c>
      <c r="E22" s="327" t="s">
        <v>15</v>
      </c>
      <c r="F22" s="327" t="s">
        <v>15</v>
      </c>
      <c r="G22" s="327" t="s">
        <v>15</v>
      </c>
      <c r="H22" s="327" t="s">
        <v>15</v>
      </c>
      <c r="I22" s="327" t="s">
        <v>15</v>
      </c>
      <c r="J22" s="327" t="s">
        <v>15</v>
      </c>
      <c r="K22" s="327" t="s">
        <v>15</v>
      </c>
      <c r="L22" s="327" t="s">
        <v>15</v>
      </c>
      <c r="M22" s="327" t="s">
        <v>15</v>
      </c>
      <c r="N22" s="327" t="s">
        <v>15</v>
      </c>
      <c r="O22" s="327" t="s">
        <v>15</v>
      </c>
      <c r="P22" s="327" t="s">
        <v>15</v>
      </c>
      <c r="Q22" s="327" t="s">
        <v>15</v>
      </c>
      <c r="R22" s="327" t="s">
        <v>15</v>
      </c>
      <c r="S22" s="327" t="s">
        <v>15</v>
      </c>
      <c r="T22" s="327" t="s">
        <v>15</v>
      </c>
      <c r="U22" s="327" t="s">
        <v>15</v>
      </c>
      <c r="V22" s="327" t="s">
        <v>15</v>
      </c>
      <c r="W22" s="327" t="s">
        <v>15</v>
      </c>
    </row>
    <row r="23" spans="2:33" ht="13.35" customHeight="1" x14ac:dyDescent="0.25">
      <c r="B23" s="2">
        <f t="shared" si="2"/>
        <v>21</v>
      </c>
      <c r="C23" s="21">
        <v>80</v>
      </c>
      <c r="D23" s="327" t="s">
        <v>15</v>
      </c>
      <c r="E23" s="327" t="s">
        <v>15</v>
      </c>
      <c r="F23" s="327" t="s">
        <v>15</v>
      </c>
      <c r="G23" s="327" t="s">
        <v>15</v>
      </c>
      <c r="H23" s="327" t="s">
        <v>15</v>
      </c>
      <c r="I23" s="327" t="s">
        <v>15</v>
      </c>
      <c r="J23" s="327" t="s">
        <v>15</v>
      </c>
      <c r="K23" s="327" t="s">
        <v>15</v>
      </c>
      <c r="L23" s="327" t="s">
        <v>15</v>
      </c>
      <c r="M23" s="327" t="s">
        <v>15</v>
      </c>
      <c r="N23" s="327" t="s">
        <v>15</v>
      </c>
      <c r="O23" s="327" t="s">
        <v>15</v>
      </c>
      <c r="P23" s="327" t="s">
        <v>15</v>
      </c>
      <c r="Q23" s="327" t="s">
        <v>15</v>
      </c>
      <c r="R23" s="327" t="s">
        <v>15</v>
      </c>
      <c r="S23" s="327" t="s">
        <v>15</v>
      </c>
      <c r="T23" s="327" t="s">
        <v>15</v>
      </c>
      <c r="U23" s="327" t="s">
        <v>15</v>
      </c>
      <c r="V23" s="327" t="s">
        <v>15</v>
      </c>
      <c r="W23" s="327" t="s">
        <v>15</v>
      </c>
      <c r="X23" s="327" t="s">
        <v>15</v>
      </c>
    </row>
    <row r="24" spans="2:33" ht="13.35" customHeight="1" x14ac:dyDescent="0.25">
      <c r="B24" s="2">
        <f t="shared" si="2"/>
        <v>22</v>
      </c>
      <c r="C24" s="21">
        <v>79</v>
      </c>
      <c r="D24" s="327" t="s">
        <v>15</v>
      </c>
      <c r="E24" s="327" t="s">
        <v>15</v>
      </c>
      <c r="F24" s="327" t="s">
        <v>15</v>
      </c>
      <c r="G24" s="327" t="s">
        <v>15</v>
      </c>
      <c r="H24" s="327" t="s">
        <v>15</v>
      </c>
      <c r="I24" s="327" t="s">
        <v>15</v>
      </c>
      <c r="J24" s="327" t="s">
        <v>15</v>
      </c>
      <c r="K24" s="327" t="s">
        <v>15</v>
      </c>
      <c r="L24" s="327" t="s">
        <v>15</v>
      </c>
      <c r="M24" s="327" t="s">
        <v>15</v>
      </c>
      <c r="N24" s="327" t="s">
        <v>15</v>
      </c>
      <c r="O24" s="327" t="s">
        <v>15</v>
      </c>
      <c r="P24" s="327" t="s">
        <v>15</v>
      </c>
      <c r="Q24" s="327" t="s">
        <v>15</v>
      </c>
      <c r="R24" s="327" t="s">
        <v>15</v>
      </c>
      <c r="S24" s="327" t="s">
        <v>15</v>
      </c>
      <c r="T24" s="327" t="s">
        <v>15</v>
      </c>
      <c r="U24" s="327" t="s">
        <v>15</v>
      </c>
      <c r="V24" s="327" t="s">
        <v>15</v>
      </c>
      <c r="W24" s="327" t="s">
        <v>15</v>
      </c>
      <c r="X24" s="327" t="s">
        <v>15</v>
      </c>
      <c r="Y24" s="327" t="s">
        <v>15</v>
      </c>
    </row>
    <row r="25" spans="2:33" ht="13.35" customHeight="1" x14ac:dyDescent="0.25">
      <c r="B25" s="2">
        <f t="shared" si="2"/>
        <v>23</v>
      </c>
      <c r="C25" s="21">
        <v>78</v>
      </c>
      <c r="D25" s="327" t="s">
        <v>15</v>
      </c>
      <c r="E25" s="327" t="s">
        <v>15</v>
      </c>
      <c r="F25" s="327" t="s">
        <v>15</v>
      </c>
      <c r="G25" s="327" t="s">
        <v>15</v>
      </c>
      <c r="H25" s="327" t="s">
        <v>15</v>
      </c>
      <c r="I25" s="327" t="s">
        <v>15</v>
      </c>
      <c r="J25" s="327" t="s">
        <v>15</v>
      </c>
      <c r="K25" s="327" t="s">
        <v>15</v>
      </c>
      <c r="L25" s="327" t="s">
        <v>15</v>
      </c>
      <c r="M25" s="327" t="s">
        <v>15</v>
      </c>
      <c r="N25" s="327" t="s">
        <v>15</v>
      </c>
      <c r="O25" s="327" t="s">
        <v>15</v>
      </c>
      <c r="P25" s="327" t="s">
        <v>15</v>
      </c>
      <c r="Q25" s="327" t="s">
        <v>15</v>
      </c>
      <c r="R25" s="327" t="s">
        <v>15</v>
      </c>
      <c r="S25" s="327" t="s">
        <v>15</v>
      </c>
      <c r="T25" s="327" t="s">
        <v>15</v>
      </c>
      <c r="U25" s="327" t="s">
        <v>15</v>
      </c>
      <c r="V25" s="327" t="s">
        <v>15</v>
      </c>
      <c r="W25" s="327" t="s">
        <v>15</v>
      </c>
      <c r="X25" s="327" t="s">
        <v>15</v>
      </c>
      <c r="Y25" s="327" t="s">
        <v>15</v>
      </c>
      <c r="Z25" s="327" t="s">
        <v>15</v>
      </c>
    </row>
    <row r="26" spans="2:33" ht="13.35" customHeight="1" x14ac:dyDescent="0.25">
      <c r="B26" s="2">
        <f t="shared" si="2"/>
        <v>24</v>
      </c>
      <c r="C26" s="21">
        <v>77</v>
      </c>
      <c r="D26" s="327" t="s">
        <v>15</v>
      </c>
      <c r="E26" s="327" t="s">
        <v>15</v>
      </c>
      <c r="F26" s="327" t="s">
        <v>15</v>
      </c>
      <c r="G26" s="327" t="s">
        <v>15</v>
      </c>
      <c r="H26" s="327" t="s">
        <v>15</v>
      </c>
      <c r="I26" s="327" t="s">
        <v>15</v>
      </c>
      <c r="J26" s="327" t="s">
        <v>15</v>
      </c>
      <c r="K26" s="327" t="s">
        <v>15</v>
      </c>
      <c r="L26" s="327" t="s">
        <v>15</v>
      </c>
      <c r="M26" s="327" t="s">
        <v>15</v>
      </c>
      <c r="N26" s="327" t="s">
        <v>15</v>
      </c>
      <c r="O26" s="327" t="s">
        <v>15</v>
      </c>
      <c r="P26" s="327" t="s">
        <v>15</v>
      </c>
      <c r="Q26" s="327" t="s">
        <v>15</v>
      </c>
      <c r="R26" s="327" t="s">
        <v>15</v>
      </c>
      <c r="S26" s="327" t="s">
        <v>15</v>
      </c>
      <c r="T26" s="327" t="s">
        <v>15</v>
      </c>
      <c r="U26" s="327" t="s">
        <v>15</v>
      </c>
      <c r="V26" s="327" t="s">
        <v>15</v>
      </c>
      <c r="W26" s="327" t="s">
        <v>15</v>
      </c>
      <c r="X26" s="327" t="s">
        <v>15</v>
      </c>
      <c r="Y26" s="327" t="s">
        <v>15</v>
      </c>
      <c r="Z26" s="327" t="s">
        <v>15</v>
      </c>
      <c r="AA26" s="327" t="s">
        <v>15</v>
      </c>
    </row>
    <row r="27" spans="2:33" ht="13.35" customHeight="1" x14ac:dyDescent="0.25">
      <c r="B27" s="2">
        <f t="shared" si="2"/>
        <v>25</v>
      </c>
      <c r="C27" s="21">
        <v>76</v>
      </c>
      <c r="D27" s="327" t="s">
        <v>15</v>
      </c>
      <c r="E27" s="327" t="s">
        <v>15</v>
      </c>
      <c r="F27" s="327" t="s">
        <v>15</v>
      </c>
      <c r="G27" s="327" t="s">
        <v>15</v>
      </c>
      <c r="H27" s="327" t="s">
        <v>15</v>
      </c>
      <c r="I27" s="327" t="s">
        <v>15</v>
      </c>
      <c r="J27" s="327" t="s">
        <v>15</v>
      </c>
      <c r="K27" s="327" t="s">
        <v>15</v>
      </c>
      <c r="L27" s="327" t="s">
        <v>15</v>
      </c>
      <c r="M27" s="327" t="s">
        <v>15</v>
      </c>
      <c r="N27" s="327" t="s">
        <v>15</v>
      </c>
      <c r="O27" s="327" t="s">
        <v>15</v>
      </c>
      <c r="P27" s="327" t="s">
        <v>15</v>
      </c>
      <c r="Q27" s="327" t="s">
        <v>15</v>
      </c>
      <c r="R27" s="327" t="s">
        <v>15</v>
      </c>
      <c r="S27" s="327" t="s">
        <v>15</v>
      </c>
      <c r="T27" s="327" t="s">
        <v>15</v>
      </c>
      <c r="U27" s="327" t="s">
        <v>15</v>
      </c>
      <c r="V27" s="327" t="s">
        <v>15</v>
      </c>
      <c r="W27" s="327" t="s">
        <v>15</v>
      </c>
      <c r="X27" s="327" t="s">
        <v>15</v>
      </c>
      <c r="Y27" s="327" t="s">
        <v>15</v>
      </c>
      <c r="Z27" s="327" t="s">
        <v>15</v>
      </c>
      <c r="AA27" s="327" t="s">
        <v>15</v>
      </c>
      <c r="AB27" s="327" t="s">
        <v>15</v>
      </c>
    </row>
    <row r="28" spans="2:33" ht="13.35" customHeight="1" x14ac:dyDescent="0.25">
      <c r="B28" s="2">
        <f t="shared" si="2"/>
        <v>26</v>
      </c>
      <c r="C28" s="21">
        <v>75</v>
      </c>
      <c r="D28" s="327" t="s">
        <v>15</v>
      </c>
      <c r="E28" s="327" t="s">
        <v>15</v>
      </c>
      <c r="F28" s="327" t="s">
        <v>15</v>
      </c>
      <c r="G28" s="327" t="s">
        <v>15</v>
      </c>
      <c r="H28" s="327" t="s">
        <v>15</v>
      </c>
      <c r="I28" s="327" t="s">
        <v>15</v>
      </c>
      <c r="J28" s="327" t="s">
        <v>15</v>
      </c>
      <c r="K28" s="327" t="s">
        <v>15</v>
      </c>
      <c r="L28" s="327" t="s">
        <v>15</v>
      </c>
      <c r="M28" s="327" t="s">
        <v>15</v>
      </c>
      <c r="N28" s="327" t="s">
        <v>15</v>
      </c>
      <c r="O28" s="327" t="s">
        <v>15</v>
      </c>
      <c r="P28" s="327" t="s">
        <v>15</v>
      </c>
      <c r="Q28" s="327" t="s">
        <v>15</v>
      </c>
      <c r="R28" s="327" t="s">
        <v>15</v>
      </c>
      <c r="S28" s="327" t="s">
        <v>15</v>
      </c>
      <c r="T28" s="327" t="s">
        <v>15</v>
      </c>
      <c r="U28" s="327" t="s">
        <v>15</v>
      </c>
      <c r="V28" s="327" t="s">
        <v>15</v>
      </c>
      <c r="W28" s="327" t="s">
        <v>15</v>
      </c>
      <c r="X28" s="327" t="s">
        <v>15</v>
      </c>
      <c r="Y28" s="327" t="s">
        <v>15</v>
      </c>
      <c r="Z28" s="327" t="s">
        <v>15</v>
      </c>
      <c r="AA28" s="327" t="s">
        <v>15</v>
      </c>
      <c r="AB28" s="327" t="s">
        <v>15</v>
      </c>
      <c r="AC28" s="327" t="s">
        <v>15</v>
      </c>
    </row>
    <row r="29" spans="2:33" ht="13.35" customHeight="1" x14ac:dyDescent="0.25">
      <c r="B29" s="2">
        <f t="shared" si="2"/>
        <v>27</v>
      </c>
      <c r="C29" s="21">
        <v>74</v>
      </c>
      <c r="D29" s="327" t="s">
        <v>15</v>
      </c>
      <c r="E29" s="327" t="s">
        <v>15</v>
      </c>
      <c r="F29" s="327" t="s">
        <v>15</v>
      </c>
      <c r="G29" s="327" t="s">
        <v>15</v>
      </c>
      <c r="H29" s="327" t="s">
        <v>15</v>
      </c>
      <c r="I29" s="327" t="s">
        <v>15</v>
      </c>
      <c r="J29" s="327" t="s">
        <v>15</v>
      </c>
      <c r="K29" s="327" t="s">
        <v>15</v>
      </c>
      <c r="L29" s="327" t="s">
        <v>15</v>
      </c>
      <c r="M29" s="327" t="s">
        <v>15</v>
      </c>
      <c r="N29" s="327" t="s">
        <v>15</v>
      </c>
      <c r="O29" s="327" t="s">
        <v>15</v>
      </c>
      <c r="P29" s="327" t="s">
        <v>15</v>
      </c>
      <c r="Q29" s="327" t="s">
        <v>15</v>
      </c>
      <c r="R29" s="327" t="s">
        <v>15</v>
      </c>
      <c r="S29" s="327" t="s">
        <v>15</v>
      </c>
      <c r="T29" s="327" t="s">
        <v>15</v>
      </c>
      <c r="U29" s="327" t="s">
        <v>15</v>
      </c>
      <c r="V29" s="327" t="s">
        <v>15</v>
      </c>
      <c r="W29" s="327" t="s">
        <v>15</v>
      </c>
      <c r="X29" s="327" t="s">
        <v>15</v>
      </c>
      <c r="Y29" s="327" t="s">
        <v>15</v>
      </c>
      <c r="Z29" s="327" t="s">
        <v>15</v>
      </c>
      <c r="AA29" s="327" t="s">
        <v>15</v>
      </c>
      <c r="AB29" s="327" t="s">
        <v>15</v>
      </c>
      <c r="AC29" s="327" t="s">
        <v>15</v>
      </c>
      <c r="AD29" s="327" t="s">
        <v>15</v>
      </c>
    </row>
    <row r="30" spans="2:33" ht="13.35" customHeight="1" x14ac:dyDescent="0.25">
      <c r="B30" s="2">
        <f t="shared" si="2"/>
        <v>28</v>
      </c>
      <c r="C30" s="21">
        <v>73</v>
      </c>
      <c r="D30" s="327" t="s">
        <v>15</v>
      </c>
      <c r="E30" s="327" t="s">
        <v>15</v>
      </c>
      <c r="F30" s="327" t="s">
        <v>15</v>
      </c>
      <c r="G30" s="327" t="s">
        <v>15</v>
      </c>
      <c r="H30" s="327" t="s">
        <v>15</v>
      </c>
      <c r="I30" s="327" t="s">
        <v>15</v>
      </c>
      <c r="J30" s="327" t="s">
        <v>15</v>
      </c>
      <c r="K30" s="327" t="s">
        <v>15</v>
      </c>
      <c r="L30" s="327" t="s">
        <v>15</v>
      </c>
      <c r="M30" s="327" t="s">
        <v>15</v>
      </c>
      <c r="N30" s="327" t="s">
        <v>15</v>
      </c>
      <c r="O30" s="327" t="s">
        <v>15</v>
      </c>
      <c r="P30" s="327" t="s">
        <v>15</v>
      </c>
      <c r="Q30" s="327" t="s">
        <v>15</v>
      </c>
      <c r="R30" s="327" t="s">
        <v>15</v>
      </c>
      <c r="S30" s="327" t="s">
        <v>15</v>
      </c>
      <c r="T30" s="327" t="s">
        <v>15</v>
      </c>
      <c r="U30" s="327" t="s">
        <v>15</v>
      </c>
      <c r="V30" s="327" t="s">
        <v>15</v>
      </c>
      <c r="W30" s="327" t="s">
        <v>15</v>
      </c>
      <c r="X30" s="327" t="s">
        <v>15</v>
      </c>
      <c r="Y30" s="327" t="s">
        <v>15</v>
      </c>
      <c r="Z30" s="327" t="s">
        <v>15</v>
      </c>
      <c r="AA30" s="327" t="s">
        <v>15</v>
      </c>
      <c r="AB30" s="327" t="s">
        <v>15</v>
      </c>
      <c r="AC30" s="327" t="s">
        <v>15</v>
      </c>
      <c r="AD30" s="327" t="s">
        <v>15</v>
      </c>
      <c r="AE30" s="327" t="s">
        <v>15</v>
      </c>
    </row>
    <row r="31" spans="2:33" ht="13.35" customHeight="1" x14ac:dyDescent="0.25">
      <c r="B31" s="2">
        <f t="shared" si="2"/>
        <v>29</v>
      </c>
      <c r="C31" s="21">
        <v>72</v>
      </c>
      <c r="D31" s="327" t="s">
        <v>15</v>
      </c>
      <c r="E31" s="327" t="s">
        <v>15</v>
      </c>
      <c r="F31" s="327" t="s">
        <v>15</v>
      </c>
      <c r="G31" s="327" t="s">
        <v>15</v>
      </c>
      <c r="H31" s="327" t="s">
        <v>15</v>
      </c>
      <c r="I31" s="327" t="s">
        <v>15</v>
      </c>
      <c r="J31" s="327" t="s">
        <v>15</v>
      </c>
      <c r="K31" s="327" t="s">
        <v>15</v>
      </c>
      <c r="L31" s="327" t="s">
        <v>15</v>
      </c>
      <c r="M31" s="327" t="s">
        <v>15</v>
      </c>
      <c r="N31" s="327" t="s">
        <v>15</v>
      </c>
      <c r="O31" s="327" t="s">
        <v>15</v>
      </c>
      <c r="P31" s="327" t="s">
        <v>15</v>
      </c>
      <c r="Q31" s="327" t="s">
        <v>15</v>
      </c>
      <c r="R31" s="327" t="s">
        <v>15</v>
      </c>
      <c r="S31" s="327" t="s">
        <v>15</v>
      </c>
      <c r="T31" s="327" t="s">
        <v>15</v>
      </c>
      <c r="U31" s="327" t="s">
        <v>15</v>
      </c>
      <c r="V31" s="327" t="s">
        <v>15</v>
      </c>
      <c r="W31" s="327" t="s">
        <v>15</v>
      </c>
      <c r="X31" s="327" t="s">
        <v>15</v>
      </c>
      <c r="Y31" s="327" t="s">
        <v>15</v>
      </c>
      <c r="Z31" s="327" t="s">
        <v>15</v>
      </c>
      <c r="AA31" s="327" t="s">
        <v>15</v>
      </c>
      <c r="AB31" s="327" t="s">
        <v>15</v>
      </c>
      <c r="AC31" s="327" t="s">
        <v>15</v>
      </c>
      <c r="AD31" s="327" t="s">
        <v>15</v>
      </c>
      <c r="AE31" s="327" t="s">
        <v>15</v>
      </c>
      <c r="AF31" s="6" t="s">
        <v>15</v>
      </c>
    </row>
    <row r="32" spans="2:33" ht="13.35" customHeight="1" x14ac:dyDescent="0.25">
      <c r="B32" s="2">
        <f t="shared" si="2"/>
        <v>30</v>
      </c>
      <c r="C32" s="21">
        <v>71</v>
      </c>
      <c r="D32" s="327" t="s">
        <v>15</v>
      </c>
      <c r="E32" s="327" t="s">
        <v>15</v>
      </c>
      <c r="F32" s="327" t="s">
        <v>15</v>
      </c>
      <c r="G32" s="327" t="s">
        <v>15</v>
      </c>
      <c r="H32" s="327" t="s">
        <v>15</v>
      </c>
      <c r="I32" s="327" t="s">
        <v>15</v>
      </c>
      <c r="J32" s="327" t="s">
        <v>15</v>
      </c>
      <c r="K32" s="327" t="s">
        <v>15</v>
      </c>
      <c r="L32" s="327" t="s">
        <v>15</v>
      </c>
      <c r="M32" s="327" t="s">
        <v>15</v>
      </c>
      <c r="N32" s="327" t="s">
        <v>15</v>
      </c>
      <c r="O32" s="327" t="s">
        <v>15</v>
      </c>
      <c r="P32" s="327" t="s">
        <v>15</v>
      </c>
      <c r="Q32" s="327" t="s">
        <v>15</v>
      </c>
      <c r="R32" s="327" t="s">
        <v>15</v>
      </c>
      <c r="S32" s="327" t="s">
        <v>15</v>
      </c>
      <c r="T32" s="327" t="s">
        <v>15</v>
      </c>
      <c r="U32" s="327" t="s">
        <v>15</v>
      </c>
      <c r="V32" s="327" t="s">
        <v>15</v>
      </c>
      <c r="W32" s="327" t="s">
        <v>15</v>
      </c>
      <c r="X32" s="327" t="s">
        <v>15</v>
      </c>
      <c r="Y32" s="327" t="s">
        <v>15</v>
      </c>
      <c r="Z32" s="327" t="s">
        <v>15</v>
      </c>
      <c r="AA32" s="327" t="s">
        <v>15</v>
      </c>
      <c r="AB32" s="327" t="s">
        <v>15</v>
      </c>
      <c r="AC32" s="327" t="s">
        <v>15</v>
      </c>
      <c r="AD32" s="327" t="s">
        <v>15</v>
      </c>
      <c r="AE32" s="327" t="s">
        <v>15</v>
      </c>
      <c r="AF32" s="6" t="s">
        <v>15</v>
      </c>
      <c r="AG32" s="6" t="s">
        <v>15</v>
      </c>
    </row>
    <row r="33" spans="2:49" ht="13.35" customHeight="1" x14ac:dyDescent="0.25">
      <c r="B33" s="2">
        <f t="shared" si="2"/>
        <v>31</v>
      </c>
      <c r="C33" s="21">
        <v>70</v>
      </c>
      <c r="D33" s="327" t="s">
        <v>15</v>
      </c>
      <c r="E33" s="327" t="s">
        <v>15</v>
      </c>
      <c r="F33" s="327" t="s">
        <v>15</v>
      </c>
      <c r="G33" s="327" t="s">
        <v>15</v>
      </c>
      <c r="H33" s="327" t="s">
        <v>15</v>
      </c>
      <c r="I33" s="327" t="s">
        <v>15</v>
      </c>
      <c r="J33" s="327" t="s">
        <v>15</v>
      </c>
      <c r="K33" s="327" t="s">
        <v>15</v>
      </c>
      <c r="L33" s="327" t="s">
        <v>15</v>
      </c>
      <c r="M33" s="327" t="s">
        <v>15</v>
      </c>
      <c r="N33" s="327" t="s">
        <v>15</v>
      </c>
      <c r="O33" s="327" t="s">
        <v>15</v>
      </c>
      <c r="P33" s="327" t="s">
        <v>15</v>
      </c>
      <c r="Q33" s="327" t="s">
        <v>15</v>
      </c>
      <c r="R33" s="327" t="s">
        <v>15</v>
      </c>
      <c r="S33" s="327" t="s">
        <v>15</v>
      </c>
      <c r="T33" s="327" t="s">
        <v>15</v>
      </c>
      <c r="U33" s="327" t="s">
        <v>15</v>
      </c>
      <c r="V33" s="327" t="s">
        <v>15</v>
      </c>
      <c r="W33" s="327" t="s">
        <v>15</v>
      </c>
      <c r="X33" s="327" t="s">
        <v>15</v>
      </c>
      <c r="Y33" s="327" t="s">
        <v>15</v>
      </c>
      <c r="Z33" s="327" t="s">
        <v>15</v>
      </c>
      <c r="AA33" s="327" t="s">
        <v>15</v>
      </c>
      <c r="AB33" s="327" t="s">
        <v>15</v>
      </c>
      <c r="AC33" s="327" t="s">
        <v>15</v>
      </c>
      <c r="AD33" s="327" t="s">
        <v>15</v>
      </c>
      <c r="AE33" s="327" t="s">
        <v>15</v>
      </c>
      <c r="AF33" s="6" t="s">
        <v>15</v>
      </c>
      <c r="AG33" s="6" t="s">
        <v>15</v>
      </c>
      <c r="AH33" s="6" t="s">
        <v>15</v>
      </c>
    </row>
    <row r="34" spans="2:49" ht="13.35" customHeight="1" x14ac:dyDescent="0.25">
      <c r="B34" s="2">
        <f t="shared" si="2"/>
        <v>32</v>
      </c>
      <c r="C34" s="21">
        <v>69</v>
      </c>
      <c r="D34" s="327" t="s">
        <v>15</v>
      </c>
      <c r="E34" s="327" t="s">
        <v>15</v>
      </c>
      <c r="F34" s="327" t="s">
        <v>15</v>
      </c>
      <c r="G34" s="327" t="s">
        <v>15</v>
      </c>
      <c r="H34" s="327" t="s">
        <v>15</v>
      </c>
      <c r="I34" s="327" t="s">
        <v>15</v>
      </c>
      <c r="J34" s="327" t="s">
        <v>15</v>
      </c>
      <c r="K34" s="327" t="s">
        <v>15</v>
      </c>
      <c r="L34" s="327" t="s">
        <v>15</v>
      </c>
      <c r="M34" s="327" t="s">
        <v>15</v>
      </c>
      <c r="N34" s="327" t="s">
        <v>15</v>
      </c>
      <c r="O34" s="327" t="s">
        <v>15</v>
      </c>
      <c r="P34" s="327" t="s">
        <v>15</v>
      </c>
      <c r="Q34" s="327" t="s">
        <v>15</v>
      </c>
      <c r="R34" s="327" t="s">
        <v>15</v>
      </c>
      <c r="S34" s="327" t="s">
        <v>15</v>
      </c>
      <c r="T34" s="327" t="s">
        <v>15</v>
      </c>
      <c r="U34" s="327" t="s">
        <v>15</v>
      </c>
      <c r="V34" s="327" t="s">
        <v>15</v>
      </c>
      <c r="W34" s="327" t="s">
        <v>15</v>
      </c>
      <c r="X34" s="327" t="s">
        <v>15</v>
      </c>
      <c r="Y34" s="327" t="s">
        <v>15</v>
      </c>
      <c r="Z34" s="327" t="s">
        <v>15</v>
      </c>
      <c r="AA34" s="327" t="s">
        <v>15</v>
      </c>
      <c r="AB34" s="327" t="s">
        <v>15</v>
      </c>
      <c r="AC34" s="327" t="s">
        <v>15</v>
      </c>
      <c r="AD34" s="327" t="s">
        <v>15</v>
      </c>
      <c r="AE34" s="327" t="s">
        <v>15</v>
      </c>
      <c r="AF34" s="6" t="s">
        <v>15</v>
      </c>
      <c r="AG34" s="6" t="s">
        <v>15</v>
      </c>
      <c r="AH34" s="6" t="s">
        <v>15</v>
      </c>
      <c r="AI34" s="6" t="s">
        <v>15</v>
      </c>
    </row>
    <row r="35" spans="2:49" ht="13.35" customHeight="1" x14ac:dyDescent="0.25">
      <c r="B35" s="2">
        <f t="shared" si="2"/>
        <v>33</v>
      </c>
      <c r="C35" s="21">
        <v>68</v>
      </c>
      <c r="D35" s="327" t="s">
        <v>15</v>
      </c>
      <c r="E35" s="327" t="s">
        <v>15</v>
      </c>
      <c r="F35" s="327" t="s">
        <v>15</v>
      </c>
      <c r="G35" s="327" t="s">
        <v>15</v>
      </c>
      <c r="H35" s="327" t="s">
        <v>15</v>
      </c>
      <c r="I35" s="327" t="s">
        <v>15</v>
      </c>
      <c r="J35" s="327" t="s">
        <v>15</v>
      </c>
      <c r="K35" s="327" t="s">
        <v>15</v>
      </c>
      <c r="L35" s="327" t="s">
        <v>15</v>
      </c>
      <c r="M35" s="327" t="s">
        <v>15</v>
      </c>
      <c r="N35" s="327" t="s">
        <v>15</v>
      </c>
      <c r="O35" s="327" t="s">
        <v>15</v>
      </c>
      <c r="P35" s="327" t="s">
        <v>15</v>
      </c>
      <c r="Q35" s="327" t="s">
        <v>15</v>
      </c>
      <c r="R35" s="327" t="s">
        <v>15</v>
      </c>
      <c r="S35" s="327" t="s">
        <v>15</v>
      </c>
      <c r="T35" s="327" t="s">
        <v>15</v>
      </c>
      <c r="U35" s="327" t="s">
        <v>15</v>
      </c>
      <c r="V35" s="327" t="s">
        <v>15</v>
      </c>
      <c r="W35" s="327" t="s">
        <v>15</v>
      </c>
      <c r="X35" s="327" t="s">
        <v>15</v>
      </c>
      <c r="Y35" s="327" t="s">
        <v>15</v>
      </c>
      <c r="Z35" s="327" t="s">
        <v>15</v>
      </c>
      <c r="AA35" s="327" t="s">
        <v>15</v>
      </c>
      <c r="AB35" s="327" t="s">
        <v>15</v>
      </c>
      <c r="AC35" s="327" t="s">
        <v>15</v>
      </c>
      <c r="AD35" s="327" t="s">
        <v>15</v>
      </c>
      <c r="AE35" s="327" t="s">
        <v>15</v>
      </c>
      <c r="AF35" s="6" t="s">
        <v>15</v>
      </c>
      <c r="AG35" s="6" t="s">
        <v>15</v>
      </c>
      <c r="AH35" s="6" t="s">
        <v>15</v>
      </c>
      <c r="AI35" s="6" t="s">
        <v>15</v>
      </c>
      <c r="AJ35" s="6" t="s">
        <v>15</v>
      </c>
    </row>
    <row r="36" spans="2:49" ht="13.35" customHeight="1" x14ac:dyDescent="0.25">
      <c r="B36" s="2">
        <f t="shared" si="2"/>
        <v>34</v>
      </c>
      <c r="C36" s="21">
        <v>67</v>
      </c>
      <c r="D36" s="327" t="s">
        <v>15</v>
      </c>
      <c r="E36" s="327" t="s">
        <v>15</v>
      </c>
      <c r="F36" s="327" t="s">
        <v>15</v>
      </c>
      <c r="G36" s="327" t="s">
        <v>15</v>
      </c>
      <c r="H36" s="327" t="s">
        <v>15</v>
      </c>
      <c r="I36" s="327" t="s">
        <v>15</v>
      </c>
      <c r="J36" s="327" t="s">
        <v>15</v>
      </c>
      <c r="K36" s="327" t="s">
        <v>15</v>
      </c>
      <c r="L36" s="327" t="s">
        <v>15</v>
      </c>
      <c r="M36" s="327" t="s">
        <v>15</v>
      </c>
      <c r="N36" s="327" t="s">
        <v>15</v>
      </c>
      <c r="O36" s="327" t="s">
        <v>15</v>
      </c>
      <c r="P36" s="327" t="s">
        <v>15</v>
      </c>
      <c r="Q36" s="327" t="s">
        <v>15</v>
      </c>
      <c r="R36" s="327" t="s">
        <v>15</v>
      </c>
      <c r="S36" s="327" t="s">
        <v>15</v>
      </c>
      <c r="T36" s="327" t="s">
        <v>15</v>
      </c>
      <c r="U36" s="327" t="s">
        <v>15</v>
      </c>
      <c r="V36" s="327" t="s">
        <v>15</v>
      </c>
      <c r="W36" s="327" t="s">
        <v>15</v>
      </c>
      <c r="X36" s="327" t="s">
        <v>15</v>
      </c>
      <c r="Y36" s="327" t="s">
        <v>15</v>
      </c>
      <c r="Z36" s="327" t="s">
        <v>15</v>
      </c>
      <c r="AA36" s="327" t="s">
        <v>15</v>
      </c>
      <c r="AB36" s="327" t="s">
        <v>15</v>
      </c>
      <c r="AC36" s="327" t="s">
        <v>15</v>
      </c>
      <c r="AD36" s="327" t="s">
        <v>15</v>
      </c>
      <c r="AE36" s="327" t="s">
        <v>15</v>
      </c>
      <c r="AF36" s="6" t="s">
        <v>15</v>
      </c>
      <c r="AG36" s="6" t="s">
        <v>15</v>
      </c>
      <c r="AH36" s="6" t="s">
        <v>15</v>
      </c>
      <c r="AI36" s="6" t="s">
        <v>15</v>
      </c>
      <c r="AJ36" s="6" t="s">
        <v>15</v>
      </c>
      <c r="AK36" s="6" t="s">
        <v>15</v>
      </c>
    </row>
    <row r="37" spans="2:49" ht="13.35" customHeight="1" x14ac:dyDescent="0.25">
      <c r="B37" s="2">
        <f t="shared" si="2"/>
        <v>35</v>
      </c>
      <c r="C37" s="21">
        <v>66</v>
      </c>
      <c r="D37" s="327" t="s">
        <v>15</v>
      </c>
      <c r="E37" s="327" t="s">
        <v>15</v>
      </c>
      <c r="F37" s="327" t="s">
        <v>15</v>
      </c>
      <c r="G37" s="327" t="s">
        <v>15</v>
      </c>
      <c r="H37" s="327" t="s">
        <v>15</v>
      </c>
      <c r="I37" s="327" t="s">
        <v>15</v>
      </c>
      <c r="J37" s="327" t="s">
        <v>15</v>
      </c>
      <c r="K37" s="327" t="s">
        <v>15</v>
      </c>
      <c r="L37" s="327" t="s">
        <v>15</v>
      </c>
      <c r="M37" s="327" t="s">
        <v>15</v>
      </c>
      <c r="N37" s="327" t="s">
        <v>15</v>
      </c>
      <c r="O37" s="327" t="s">
        <v>15</v>
      </c>
      <c r="P37" s="327" t="s">
        <v>15</v>
      </c>
      <c r="Q37" s="327" t="s">
        <v>15</v>
      </c>
      <c r="R37" s="327" t="s">
        <v>15</v>
      </c>
      <c r="S37" s="327" t="s">
        <v>15</v>
      </c>
      <c r="T37" s="327" t="s">
        <v>15</v>
      </c>
      <c r="U37" s="327" t="s">
        <v>15</v>
      </c>
      <c r="V37" s="327" t="s">
        <v>15</v>
      </c>
      <c r="W37" s="327" t="s">
        <v>15</v>
      </c>
      <c r="X37" s="327" t="s">
        <v>15</v>
      </c>
      <c r="Y37" s="327" t="s">
        <v>15</v>
      </c>
      <c r="Z37" s="327" t="s">
        <v>15</v>
      </c>
      <c r="AA37" s="327" t="s">
        <v>15</v>
      </c>
      <c r="AB37" s="327" t="s">
        <v>15</v>
      </c>
      <c r="AC37" s="327" t="s">
        <v>15</v>
      </c>
      <c r="AD37" s="327" t="s">
        <v>15</v>
      </c>
      <c r="AE37" s="327" t="s">
        <v>15</v>
      </c>
      <c r="AF37" s="6" t="s">
        <v>15</v>
      </c>
      <c r="AG37" s="6" t="s">
        <v>15</v>
      </c>
      <c r="AH37" s="6" t="s">
        <v>15</v>
      </c>
      <c r="AI37" s="6" t="s">
        <v>15</v>
      </c>
      <c r="AJ37" s="6" t="s">
        <v>15</v>
      </c>
      <c r="AK37" s="6" t="s">
        <v>15</v>
      </c>
      <c r="AL37" s="6" t="s">
        <v>15</v>
      </c>
    </row>
    <row r="38" spans="2:49" ht="13.35" customHeight="1" x14ac:dyDescent="0.25">
      <c r="B38" s="2">
        <f t="shared" si="2"/>
        <v>36</v>
      </c>
      <c r="C38" s="21">
        <v>65</v>
      </c>
      <c r="D38" s="327" t="s">
        <v>15</v>
      </c>
      <c r="E38" s="327" t="s">
        <v>15</v>
      </c>
      <c r="F38" s="327" t="s">
        <v>15</v>
      </c>
      <c r="G38" s="327" t="s">
        <v>15</v>
      </c>
      <c r="H38" s="327" t="s">
        <v>15</v>
      </c>
      <c r="I38" s="327" t="s">
        <v>15</v>
      </c>
      <c r="J38" s="327" t="s">
        <v>15</v>
      </c>
      <c r="K38" s="327" t="s">
        <v>15</v>
      </c>
      <c r="L38" s="327" t="s">
        <v>15</v>
      </c>
      <c r="M38" s="327" t="s">
        <v>15</v>
      </c>
      <c r="N38" s="327" t="s">
        <v>15</v>
      </c>
      <c r="O38" s="327" t="s">
        <v>15</v>
      </c>
      <c r="P38" s="327" t="s">
        <v>15</v>
      </c>
      <c r="Q38" s="327" t="s">
        <v>15</v>
      </c>
      <c r="R38" s="327" t="s">
        <v>15</v>
      </c>
      <c r="S38" s="327" t="s">
        <v>15</v>
      </c>
      <c r="T38" s="327" t="s">
        <v>15</v>
      </c>
      <c r="U38" s="327" t="s">
        <v>15</v>
      </c>
      <c r="V38" s="327" t="s">
        <v>15</v>
      </c>
      <c r="W38" s="327" t="s">
        <v>15</v>
      </c>
      <c r="X38" s="327" t="s">
        <v>15</v>
      </c>
      <c r="Y38" s="327" t="s">
        <v>15</v>
      </c>
      <c r="Z38" s="327" t="s">
        <v>15</v>
      </c>
      <c r="AA38" s="327" t="s">
        <v>15</v>
      </c>
      <c r="AB38" s="327" t="s">
        <v>15</v>
      </c>
      <c r="AC38" s="327" t="s">
        <v>15</v>
      </c>
      <c r="AD38" s="327" t="s">
        <v>15</v>
      </c>
      <c r="AE38" s="327" t="s">
        <v>15</v>
      </c>
      <c r="AF38" s="6" t="s">
        <v>15</v>
      </c>
      <c r="AG38" s="6" t="s">
        <v>15</v>
      </c>
      <c r="AH38" s="6" t="s">
        <v>15</v>
      </c>
      <c r="AI38" s="6" t="s">
        <v>15</v>
      </c>
      <c r="AJ38" s="6" t="s">
        <v>15</v>
      </c>
      <c r="AK38" s="6" t="s">
        <v>15</v>
      </c>
      <c r="AL38" s="6" t="s">
        <v>15</v>
      </c>
      <c r="AM38" s="6" t="s">
        <v>15</v>
      </c>
    </row>
    <row r="39" spans="2:49" ht="13.35" customHeight="1" x14ac:dyDescent="0.25">
      <c r="B39" s="2">
        <f t="shared" si="2"/>
        <v>37</v>
      </c>
      <c r="C39" s="21">
        <v>64</v>
      </c>
      <c r="D39" s="327" t="s">
        <v>15</v>
      </c>
      <c r="E39" s="327" t="s">
        <v>15</v>
      </c>
      <c r="F39" s="327" t="s">
        <v>15</v>
      </c>
      <c r="G39" s="327" t="s">
        <v>15</v>
      </c>
      <c r="H39" s="327" t="s">
        <v>15</v>
      </c>
      <c r="I39" s="327" t="s">
        <v>15</v>
      </c>
      <c r="J39" s="327" t="s">
        <v>15</v>
      </c>
      <c r="K39" s="327" t="s">
        <v>15</v>
      </c>
      <c r="L39" s="327" t="s">
        <v>15</v>
      </c>
      <c r="M39" s="327" t="s">
        <v>15</v>
      </c>
      <c r="N39" s="327" t="s">
        <v>15</v>
      </c>
      <c r="O39" s="327" t="s">
        <v>15</v>
      </c>
      <c r="P39" s="327" t="s">
        <v>15</v>
      </c>
      <c r="Q39" s="327" t="s">
        <v>15</v>
      </c>
      <c r="R39" s="327" t="s">
        <v>15</v>
      </c>
      <c r="S39" s="327" t="s">
        <v>15</v>
      </c>
      <c r="T39" s="327" t="s">
        <v>15</v>
      </c>
      <c r="U39" s="327" t="s">
        <v>15</v>
      </c>
      <c r="V39" s="327" t="s">
        <v>15</v>
      </c>
      <c r="W39" s="327" t="s">
        <v>15</v>
      </c>
      <c r="X39" s="327" t="s">
        <v>15</v>
      </c>
      <c r="Y39" s="327" t="s">
        <v>15</v>
      </c>
      <c r="Z39" s="327" t="s">
        <v>15</v>
      </c>
      <c r="AA39" s="327" t="s">
        <v>15</v>
      </c>
      <c r="AB39" s="327" t="s">
        <v>15</v>
      </c>
      <c r="AC39" s="327" t="s">
        <v>15</v>
      </c>
      <c r="AD39" s="327" t="s">
        <v>15</v>
      </c>
      <c r="AE39" s="327" t="s">
        <v>15</v>
      </c>
      <c r="AF39" s="6" t="s">
        <v>15</v>
      </c>
      <c r="AG39" s="6" t="s">
        <v>15</v>
      </c>
      <c r="AH39" s="6" t="s">
        <v>15</v>
      </c>
      <c r="AI39" s="6" t="s">
        <v>15</v>
      </c>
      <c r="AJ39" s="6" t="s">
        <v>15</v>
      </c>
      <c r="AK39" s="6" t="s">
        <v>15</v>
      </c>
      <c r="AL39" s="6" t="s">
        <v>15</v>
      </c>
      <c r="AM39" s="6" t="s">
        <v>15</v>
      </c>
      <c r="AN39" s="6" t="s">
        <v>15</v>
      </c>
    </row>
    <row r="40" spans="2:49" ht="13.35" customHeight="1" x14ac:dyDescent="0.25">
      <c r="B40" s="2">
        <f t="shared" si="2"/>
        <v>38</v>
      </c>
      <c r="C40" s="21">
        <v>63</v>
      </c>
      <c r="D40" s="327" t="s">
        <v>15</v>
      </c>
      <c r="E40" s="327" t="s">
        <v>15</v>
      </c>
      <c r="F40" s="327" t="s">
        <v>15</v>
      </c>
      <c r="G40" s="327" t="s">
        <v>15</v>
      </c>
      <c r="H40" s="327" t="s">
        <v>15</v>
      </c>
      <c r="I40" s="327" t="s">
        <v>15</v>
      </c>
      <c r="J40" s="327" t="s">
        <v>15</v>
      </c>
      <c r="K40" s="327" t="s">
        <v>15</v>
      </c>
      <c r="L40" s="327" t="s">
        <v>15</v>
      </c>
      <c r="M40" s="327" t="s">
        <v>15</v>
      </c>
      <c r="N40" s="327" t="s">
        <v>15</v>
      </c>
      <c r="O40" s="327" t="s">
        <v>15</v>
      </c>
      <c r="P40" s="327" t="s">
        <v>15</v>
      </c>
      <c r="Q40" s="327" t="s">
        <v>15</v>
      </c>
      <c r="R40" s="327" t="s">
        <v>15</v>
      </c>
      <c r="S40" s="327" t="s">
        <v>15</v>
      </c>
      <c r="T40" s="327" t="s">
        <v>15</v>
      </c>
      <c r="U40" s="327" t="s">
        <v>15</v>
      </c>
      <c r="V40" s="327" t="s">
        <v>15</v>
      </c>
      <c r="W40" s="327" t="s">
        <v>15</v>
      </c>
      <c r="X40" s="327" t="s">
        <v>15</v>
      </c>
      <c r="Y40" s="327" t="s">
        <v>15</v>
      </c>
      <c r="Z40" s="327" t="s">
        <v>15</v>
      </c>
      <c r="AA40" s="327" t="s">
        <v>15</v>
      </c>
      <c r="AB40" s="327" t="s">
        <v>15</v>
      </c>
      <c r="AC40" s="327" t="s">
        <v>15</v>
      </c>
      <c r="AD40" s="327" t="s">
        <v>15</v>
      </c>
      <c r="AE40" s="327" t="s">
        <v>15</v>
      </c>
      <c r="AF40" s="6" t="s">
        <v>15</v>
      </c>
      <c r="AG40" s="6" t="s">
        <v>15</v>
      </c>
      <c r="AH40" s="6" t="s">
        <v>15</v>
      </c>
      <c r="AI40" s="6" t="s">
        <v>15</v>
      </c>
      <c r="AJ40" s="6" t="s">
        <v>15</v>
      </c>
      <c r="AK40" s="6" t="s">
        <v>15</v>
      </c>
      <c r="AL40" s="6" t="s">
        <v>15</v>
      </c>
      <c r="AM40" s="6" t="s">
        <v>15</v>
      </c>
      <c r="AN40" s="6" t="s">
        <v>15</v>
      </c>
      <c r="AO40" s="6" t="s">
        <v>15</v>
      </c>
    </row>
    <row r="41" spans="2:49" ht="13.35" customHeight="1" x14ac:dyDescent="0.25">
      <c r="B41" s="2">
        <f t="shared" si="2"/>
        <v>39</v>
      </c>
      <c r="C41" s="21">
        <v>62</v>
      </c>
      <c r="D41" s="327" t="s">
        <v>15</v>
      </c>
      <c r="E41" s="327" t="s">
        <v>15</v>
      </c>
      <c r="F41" s="327" t="s">
        <v>15</v>
      </c>
      <c r="G41" s="327" t="s">
        <v>15</v>
      </c>
      <c r="H41" s="327" t="s">
        <v>15</v>
      </c>
      <c r="I41" s="327" t="s">
        <v>15</v>
      </c>
      <c r="J41" s="327" t="s">
        <v>15</v>
      </c>
      <c r="K41" s="327" t="s">
        <v>15</v>
      </c>
      <c r="L41" s="327" t="s">
        <v>15</v>
      </c>
      <c r="M41" s="327" t="s">
        <v>15</v>
      </c>
      <c r="N41" s="327" t="s">
        <v>15</v>
      </c>
      <c r="O41" s="327" t="s">
        <v>15</v>
      </c>
      <c r="P41" s="327" t="s">
        <v>15</v>
      </c>
      <c r="Q41" s="327" t="s">
        <v>15</v>
      </c>
      <c r="R41" s="327" t="s">
        <v>15</v>
      </c>
      <c r="S41" s="327" t="s">
        <v>15</v>
      </c>
      <c r="T41" s="327" t="s">
        <v>15</v>
      </c>
      <c r="U41" s="327" t="s">
        <v>15</v>
      </c>
      <c r="V41" s="327" t="s">
        <v>15</v>
      </c>
      <c r="W41" s="327" t="s">
        <v>15</v>
      </c>
      <c r="X41" s="327" t="s">
        <v>15</v>
      </c>
      <c r="Y41" s="327" t="s">
        <v>15</v>
      </c>
      <c r="Z41" s="327" t="s">
        <v>15</v>
      </c>
      <c r="AA41" s="327" t="s">
        <v>15</v>
      </c>
      <c r="AB41" s="327" t="s">
        <v>15</v>
      </c>
      <c r="AC41" s="327" t="s">
        <v>15</v>
      </c>
      <c r="AD41" s="327" t="s">
        <v>15</v>
      </c>
      <c r="AE41" s="327" t="s">
        <v>15</v>
      </c>
      <c r="AF41" s="6" t="s">
        <v>15</v>
      </c>
      <c r="AG41" s="6" t="s">
        <v>15</v>
      </c>
      <c r="AH41" s="6" t="s">
        <v>15</v>
      </c>
      <c r="AI41" s="6" t="s">
        <v>15</v>
      </c>
      <c r="AJ41" s="6" t="s">
        <v>15</v>
      </c>
      <c r="AK41" s="6" t="s">
        <v>15</v>
      </c>
      <c r="AL41" s="6" t="s">
        <v>15</v>
      </c>
      <c r="AM41" s="6" t="s">
        <v>15</v>
      </c>
      <c r="AN41" s="6" t="s">
        <v>15</v>
      </c>
      <c r="AO41" s="6" t="s">
        <v>15</v>
      </c>
      <c r="AP41" s="6" t="s">
        <v>15</v>
      </c>
    </row>
    <row r="42" spans="2:49" ht="13.35" customHeight="1" x14ac:dyDescent="0.25">
      <c r="B42" s="2">
        <f t="shared" si="2"/>
        <v>40</v>
      </c>
      <c r="C42" s="21">
        <v>61</v>
      </c>
      <c r="D42" s="327" t="s">
        <v>15</v>
      </c>
      <c r="E42" s="327" t="s">
        <v>15</v>
      </c>
      <c r="F42" s="327" t="s">
        <v>15</v>
      </c>
      <c r="G42" s="327" t="s">
        <v>15</v>
      </c>
      <c r="H42" s="327" t="s">
        <v>15</v>
      </c>
      <c r="I42" s="327" t="s">
        <v>15</v>
      </c>
      <c r="J42" s="327" t="s">
        <v>15</v>
      </c>
      <c r="K42" s="327" t="s">
        <v>15</v>
      </c>
      <c r="L42" s="327" t="s">
        <v>15</v>
      </c>
      <c r="M42" s="327" t="s">
        <v>15</v>
      </c>
      <c r="N42" s="327" t="s">
        <v>15</v>
      </c>
      <c r="O42" s="327" t="s">
        <v>15</v>
      </c>
      <c r="P42" s="327" t="s">
        <v>15</v>
      </c>
      <c r="Q42" s="327" t="s">
        <v>15</v>
      </c>
      <c r="R42" s="327" t="s">
        <v>15</v>
      </c>
      <c r="S42" s="327" t="s">
        <v>15</v>
      </c>
      <c r="T42" s="327" t="s">
        <v>15</v>
      </c>
      <c r="U42" s="327" t="s">
        <v>15</v>
      </c>
      <c r="V42" s="327" t="s">
        <v>15</v>
      </c>
      <c r="W42" s="327" t="s">
        <v>15</v>
      </c>
      <c r="X42" s="327" t="s">
        <v>15</v>
      </c>
      <c r="Y42" s="327" t="s">
        <v>15</v>
      </c>
      <c r="Z42" s="327" t="s">
        <v>15</v>
      </c>
      <c r="AA42" s="327" t="s">
        <v>15</v>
      </c>
      <c r="AB42" s="327" t="s">
        <v>15</v>
      </c>
      <c r="AC42" s="327" t="s">
        <v>15</v>
      </c>
      <c r="AD42" s="327" t="s">
        <v>15</v>
      </c>
      <c r="AE42" s="327" t="s">
        <v>15</v>
      </c>
      <c r="AF42" s="6" t="s">
        <v>15</v>
      </c>
      <c r="AG42" s="6" t="s">
        <v>15</v>
      </c>
      <c r="AH42" s="6" t="s">
        <v>15</v>
      </c>
      <c r="AI42" s="6" t="s">
        <v>15</v>
      </c>
      <c r="AJ42" s="6" t="s">
        <v>15</v>
      </c>
      <c r="AK42" s="6" t="s">
        <v>15</v>
      </c>
      <c r="AL42" s="6" t="s">
        <v>15</v>
      </c>
      <c r="AM42" s="6" t="s">
        <v>15</v>
      </c>
      <c r="AN42" s="6" t="s">
        <v>15</v>
      </c>
      <c r="AO42" s="6" t="s">
        <v>15</v>
      </c>
      <c r="AP42" s="6" t="s">
        <v>15</v>
      </c>
      <c r="AQ42" s="6" t="s">
        <v>15</v>
      </c>
    </row>
    <row r="43" spans="2:49" ht="13.35" customHeight="1" x14ac:dyDescent="0.25">
      <c r="B43" s="2">
        <f t="shared" si="2"/>
        <v>41</v>
      </c>
      <c r="C43" s="21">
        <v>60</v>
      </c>
      <c r="D43" s="9" t="s">
        <v>276</v>
      </c>
      <c r="E43" s="327" t="s">
        <v>15</v>
      </c>
      <c r="F43" s="327" t="s">
        <v>15</v>
      </c>
      <c r="G43" s="327" t="s">
        <v>15</v>
      </c>
      <c r="H43" s="327" t="s">
        <v>15</v>
      </c>
      <c r="I43" s="327" t="s">
        <v>15</v>
      </c>
      <c r="J43" s="327" t="s">
        <v>15</v>
      </c>
      <c r="K43" s="327" t="s">
        <v>15</v>
      </c>
      <c r="L43" s="327" t="s">
        <v>15</v>
      </c>
      <c r="M43" s="327" t="s">
        <v>15</v>
      </c>
      <c r="N43" s="327" t="s">
        <v>15</v>
      </c>
      <c r="O43" s="327" t="s">
        <v>15</v>
      </c>
      <c r="P43" s="327" t="s">
        <v>15</v>
      </c>
      <c r="Q43" s="327" t="s">
        <v>15</v>
      </c>
      <c r="R43" s="327" t="s">
        <v>15</v>
      </c>
      <c r="S43" s="327" t="s">
        <v>15</v>
      </c>
      <c r="T43" s="327" t="s">
        <v>15</v>
      </c>
      <c r="U43" s="327" t="s">
        <v>15</v>
      </c>
      <c r="V43" s="327" t="s">
        <v>15</v>
      </c>
      <c r="W43" s="327" t="s">
        <v>15</v>
      </c>
      <c r="X43" s="327" t="s">
        <v>15</v>
      </c>
      <c r="Y43" s="327" t="s">
        <v>15</v>
      </c>
      <c r="Z43" s="327" t="s">
        <v>15</v>
      </c>
      <c r="AA43" s="327" t="s">
        <v>15</v>
      </c>
      <c r="AB43" s="327" t="s">
        <v>15</v>
      </c>
      <c r="AC43" s="327" t="s">
        <v>15</v>
      </c>
      <c r="AD43" s="327" t="s">
        <v>15</v>
      </c>
      <c r="AE43" s="327" t="s">
        <v>15</v>
      </c>
      <c r="AF43" s="6" t="s">
        <v>15</v>
      </c>
      <c r="AG43" s="6" t="s">
        <v>15</v>
      </c>
      <c r="AH43" s="6" t="s">
        <v>15</v>
      </c>
      <c r="AI43" s="6" t="s">
        <v>15</v>
      </c>
      <c r="AJ43" s="6" t="s">
        <v>15</v>
      </c>
      <c r="AK43" s="6" t="s">
        <v>15</v>
      </c>
      <c r="AL43" s="6" t="s">
        <v>15</v>
      </c>
      <c r="AM43" s="6" t="s">
        <v>15</v>
      </c>
      <c r="AN43" s="6" t="s">
        <v>15</v>
      </c>
      <c r="AO43" s="6" t="s">
        <v>15</v>
      </c>
      <c r="AP43" s="6" t="s">
        <v>15</v>
      </c>
      <c r="AQ43" s="6" t="s">
        <v>15</v>
      </c>
      <c r="AR43" s="6" t="s">
        <v>15</v>
      </c>
    </row>
    <row r="44" spans="2:49" ht="13.35" customHeight="1" x14ac:dyDescent="0.25">
      <c r="B44" s="2">
        <f t="shared" si="2"/>
        <v>42</v>
      </c>
      <c r="C44" s="21">
        <v>59</v>
      </c>
      <c r="D44" s="9" t="s">
        <v>276</v>
      </c>
      <c r="E44" s="9" t="s">
        <v>276</v>
      </c>
      <c r="F44" s="327" t="s">
        <v>15</v>
      </c>
      <c r="G44" s="327" t="s">
        <v>15</v>
      </c>
      <c r="H44" s="327" t="s">
        <v>15</v>
      </c>
      <c r="I44" s="327" t="s">
        <v>15</v>
      </c>
      <c r="J44" s="327" t="s">
        <v>15</v>
      </c>
      <c r="K44" s="327" t="s">
        <v>15</v>
      </c>
      <c r="L44" s="327" t="s">
        <v>15</v>
      </c>
      <c r="M44" s="327" t="s">
        <v>15</v>
      </c>
      <c r="N44" s="327" t="s">
        <v>15</v>
      </c>
      <c r="O44" s="327" t="s">
        <v>15</v>
      </c>
      <c r="P44" s="327" t="s">
        <v>15</v>
      </c>
      <c r="Q44" s="327" t="s">
        <v>15</v>
      </c>
      <c r="R44" s="327" t="s">
        <v>15</v>
      </c>
      <c r="S44" s="327" t="s">
        <v>15</v>
      </c>
      <c r="T44" s="327" t="s">
        <v>15</v>
      </c>
      <c r="U44" s="327" t="s">
        <v>15</v>
      </c>
      <c r="V44" s="327" t="s">
        <v>15</v>
      </c>
      <c r="W44" s="327" t="s">
        <v>15</v>
      </c>
      <c r="X44" s="327" t="s">
        <v>15</v>
      </c>
      <c r="Y44" s="327" t="s">
        <v>15</v>
      </c>
      <c r="Z44" s="327" t="s">
        <v>15</v>
      </c>
      <c r="AA44" s="327" t="s">
        <v>15</v>
      </c>
      <c r="AB44" s="327" t="s">
        <v>15</v>
      </c>
      <c r="AC44" s="327" t="s">
        <v>15</v>
      </c>
      <c r="AD44" s="327" t="s">
        <v>15</v>
      </c>
      <c r="AE44" s="327" t="s">
        <v>15</v>
      </c>
      <c r="AF44" s="6" t="s">
        <v>15</v>
      </c>
      <c r="AG44" s="6" t="s">
        <v>15</v>
      </c>
      <c r="AH44" s="6" t="s">
        <v>15</v>
      </c>
      <c r="AI44" s="6" t="s">
        <v>15</v>
      </c>
      <c r="AJ44" s="6" t="s">
        <v>15</v>
      </c>
      <c r="AK44" s="6" t="s">
        <v>15</v>
      </c>
      <c r="AL44" s="6" t="s">
        <v>15</v>
      </c>
      <c r="AM44" s="6" t="s">
        <v>15</v>
      </c>
      <c r="AN44" s="6" t="s">
        <v>15</v>
      </c>
      <c r="AO44" s="6" t="s">
        <v>15</v>
      </c>
      <c r="AP44" s="6" t="s">
        <v>15</v>
      </c>
      <c r="AQ44" s="6" t="s">
        <v>15</v>
      </c>
      <c r="AR44" s="6" t="s">
        <v>15</v>
      </c>
      <c r="AS44" s="6" t="s">
        <v>15</v>
      </c>
    </row>
    <row r="45" spans="2:49" ht="13.35" customHeight="1" x14ac:dyDescent="0.25">
      <c r="B45" s="2">
        <f t="shared" si="2"/>
        <v>43</v>
      </c>
      <c r="C45" s="21">
        <v>58</v>
      </c>
      <c r="D45" s="9" t="s">
        <v>276</v>
      </c>
      <c r="E45" s="9" t="s">
        <v>276</v>
      </c>
      <c r="F45" s="9" t="s">
        <v>276</v>
      </c>
      <c r="G45" s="327" t="s">
        <v>15</v>
      </c>
      <c r="H45" s="327" t="s">
        <v>15</v>
      </c>
      <c r="I45" s="327" t="s">
        <v>15</v>
      </c>
      <c r="J45" s="327" t="s">
        <v>15</v>
      </c>
      <c r="K45" s="327" t="s">
        <v>15</v>
      </c>
      <c r="L45" s="327" t="s">
        <v>15</v>
      </c>
      <c r="M45" s="327" t="s">
        <v>15</v>
      </c>
      <c r="N45" s="327" t="s">
        <v>15</v>
      </c>
      <c r="O45" s="327" t="s">
        <v>15</v>
      </c>
      <c r="P45" s="327" t="s">
        <v>15</v>
      </c>
      <c r="Q45" s="327" t="s">
        <v>15</v>
      </c>
      <c r="R45" s="327" t="s">
        <v>15</v>
      </c>
      <c r="S45" s="327" t="s">
        <v>15</v>
      </c>
      <c r="T45" s="327" t="s">
        <v>15</v>
      </c>
      <c r="U45" s="327" t="s">
        <v>15</v>
      </c>
      <c r="V45" s="327" t="s">
        <v>15</v>
      </c>
      <c r="W45" s="327" t="s">
        <v>15</v>
      </c>
      <c r="X45" s="327" t="s">
        <v>15</v>
      </c>
      <c r="Y45" s="327" t="s">
        <v>15</v>
      </c>
      <c r="Z45" s="327" t="s">
        <v>15</v>
      </c>
      <c r="AA45" s="327" t="s">
        <v>15</v>
      </c>
      <c r="AB45" s="327" t="s">
        <v>15</v>
      </c>
      <c r="AC45" s="327" t="s">
        <v>15</v>
      </c>
      <c r="AD45" s="327" t="s">
        <v>15</v>
      </c>
      <c r="AE45" s="327" t="s">
        <v>15</v>
      </c>
      <c r="AF45" s="6" t="s">
        <v>15</v>
      </c>
      <c r="AG45" s="6" t="s">
        <v>15</v>
      </c>
      <c r="AH45" s="6" t="s">
        <v>15</v>
      </c>
      <c r="AI45" s="6" t="s">
        <v>15</v>
      </c>
      <c r="AJ45" s="6" t="s">
        <v>15</v>
      </c>
      <c r="AK45" s="6" t="s">
        <v>15</v>
      </c>
      <c r="AL45" s="6" t="s">
        <v>15</v>
      </c>
      <c r="AM45" s="6" t="s">
        <v>15</v>
      </c>
      <c r="AN45" s="6" t="s">
        <v>15</v>
      </c>
      <c r="AO45" s="6" t="s">
        <v>15</v>
      </c>
      <c r="AP45" s="6" t="s">
        <v>15</v>
      </c>
      <c r="AQ45" s="6" t="s">
        <v>15</v>
      </c>
      <c r="AR45" s="6" t="s">
        <v>15</v>
      </c>
      <c r="AS45" s="6" t="s">
        <v>15</v>
      </c>
      <c r="AT45" s="6" t="s">
        <v>15</v>
      </c>
    </row>
    <row r="46" spans="2:49" ht="13.35" customHeight="1" x14ac:dyDescent="0.25">
      <c r="B46" s="2">
        <f t="shared" si="2"/>
        <v>44</v>
      </c>
      <c r="C46" s="21">
        <v>57</v>
      </c>
      <c r="D46" s="9" t="s">
        <v>276</v>
      </c>
      <c r="E46" s="9" t="s">
        <v>276</v>
      </c>
      <c r="F46" s="9" t="s">
        <v>276</v>
      </c>
      <c r="G46" s="9" t="s">
        <v>276</v>
      </c>
      <c r="H46" s="327" t="s">
        <v>15</v>
      </c>
      <c r="I46" s="327" t="s">
        <v>15</v>
      </c>
      <c r="J46" s="327" t="s">
        <v>15</v>
      </c>
      <c r="K46" s="327" t="s">
        <v>15</v>
      </c>
      <c r="L46" s="327" t="s">
        <v>15</v>
      </c>
      <c r="M46" s="327" t="s">
        <v>15</v>
      </c>
      <c r="N46" s="327" t="s">
        <v>15</v>
      </c>
      <c r="O46" s="327" t="s">
        <v>15</v>
      </c>
      <c r="P46" s="327" t="s">
        <v>15</v>
      </c>
      <c r="Q46" s="327" t="s">
        <v>15</v>
      </c>
      <c r="R46" s="327" t="s">
        <v>15</v>
      </c>
      <c r="S46" s="327" t="s">
        <v>15</v>
      </c>
      <c r="T46" s="327" t="s">
        <v>15</v>
      </c>
      <c r="U46" s="327" t="s">
        <v>15</v>
      </c>
      <c r="V46" s="327" t="s">
        <v>15</v>
      </c>
      <c r="W46" s="327" t="s">
        <v>15</v>
      </c>
      <c r="X46" s="327" t="s">
        <v>15</v>
      </c>
      <c r="Y46" s="327" t="s">
        <v>15</v>
      </c>
      <c r="Z46" s="327" t="s">
        <v>15</v>
      </c>
      <c r="AA46" s="327" t="s">
        <v>15</v>
      </c>
      <c r="AB46" s="327" t="s">
        <v>15</v>
      </c>
      <c r="AC46" s="327" t="s">
        <v>15</v>
      </c>
      <c r="AD46" s="327" t="s">
        <v>15</v>
      </c>
      <c r="AE46" s="327" t="s">
        <v>15</v>
      </c>
      <c r="AF46" s="6" t="s">
        <v>15</v>
      </c>
      <c r="AG46" s="6" t="s">
        <v>15</v>
      </c>
      <c r="AH46" s="6" t="s">
        <v>15</v>
      </c>
      <c r="AI46" s="6" t="s">
        <v>15</v>
      </c>
      <c r="AJ46" s="6" t="s">
        <v>15</v>
      </c>
      <c r="AK46" s="6" t="s">
        <v>15</v>
      </c>
      <c r="AL46" s="6" t="s">
        <v>15</v>
      </c>
      <c r="AM46" s="6" t="s">
        <v>15</v>
      </c>
      <c r="AN46" s="6" t="s">
        <v>15</v>
      </c>
      <c r="AO46" s="6" t="s">
        <v>15</v>
      </c>
      <c r="AP46" s="6" t="s">
        <v>15</v>
      </c>
      <c r="AQ46" s="6" t="s">
        <v>15</v>
      </c>
      <c r="AR46" s="6" t="s">
        <v>15</v>
      </c>
      <c r="AS46" s="6" t="s">
        <v>15</v>
      </c>
      <c r="AT46" s="6" t="s">
        <v>15</v>
      </c>
      <c r="AU46" s="6" t="s">
        <v>15</v>
      </c>
    </row>
    <row r="47" spans="2:49" ht="13.35" customHeight="1" x14ac:dyDescent="0.25">
      <c r="B47" s="2">
        <f t="shared" si="2"/>
        <v>45</v>
      </c>
      <c r="C47" s="21">
        <v>56</v>
      </c>
      <c r="D47" s="9" t="s">
        <v>276</v>
      </c>
      <c r="E47" s="9" t="s">
        <v>276</v>
      </c>
      <c r="F47" s="9" t="s">
        <v>276</v>
      </c>
      <c r="G47" s="9" t="s">
        <v>276</v>
      </c>
      <c r="H47" s="9" t="s">
        <v>276</v>
      </c>
      <c r="I47" s="327" t="s">
        <v>15</v>
      </c>
      <c r="J47" s="327" t="s">
        <v>15</v>
      </c>
      <c r="K47" s="327" t="s">
        <v>15</v>
      </c>
      <c r="L47" s="327" t="s">
        <v>15</v>
      </c>
      <c r="M47" s="327" t="s">
        <v>15</v>
      </c>
      <c r="N47" s="327" t="s">
        <v>15</v>
      </c>
      <c r="O47" s="327" t="s">
        <v>15</v>
      </c>
      <c r="P47" s="327" t="s">
        <v>15</v>
      </c>
      <c r="Q47" s="327" t="s">
        <v>15</v>
      </c>
      <c r="R47" s="327" t="s">
        <v>15</v>
      </c>
      <c r="S47" s="327" t="s">
        <v>15</v>
      </c>
      <c r="T47" s="327" t="s">
        <v>15</v>
      </c>
      <c r="U47" s="327" t="s">
        <v>15</v>
      </c>
      <c r="V47" s="327" t="s">
        <v>15</v>
      </c>
      <c r="W47" s="327" t="s">
        <v>15</v>
      </c>
      <c r="X47" s="327" t="s">
        <v>15</v>
      </c>
      <c r="Y47" s="327" t="s">
        <v>15</v>
      </c>
      <c r="Z47" s="327" t="s">
        <v>15</v>
      </c>
      <c r="AA47" s="327" t="s">
        <v>15</v>
      </c>
      <c r="AB47" s="327" t="s">
        <v>15</v>
      </c>
      <c r="AC47" s="327" t="s">
        <v>15</v>
      </c>
      <c r="AD47" s="327" t="s">
        <v>15</v>
      </c>
      <c r="AE47" s="327" t="s">
        <v>15</v>
      </c>
      <c r="AF47" s="6" t="s">
        <v>15</v>
      </c>
      <c r="AG47" s="6" t="s">
        <v>15</v>
      </c>
      <c r="AH47" s="6" t="s">
        <v>15</v>
      </c>
      <c r="AI47" s="6" t="s">
        <v>15</v>
      </c>
      <c r="AJ47" s="6" t="s">
        <v>15</v>
      </c>
      <c r="AK47" s="6" t="s">
        <v>15</v>
      </c>
      <c r="AL47" s="6" t="s">
        <v>15</v>
      </c>
      <c r="AM47" s="6" t="s">
        <v>15</v>
      </c>
      <c r="AN47" s="6" t="s">
        <v>15</v>
      </c>
      <c r="AO47" s="6" t="s">
        <v>15</v>
      </c>
      <c r="AP47" s="6" t="s">
        <v>15</v>
      </c>
      <c r="AQ47" s="6" t="s">
        <v>15</v>
      </c>
      <c r="AR47" s="6" t="s">
        <v>15</v>
      </c>
      <c r="AS47" s="6" t="s">
        <v>15</v>
      </c>
      <c r="AT47" s="6" t="s">
        <v>15</v>
      </c>
      <c r="AU47" s="6" t="s">
        <v>15</v>
      </c>
      <c r="AV47" s="6" t="s">
        <v>15</v>
      </c>
    </row>
    <row r="48" spans="2:49" ht="13.35" customHeight="1" x14ac:dyDescent="0.25">
      <c r="B48" s="2">
        <f t="shared" si="2"/>
        <v>46</v>
      </c>
      <c r="C48" s="21">
        <v>55</v>
      </c>
      <c r="D48" s="9" t="s">
        <v>276</v>
      </c>
      <c r="E48" s="9" t="s">
        <v>276</v>
      </c>
      <c r="F48" s="9" t="s">
        <v>276</v>
      </c>
      <c r="G48" s="9" t="s">
        <v>276</v>
      </c>
      <c r="H48" s="9" t="s">
        <v>276</v>
      </c>
      <c r="I48" s="9" t="s">
        <v>276</v>
      </c>
      <c r="J48" s="327" t="s">
        <v>15</v>
      </c>
      <c r="K48" s="327" t="s">
        <v>15</v>
      </c>
      <c r="L48" s="327" t="s">
        <v>15</v>
      </c>
      <c r="M48" s="327" t="s">
        <v>15</v>
      </c>
      <c r="N48" s="327" t="s">
        <v>15</v>
      </c>
      <c r="O48" s="327" t="s">
        <v>15</v>
      </c>
      <c r="P48" s="327" t="s">
        <v>15</v>
      </c>
      <c r="Q48" s="327" t="s">
        <v>15</v>
      </c>
      <c r="R48" s="327" t="s">
        <v>15</v>
      </c>
      <c r="S48" s="327" t="s">
        <v>15</v>
      </c>
      <c r="T48" s="327" t="s">
        <v>15</v>
      </c>
      <c r="U48" s="327" t="s">
        <v>15</v>
      </c>
      <c r="V48" s="327" t="s">
        <v>15</v>
      </c>
      <c r="W48" s="327" t="s">
        <v>15</v>
      </c>
      <c r="X48" s="327" t="s">
        <v>15</v>
      </c>
      <c r="Y48" s="327" t="s">
        <v>15</v>
      </c>
      <c r="Z48" s="327" t="s">
        <v>15</v>
      </c>
      <c r="AA48" s="327" t="s">
        <v>15</v>
      </c>
      <c r="AB48" s="327" t="s">
        <v>15</v>
      </c>
      <c r="AC48" s="327" t="s">
        <v>15</v>
      </c>
      <c r="AD48" s="327" t="s">
        <v>15</v>
      </c>
      <c r="AE48" s="327" t="s">
        <v>15</v>
      </c>
      <c r="AF48" s="6" t="s">
        <v>15</v>
      </c>
      <c r="AG48" s="6" t="s">
        <v>15</v>
      </c>
      <c r="AH48" s="6" t="s">
        <v>15</v>
      </c>
      <c r="AI48" s="6" t="s">
        <v>15</v>
      </c>
      <c r="AJ48" s="6" t="s">
        <v>15</v>
      </c>
      <c r="AK48" s="6" t="s">
        <v>15</v>
      </c>
      <c r="AL48" s="6" t="s">
        <v>15</v>
      </c>
      <c r="AM48" s="6" t="s">
        <v>15</v>
      </c>
      <c r="AN48" s="6" t="s">
        <v>15</v>
      </c>
      <c r="AO48" s="6" t="s">
        <v>15</v>
      </c>
      <c r="AP48" s="6" t="s">
        <v>15</v>
      </c>
      <c r="AQ48" s="6" t="s">
        <v>15</v>
      </c>
      <c r="AR48" s="6" t="s">
        <v>15</v>
      </c>
      <c r="AS48" s="6" t="s">
        <v>15</v>
      </c>
      <c r="AT48" s="6" t="s">
        <v>15</v>
      </c>
      <c r="AU48" s="6" t="s">
        <v>15</v>
      </c>
      <c r="AV48" s="6" t="s">
        <v>15</v>
      </c>
      <c r="AW48" s="6" t="s">
        <v>15</v>
      </c>
    </row>
    <row r="49" spans="2:65" ht="13.35" customHeight="1" x14ac:dyDescent="0.25">
      <c r="B49" s="2">
        <f t="shared" si="2"/>
        <v>47</v>
      </c>
      <c r="C49" s="21">
        <v>54</v>
      </c>
      <c r="D49" s="9" t="s">
        <v>276</v>
      </c>
      <c r="E49" s="9" t="s">
        <v>276</v>
      </c>
      <c r="F49" s="9" t="s">
        <v>276</v>
      </c>
      <c r="G49" s="9" t="s">
        <v>276</v>
      </c>
      <c r="H49" s="9" t="s">
        <v>276</v>
      </c>
      <c r="I49" s="9" t="s">
        <v>276</v>
      </c>
      <c r="J49" s="9" t="s">
        <v>276</v>
      </c>
      <c r="K49" s="327" t="s">
        <v>15</v>
      </c>
      <c r="L49" s="327" t="s">
        <v>15</v>
      </c>
      <c r="M49" s="327" t="s">
        <v>15</v>
      </c>
      <c r="N49" s="327" t="s">
        <v>15</v>
      </c>
      <c r="O49" s="327" t="s">
        <v>15</v>
      </c>
      <c r="P49" s="327" t="s">
        <v>15</v>
      </c>
      <c r="Q49" s="327" t="s">
        <v>15</v>
      </c>
      <c r="R49" s="327" t="s">
        <v>15</v>
      </c>
      <c r="S49" s="327" t="s">
        <v>15</v>
      </c>
      <c r="T49" s="327" t="s">
        <v>15</v>
      </c>
      <c r="U49" s="327" t="s">
        <v>15</v>
      </c>
      <c r="V49" s="327" t="s">
        <v>15</v>
      </c>
      <c r="W49" s="327" t="s">
        <v>15</v>
      </c>
      <c r="X49" s="327" t="s">
        <v>15</v>
      </c>
      <c r="Y49" s="327" t="s">
        <v>15</v>
      </c>
      <c r="Z49" s="327" t="s">
        <v>15</v>
      </c>
      <c r="AA49" s="327" t="s">
        <v>15</v>
      </c>
      <c r="AB49" s="327" t="s">
        <v>15</v>
      </c>
      <c r="AC49" s="327" t="s">
        <v>15</v>
      </c>
      <c r="AD49" s="327" t="s">
        <v>15</v>
      </c>
      <c r="AE49" s="327" t="s">
        <v>15</v>
      </c>
      <c r="AF49" s="327" t="s">
        <v>15</v>
      </c>
      <c r="AG49" s="327" t="s">
        <v>15</v>
      </c>
      <c r="AH49" s="327" t="s">
        <v>15</v>
      </c>
      <c r="AI49" s="327" t="s">
        <v>15</v>
      </c>
      <c r="AJ49" s="327" t="s">
        <v>15</v>
      </c>
      <c r="AK49" s="6" t="s">
        <v>15</v>
      </c>
      <c r="AL49" s="327" t="s">
        <v>15</v>
      </c>
      <c r="AM49" s="327" t="s">
        <v>15</v>
      </c>
      <c r="AN49" s="327" t="s">
        <v>15</v>
      </c>
      <c r="AO49" s="327" t="s">
        <v>15</v>
      </c>
      <c r="AP49" s="327" t="s">
        <v>15</v>
      </c>
      <c r="AQ49" s="327" t="s">
        <v>15</v>
      </c>
      <c r="AR49" s="327" t="s">
        <v>15</v>
      </c>
      <c r="AS49" s="327" t="s">
        <v>15</v>
      </c>
      <c r="AT49" s="327" t="s">
        <v>15</v>
      </c>
      <c r="AU49" s="327" t="s">
        <v>15</v>
      </c>
      <c r="AV49" s="327" t="s">
        <v>15</v>
      </c>
      <c r="AW49" s="327" t="s">
        <v>15</v>
      </c>
      <c r="AX49" s="1" t="s">
        <v>279</v>
      </c>
    </row>
    <row r="50" spans="2:65" ht="13.35" customHeight="1" x14ac:dyDescent="0.25">
      <c r="B50" s="2">
        <f t="shared" si="2"/>
        <v>48</v>
      </c>
      <c r="C50" s="21">
        <v>53</v>
      </c>
      <c r="D50" s="9" t="s">
        <v>276</v>
      </c>
      <c r="E50" s="9" t="s">
        <v>276</v>
      </c>
      <c r="F50" s="9" t="s">
        <v>276</v>
      </c>
      <c r="G50" s="9" t="s">
        <v>276</v>
      </c>
      <c r="H50" s="9" t="s">
        <v>276</v>
      </c>
      <c r="I50" s="9" t="s">
        <v>276</v>
      </c>
      <c r="J50" s="9" t="s">
        <v>276</v>
      </c>
      <c r="K50" s="9" t="s">
        <v>276</v>
      </c>
      <c r="L50" s="327" t="s">
        <v>15</v>
      </c>
      <c r="M50" s="327" t="s">
        <v>15</v>
      </c>
      <c r="N50" s="327" t="s">
        <v>15</v>
      </c>
      <c r="O50" s="327" t="s">
        <v>15</v>
      </c>
      <c r="P50" s="327" t="s">
        <v>15</v>
      </c>
      <c r="Q50" s="327" t="s">
        <v>15</v>
      </c>
      <c r="R50" s="327" t="s">
        <v>15</v>
      </c>
      <c r="S50" s="327" t="s">
        <v>15</v>
      </c>
      <c r="T50" s="327" t="s">
        <v>15</v>
      </c>
      <c r="U50" s="327" t="s">
        <v>15</v>
      </c>
      <c r="V50" s="327" t="s">
        <v>15</v>
      </c>
      <c r="W50" s="327" t="s">
        <v>15</v>
      </c>
      <c r="X50" s="327" t="s">
        <v>15</v>
      </c>
      <c r="Y50" s="327" t="s">
        <v>15</v>
      </c>
      <c r="Z50" s="327" t="s">
        <v>15</v>
      </c>
      <c r="AA50" s="327" t="s">
        <v>15</v>
      </c>
      <c r="AB50" s="327" t="s">
        <v>15</v>
      </c>
      <c r="AC50" s="327" t="s">
        <v>15</v>
      </c>
      <c r="AD50" s="327" t="s">
        <v>15</v>
      </c>
      <c r="AE50" s="327" t="s">
        <v>15</v>
      </c>
      <c r="AF50" s="6" t="s">
        <v>15</v>
      </c>
      <c r="AG50" s="6" t="s">
        <v>15</v>
      </c>
      <c r="AH50" s="6" t="s">
        <v>15</v>
      </c>
      <c r="AI50" s="6" t="s">
        <v>15</v>
      </c>
      <c r="AJ50" s="6" t="s">
        <v>15</v>
      </c>
      <c r="AK50" s="6" t="s">
        <v>15</v>
      </c>
      <c r="AL50" s="6" t="s">
        <v>15</v>
      </c>
      <c r="AM50" s="6" t="s">
        <v>15</v>
      </c>
      <c r="AN50" s="6" t="s">
        <v>15</v>
      </c>
      <c r="AO50" s="6" t="s">
        <v>15</v>
      </c>
      <c r="AP50" s="6" t="s">
        <v>15</v>
      </c>
      <c r="AQ50" s="6" t="s">
        <v>15</v>
      </c>
      <c r="AR50" s="6" t="s">
        <v>15</v>
      </c>
      <c r="AS50" s="6" t="s">
        <v>15</v>
      </c>
      <c r="AT50" s="6" t="s">
        <v>15</v>
      </c>
      <c r="AU50" s="6" t="s">
        <v>15</v>
      </c>
      <c r="AV50" s="6" t="s">
        <v>15</v>
      </c>
      <c r="AW50" s="6" t="s">
        <v>15</v>
      </c>
      <c r="AX50" s="1" t="s">
        <v>279</v>
      </c>
      <c r="AY50" s="1" t="s">
        <v>279</v>
      </c>
    </row>
    <row r="51" spans="2:65" ht="13.35" customHeight="1" x14ac:dyDescent="0.25">
      <c r="B51" s="2">
        <f t="shared" si="2"/>
        <v>49</v>
      </c>
      <c r="C51" s="21">
        <v>52</v>
      </c>
      <c r="D51" s="9" t="s">
        <v>276</v>
      </c>
      <c r="E51" s="9" t="s">
        <v>276</v>
      </c>
      <c r="F51" s="9" t="s">
        <v>276</v>
      </c>
      <c r="G51" s="9" t="s">
        <v>276</v>
      </c>
      <c r="H51" s="9" t="s">
        <v>276</v>
      </c>
      <c r="I51" s="9" t="s">
        <v>276</v>
      </c>
      <c r="J51" s="9" t="s">
        <v>276</v>
      </c>
      <c r="K51" s="9" t="s">
        <v>276</v>
      </c>
      <c r="L51" s="9" t="s">
        <v>276</v>
      </c>
      <c r="M51" s="327" t="s">
        <v>15</v>
      </c>
      <c r="N51" s="327" t="s">
        <v>15</v>
      </c>
      <c r="O51" s="327" t="s">
        <v>15</v>
      </c>
      <c r="P51" s="327" t="s">
        <v>15</v>
      </c>
      <c r="Q51" s="327" t="s">
        <v>15</v>
      </c>
      <c r="R51" s="327" t="s">
        <v>15</v>
      </c>
      <c r="S51" s="327" t="s">
        <v>15</v>
      </c>
      <c r="T51" s="327" t="s">
        <v>15</v>
      </c>
      <c r="U51" s="327" t="s">
        <v>15</v>
      </c>
      <c r="V51" s="327" t="s">
        <v>15</v>
      </c>
      <c r="W51" s="327" t="s">
        <v>15</v>
      </c>
      <c r="X51" s="327" t="s">
        <v>15</v>
      </c>
      <c r="Y51" s="327" t="s">
        <v>15</v>
      </c>
      <c r="Z51" s="327" t="s">
        <v>15</v>
      </c>
      <c r="AA51" s="327" t="s">
        <v>15</v>
      </c>
      <c r="AB51" s="327" t="s">
        <v>15</v>
      </c>
      <c r="AC51" s="327" t="s">
        <v>15</v>
      </c>
      <c r="AD51" s="327" t="s">
        <v>15</v>
      </c>
      <c r="AE51" s="327" t="s">
        <v>15</v>
      </c>
      <c r="AF51" s="6" t="s">
        <v>15</v>
      </c>
      <c r="AG51" s="6" t="s">
        <v>15</v>
      </c>
      <c r="AH51" s="6" t="s">
        <v>15</v>
      </c>
      <c r="AI51" s="6" t="s">
        <v>15</v>
      </c>
      <c r="AJ51" s="6" t="s">
        <v>15</v>
      </c>
      <c r="AK51" s="6" t="s">
        <v>15</v>
      </c>
      <c r="AL51" s="6" t="s">
        <v>15</v>
      </c>
      <c r="AM51" s="6" t="s">
        <v>15</v>
      </c>
      <c r="AN51" s="6" t="s">
        <v>15</v>
      </c>
      <c r="AO51" s="6" t="s">
        <v>15</v>
      </c>
      <c r="AP51" s="6" t="s">
        <v>15</v>
      </c>
      <c r="AQ51" s="6" t="s">
        <v>15</v>
      </c>
      <c r="AR51" s="6" t="s">
        <v>15</v>
      </c>
      <c r="AS51" s="6" t="s">
        <v>15</v>
      </c>
      <c r="AT51" s="6" t="s">
        <v>15</v>
      </c>
      <c r="AU51" s="6" t="s">
        <v>15</v>
      </c>
      <c r="AV51" s="6" t="s">
        <v>15</v>
      </c>
      <c r="AW51" s="6" t="s">
        <v>15</v>
      </c>
      <c r="AX51" s="1" t="s">
        <v>279</v>
      </c>
      <c r="AY51" s="1" t="s">
        <v>279</v>
      </c>
      <c r="AZ51" s="1" t="s">
        <v>279</v>
      </c>
    </row>
    <row r="52" spans="2:65" ht="13.35" customHeight="1" x14ac:dyDescent="0.25">
      <c r="B52" s="2">
        <f t="shared" si="2"/>
        <v>50</v>
      </c>
      <c r="C52" s="21">
        <v>51</v>
      </c>
      <c r="D52" s="9" t="s">
        <v>276</v>
      </c>
      <c r="E52" s="9" t="s">
        <v>276</v>
      </c>
      <c r="F52" s="9" t="s">
        <v>276</v>
      </c>
      <c r="G52" s="9" t="s">
        <v>276</v>
      </c>
      <c r="H52" s="9" t="s">
        <v>276</v>
      </c>
      <c r="I52" s="9" t="s">
        <v>276</v>
      </c>
      <c r="J52" s="9" t="s">
        <v>276</v>
      </c>
      <c r="K52" s="9" t="s">
        <v>276</v>
      </c>
      <c r="L52" s="9" t="s">
        <v>276</v>
      </c>
      <c r="M52" s="9" t="s">
        <v>276</v>
      </c>
      <c r="N52" s="327" t="s">
        <v>15</v>
      </c>
      <c r="O52" s="327" t="s">
        <v>15</v>
      </c>
      <c r="P52" s="327" t="s">
        <v>15</v>
      </c>
      <c r="Q52" s="327" t="s">
        <v>15</v>
      </c>
      <c r="R52" s="327" t="s">
        <v>15</v>
      </c>
      <c r="S52" s="327" t="s">
        <v>15</v>
      </c>
      <c r="T52" s="327" t="s">
        <v>15</v>
      </c>
      <c r="U52" s="327" t="s">
        <v>15</v>
      </c>
      <c r="V52" s="327" t="s">
        <v>15</v>
      </c>
      <c r="W52" s="327" t="s">
        <v>15</v>
      </c>
      <c r="X52" s="327" t="s">
        <v>15</v>
      </c>
      <c r="Y52" s="327" t="s">
        <v>15</v>
      </c>
      <c r="Z52" s="327" t="s">
        <v>15</v>
      </c>
      <c r="AA52" s="327" t="s">
        <v>15</v>
      </c>
      <c r="AB52" s="327" t="s">
        <v>15</v>
      </c>
      <c r="AC52" s="327" t="s">
        <v>15</v>
      </c>
      <c r="AD52" s="327" t="s">
        <v>15</v>
      </c>
      <c r="AE52" s="327" t="s">
        <v>15</v>
      </c>
      <c r="AF52" s="6" t="s">
        <v>15</v>
      </c>
      <c r="AG52" s="6" t="s">
        <v>15</v>
      </c>
      <c r="AH52" s="6" t="s">
        <v>15</v>
      </c>
      <c r="AI52" s="6" t="s">
        <v>15</v>
      </c>
      <c r="AJ52" s="6" t="s">
        <v>15</v>
      </c>
      <c r="AK52" s="6" t="s">
        <v>15</v>
      </c>
      <c r="AL52" s="6" t="s">
        <v>15</v>
      </c>
      <c r="AM52" s="6" t="s">
        <v>15</v>
      </c>
      <c r="AN52" s="6" t="s">
        <v>15</v>
      </c>
      <c r="AO52" s="6" t="s">
        <v>15</v>
      </c>
      <c r="AP52" s="6" t="s">
        <v>15</v>
      </c>
      <c r="AQ52" s="6" t="s">
        <v>15</v>
      </c>
      <c r="AR52" s="6" t="s">
        <v>15</v>
      </c>
      <c r="AS52" s="6" t="s">
        <v>15</v>
      </c>
      <c r="AT52" s="6" t="s">
        <v>15</v>
      </c>
      <c r="AU52" s="6" t="s">
        <v>15</v>
      </c>
      <c r="AV52" s="6" t="s">
        <v>15</v>
      </c>
      <c r="AW52" s="6" t="s">
        <v>15</v>
      </c>
      <c r="AX52" s="1" t="s">
        <v>279</v>
      </c>
      <c r="AY52" s="1" t="s">
        <v>279</v>
      </c>
      <c r="AZ52" s="1" t="s">
        <v>279</v>
      </c>
      <c r="BA52" s="1" t="s">
        <v>279</v>
      </c>
    </row>
    <row r="53" spans="2:65" ht="13.35" customHeight="1" x14ac:dyDescent="0.25">
      <c r="B53" s="2">
        <f t="shared" si="2"/>
        <v>51</v>
      </c>
      <c r="C53" s="21">
        <v>50</v>
      </c>
      <c r="D53" s="9" t="s">
        <v>276</v>
      </c>
      <c r="E53" s="9" t="s">
        <v>276</v>
      </c>
      <c r="F53" s="9" t="s">
        <v>276</v>
      </c>
      <c r="G53" s="9" t="s">
        <v>276</v>
      </c>
      <c r="H53" s="9" t="s">
        <v>276</v>
      </c>
      <c r="I53" s="9" t="s">
        <v>276</v>
      </c>
      <c r="J53" s="9" t="s">
        <v>276</v>
      </c>
      <c r="K53" s="9" t="s">
        <v>276</v>
      </c>
      <c r="L53" s="9" t="s">
        <v>276</v>
      </c>
      <c r="M53" s="9" t="s">
        <v>276</v>
      </c>
      <c r="N53" s="9" t="s">
        <v>276</v>
      </c>
      <c r="O53" s="327" t="s">
        <v>15</v>
      </c>
      <c r="P53" s="327" t="s">
        <v>15</v>
      </c>
      <c r="Q53" s="327" t="s">
        <v>15</v>
      </c>
      <c r="R53" s="327" t="s">
        <v>15</v>
      </c>
      <c r="S53" s="327" t="s">
        <v>15</v>
      </c>
      <c r="T53" s="327" t="s">
        <v>15</v>
      </c>
      <c r="U53" s="327" t="s">
        <v>15</v>
      </c>
      <c r="V53" s="327" t="s">
        <v>15</v>
      </c>
      <c r="W53" s="327" t="s">
        <v>15</v>
      </c>
      <c r="X53" s="327" t="s">
        <v>15</v>
      </c>
      <c r="Y53" s="327" t="s">
        <v>15</v>
      </c>
      <c r="Z53" s="327" t="s">
        <v>15</v>
      </c>
      <c r="AA53" s="327" t="s">
        <v>15</v>
      </c>
      <c r="AB53" s="327" t="s">
        <v>15</v>
      </c>
      <c r="AC53" s="327" t="s">
        <v>15</v>
      </c>
      <c r="AD53" s="327" t="s">
        <v>15</v>
      </c>
      <c r="AE53" s="327" t="s">
        <v>15</v>
      </c>
      <c r="AF53" s="6" t="s">
        <v>15</v>
      </c>
      <c r="AG53" s="6" t="s">
        <v>15</v>
      </c>
      <c r="AH53" s="6" t="s">
        <v>15</v>
      </c>
      <c r="AI53" s="6" t="s">
        <v>15</v>
      </c>
      <c r="AJ53" s="6" t="s">
        <v>15</v>
      </c>
      <c r="AK53" s="6" t="s">
        <v>15</v>
      </c>
      <c r="AL53" s="6" t="s">
        <v>15</v>
      </c>
      <c r="AM53" s="6" t="s">
        <v>15</v>
      </c>
      <c r="AN53" s="6" t="s">
        <v>15</v>
      </c>
      <c r="AO53" s="6" t="s">
        <v>15</v>
      </c>
      <c r="AP53" s="6" t="s">
        <v>15</v>
      </c>
      <c r="AQ53" s="6" t="s">
        <v>15</v>
      </c>
      <c r="AR53" s="6" t="s">
        <v>15</v>
      </c>
      <c r="AS53" s="6" t="s">
        <v>15</v>
      </c>
      <c r="AT53" s="6" t="s">
        <v>15</v>
      </c>
      <c r="AU53" s="6" t="s">
        <v>15</v>
      </c>
      <c r="AV53" s="6" t="s">
        <v>15</v>
      </c>
      <c r="AW53" s="6" t="s">
        <v>15</v>
      </c>
      <c r="AX53" s="1" t="s">
        <v>279</v>
      </c>
      <c r="AY53" s="1" t="s">
        <v>279</v>
      </c>
      <c r="AZ53" s="1" t="s">
        <v>279</v>
      </c>
      <c r="BA53" s="1" t="s">
        <v>279</v>
      </c>
      <c r="BB53" s="1" t="s">
        <v>279</v>
      </c>
    </row>
    <row r="54" spans="2:65" ht="13.35" customHeight="1" x14ac:dyDescent="0.25">
      <c r="B54" s="2">
        <f t="shared" si="2"/>
        <v>52</v>
      </c>
      <c r="C54" s="21">
        <v>49</v>
      </c>
      <c r="D54" s="9" t="s">
        <v>276</v>
      </c>
      <c r="E54" s="9" t="s">
        <v>276</v>
      </c>
      <c r="F54" s="9" t="s">
        <v>276</v>
      </c>
      <c r="G54" s="9" t="s">
        <v>276</v>
      </c>
      <c r="H54" s="9" t="s">
        <v>276</v>
      </c>
      <c r="I54" s="9" t="s">
        <v>276</v>
      </c>
      <c r="J54" s="9" t="s">
        <v>276</v>
      </c>
      <c r="K54" s="9" t="s">
        <v>276</v>
      </c>
      <c r="L54" s="9" t="s">
        <v>276</v>
      </c>
      <c r="M54" s="9" t="s">
        <v>276</v>
      </c>
      <c r="N54" s="9" t="s">
        <v>276</v>
      </c>
      <c r="O54" s="9" t="s">
        <v>276</v>
      </c>
      <c r="P54" s="327" t="s">
        <v>15</v>
      </c>
      <c r="Q54" s="327" t="s">
        <v>15</v>
      </c>
      <c r="R54" s="327" t="s">
        <v>15</v>
      </c>
      <c r="S54" s="327" t="s">
        <v>15</v>
      </c>
      <c r="T54" s="327" t="s">
        <v>15</v>
      </c>
      <c r="U54" s="327" t="s">
        <v>15</v>
      </c>
      <c r="V54" s="327" t="s">
        <v>15</v>
      </c>
      <c r="W54" s="327" t="s">
        <v>15</v>
      </c>
      <c r="X54" s="327" t="s">
        <v>15</v>
      </c>
      <c r="Y54" s="327" t="s">
        <v>15</v>
      </c>
      <c r="Z54" s="327" t="s">
        <v>15</v>
      </c>
      <c r="AA54" s="327" t="s">
        <v>15</v>
      </c>
      <c r="AB54" s="327" t="s">
        <v>15</v>
      </c>
      <c r="AC54" s="327" t="s">
        <v>15</v>
      </c>
      <c r="AD54" s="327" t="s">
        <v>15</v>
      </c>
      <c r="AE54" s="327" t="s">
        <v>15</v>
      </c>
      <c r="AF54" s="6" t="s">
        <v>15</v>
      </c>
      <c r="AG54" s="6" t="s">
        <v>15</v>
      </c>
      <c r="AH54" s="6" t="s">
        <v>15</v>
      </c>
      <c r="AI54" s="6" t="s">
        <v>15</v>
      </c>
      <c r="AJ54" s="6" t="s">
        <v>15</v>
      </c>
      <c r="AK54" s="6" t="s">
        <v>15</v>
      </c>
      <c r="AL54" s="6" t="s">
        <v>15</v>
      </c>
      <c r="AM54" s="6" t="s">
        <v>15</v>
      </c>
      <c r="AN54" s="6" t="s">
        <v>15</v>
      </c>
      <c r="AO54" s="6" t="s">
        <v>15</v>
      </c>
      <c r="AP54" s="6" t="s">
        <v>15</v>
      </c>
      <c r="AQ54" s="6" t="s">
        <v>15</v>
      </c>
      <c r="AR54" s="6" t="s">
        <v>15</v>
      </c>
      <c r="AS54" s="6" t="s">
        <v>15</v>
      </c>
      <c r="AT54" s="6" t="s">
        <v>15</v>
      </c>
      <c r="AU54" s="6" t="s">
        <v>15</v>
      </c>
      <c r="AV54" s="6" t="s">
        <v>15</v>
      </c>
      <c r="AW54" s="6" t="s">
        <v>15</v>
      </c>
      <c r="AX54" s="1" t="s">
        <v>279</v>
      </c>
      <c r="AY54" s="1" t="s">
        <v>279</v>
      </c>
      <c r="AZ54" s="1" t="s">
        <v>279</v>
      </c>
      <c r="BA54" s="1" t="s">
        <v>279</v>
      </c>
      <c r="BB54" s="1" t="s">
        <v>279</v>
      </c>
      <c r="BC54" s="1" t="s">
        <v>279</v>
      </c>
    </row>
    <row r="55" spans="2:65" ht="13.35" customHeight="1" x14ac:dyDescent="0.25">
      <c r="B55" s="2">
        <f t="shared" si="2"/>
        <v>53</v>
      </c>
      <c r="C55" s="21">
        <v>48</v>
      </c>
      <c r="D55" s="9" t="s">
        <v>276</v>
      </c>
      <c r="E55" s="9" t="s">
        <v>276</v>
      </c>
      <c r="F55" s="9" t="s">
        <v>276</v>
      </c>
      <c r="G55" s="9" t="s">
        <v>276</v>
      </c>
      <c r="H55" s="9" t="s">
        <v>276</v>
      </c>
      <c r="I55" s="9" t="s">
        <v>276</v>
      </c>
      <c r="J55" s="9" t="s">
        <v>276</v>
      </c>
      <c r="K55" s="9" t="s">
        <v>276</v>
      </c>
      <c r="L55" s="9" t="s">
        <v>276</v>
      </c>
      <c r="M55" s="9" t="s">
        <v>276</v>
      </c>
      <c r="N55" s="9" t="s">
        <v>276</v>
      </c>
      <c r="O55" s="9" t="s">
        <v>276</v>
      </c>
      <c r="P55" s="9" t="s">
        <v>276</v>
      </c>
      <c r="Q55" s="327" t="s">
        <v>15</v>
      </c>
      <c r="R55" s="327" t="s">
        <v>15</v>
      </c>
      <c r="S55" s="327" t="s">
        <v>15</v>
      </c>
      <c r="T55" s="327" t="s">
        <v>15</v>
      </c>
      <c r="U55" s="327" t="s">
        <v>15</v>
      </c>
      <c r="V55" s="327" t="s">
        <v>15</v>
      </c>
      <c r="W55" s="327" t="s">
        <v>15</v>
      </c>
      <c r="X55" s="327" t="s">
        <v>15</v>
      </c>
      <c r="Y55" s="327" t="s">
        <v>15</v>
      </c>
      <c r="Z55" s="327" t="s">
        <v>15</v>
      </c>
      <c r="AA55" s="327" t="s">
        <v>15</v>
      </c>
      <c r="AB55" s="327" t="s">
        <v>15</v>
      </c>
      <c r="AC55" s="327" t="s">
        <v>15</v>
      </c>
      <c r="AD55" s="327" t="s">
        <v>15</v>
      </c>
      <c r="AE55" s="327" t="s">
        <v>15</v>
      </c>
      <c r="AF55" s="6" t="s">
        <v>15</v>
      </c>
      <c r="AG55" s="6" t="s">
        <v>15</v>
      </c>
      <c r="AH55" s="6" t="s">
        <v>15</v>
      </c>
      <c r="AI55" s="6" t="s">
        <v>15</v>
      </c>
      <c r="AJ55" s="6" t="s">
        <v>15</v>
      </c>
      <c r="AK55" s="6" t="s">
        <v>15</v>
      </c>
      <c r="AL55" s="6" t="s">
        <v>15</v>
      </c>
      <c r="AM55" s="6" t="s">
        <v>15</v>
      </c>
      <c r="AN55" s="6" t="s">
        <v>15</v>
      </c>
      <c r="AO55" s="6" t="s">
        <v>15</v>
      </c>
      <c r="AP55" s="6" t="s">
        <v>15</v>
      </c>
      <c r="AQ55" s="6" t="s">
        <v>15</v>
      </c>
      <c r="AR55" s="6" t="s">
        <v>15</v>
      </c>
      <c r="AS55" s="6" t="s">
        <v>15</v>
      </c>
      <c r="AT55" s="6" t="s">
        <v>15</v>
      </c>
      <c r="AU55" s="6" t="s">
        <v>15</v>
      </c>
      <c r="AV55" s="6" t="s">
        <v>15</v>
      </c>
      <c r="AW55" s="6" t="s">
        <v>15</v>
      </c>
      <c r="AX55" s="1" t="s">
        <v>279</v>
      </c>
      <c r="AY55" s="1" t="s">
        <v>279</v>
      </c>
      <c r="AZ55" s="1" t="s">
        <v>279</v>
      </c>
      <c r="BA55" s="1" t="s">
        <v>279</v>
      </c>
      <c r="BB55" s="1" t="s">
        <v>279</v>
      </c>
      <c r="BC55" s="1" t="s">
        <v>279</v>
      </c>
      <c r="BD55" s="1" t="s">
        <v>279</v>
      </c>
    </row>
    <row r="56" spans="2:65" ht="13.35" customHeight="1" x14ac:dyDescent="0.25">
      <c r="B56" s="2">
        <f t="shared" si="2"/>
        <v>54</v>
      </c>
      <c r="C56" s="21">
        <v>47</v>
      </c>
      <c r="D56" s="9" t="s">
        <v>276</v>
      </c>
      <c r="E56" s="9" t="s">
        <v>276</v>
      </c>
      <c r="F56" s="9" t="s">
        <v>276</v>
      </c>
      <c r="G56" s="9" t="s">
        <v>276</v>
      </c>
      <c r="H56" s="9" t="s">
        <v>276</v>
      </c>
      <c r="I56" s="9" t="s">
        <v>276</v>
      </c>
      <c r="J56" s="9" t="s">
        <v>276</v>
      </c>
      <c r="K56" s="9" t="s">
        <v>276</v>
      </c>
      <c r="L56" s="9" t="s">
        <v>276</v>
      </c>
      <c r="M56" s="9" t="s">
        <v>276</v>
      </c>
      <c r="N56" s="9" t="s">
        <v>276</v>
      </c>
      <c r="O56" s="9" t="s">
        <v>276</v>
      </c>
      <c r="P56" s="9" t="s">
        <v>276</v>
      </c>
      <c r="Q56" s="9" t="s">
        <v>276</v>
      </c>
      <c r="R56" s="327" t="s">
        <v>15</v>
      </c>
      <c r="S56" s="327" t="s">
        <v>15</v>
      </c>
      <c r="T56" s="327" t="s">
        <v>15</v>
      </c>
      <c r="U56" s="327" t="s">
        <v>15</v>
      </c>
      <c r="V56" s="327" t="s">
        <v>15</v>
      </c>
      <c r="W56" s="327" t="s">
        <v>15</v>
      </c>
      <c r="X56" s="327" t="s">
        <v>15</v>
      </c>
      <c r="Y56" s="327" t="s">
        <v>15</v>
      </c>
      <c r="Z56" s="327" t="s">
        <v>15</v>
      </c>
      <c r="AA56" s="327" t="s">
        <v>15</v>
      </c>
      <c r="AB56" s="327" t="s">
        <v>15</v>
      </c>
      <c r="AC56" s="327" t="s">
        <v>15</v>
      </c>
      <c r="AD56" s="327" t="s">
        <v>15</v>
      </c>
      <c r="AE56" s="327" t="s">
        <v>15</v>
      </c>
      <c r="AF56" s="6" t="s">
        <v>15</v>
      </c>
      <c r="AG56" s="6" t="s">
        <v>15</v>
      </c>
      <c r="AH56" s="6" t="s">
        <v>15</v>
      </c>
      <c r="AI56" s="6" t="s">
        <v>15</v>
      </c>
      <c r="AJ56" s="6" t="s">
        <v>15</v>
      </c>
      <c r="AK56" s="6" t="s">
        <v>15</v>
      </c>
      <c r="AL56" s="6" t="s">
        <v>15</v>
      </c>
      <c r="AM56" s="6" t="s">
        <v>15</v>
      </c>
      <c r="AN56" s="6" t="s">
        <v>15</v>
      </c>
      <c r="AO56" s="6" t="s">
        <v>15</v>
      </c>
      <c r="AP56" s="6" t="s">
        <v>15</v>
      </c>
      <c r="AQ56" s="6" t="s">
        <v>15</v>
      </c>
      <c r="AR56" s="6" t="s">
        <v>15</v>
      </c>
      <c r="AS56" s="6" t="s">
        <v>15</v>
      </c>
      <c r="AT56" s="6" t="s">
        <v>15</v>
      </c>
      <c r="AU56" s="6" t="s">
        <v>15</v>
      </c>
      <c r="AV56" s="6" t="s">
        <v>15</v>
      </c>
      <c r="AW56" s="6" t="s">
        <v>15</v>
      </c>
      <c r="AX56" s="1" t="s">
        <v>279</v>
      </c>
      <c r="AY56" s="1" t="s">
        <v>279</v>
      </c>
      <c r="AZ56" s="1" t="s">
        <v>279</v>
      </c>
      <c r="BA56" s="1" t="s">
        <v>279</v>
      </c>
      <c r="BB56" s="1" t="s">
        <v>279</v>
      </c>
      <c r="BC56" s="1" t="s">
        <v>279</v>
      </c>
      <c r="BD56" s="1" t="s">
        <v>279</v>
      </c>
      <c r="BE56" s="1" t="s">
        <v>279</v>
      </c>
    </row>
    <row r="57" spans="2:65" ht="13.35" customHeight="1" x14ac:dyDescent="0.25">
      <c r="B57" s="2">
        <f t="shared" si="2"/>
        <v>55</v>
      </c>
      <c r="C57" s="21">
        <v>46</v>
      </c>
      <c r="D57" s="9" t="s">
        <v>276</v>
      </c>
      <c r="E57" s="9" t="s">
        <v>276</v>
      </c>
      <c r="F57" s="9" t="s">
        <v>276</v>
      </c>
      <c r="G57" s="9" t="s">
        <v>276</v>
      </c>
      <c r="H57" s="9" t="s">
        <v>276</v>
      </c>
      <c r="I57" s="9" t="s">
        <v>276</v>
      </c>
      <c r="J57" s="9" t="s">
        <v>276</v>
      </c>
      <c r="K57" s="9" t="s">
        <v>276</v>
      </c>
      <c r="L57" s="9" t="s">
        <v>276</v>
      </c>
      <c r="M57" s="9" t="s">
        <v>276</v>
      </c>
      <c r="N57" s="9" t="s">
        <v>276</v>
      </c>
      <c r="O57" s="9" t="s">
        <v>276</v>
      </c>
      <c r="P57" s="9" t="s">
        <v>276</v>
      </c>
      <c r="Q57" s="9" t="s">
        <v>276</v>
      </c>
      <c r="R57" s="9" t="s">
        <v>276</v>
      </c>
      <c r="S57" s="327" t="s">
        <v>15</v>
      </c>
      <c r="T57" s="327" t="s">
        <v>15</v>
      </c>
      <c r="U57" s="327" t="s">
        <v>15</v>
      </c>
      <c r="V57" s="327" t="s">
        <v>15</v>
      </c>
      <c r="W57" s="327" t="s">
        <v>15</v>
      </c>
      <c r="X57" s="327" t="s">
        <v>15</v>
      </c>
      <c r="Y57" s="327" t="s">
        <v>15</v>
      </c>
      <c r="Z57" s="327" t="s">
        <v>15</v>
      </c>
      <c r="AA57" s="327" t="s">
        <v>15</v>
      </c>
      <c r="AB57" s="327" t="s">
        <v>15</v>
      </c>
      <c r="AC57" s="327" t="s">
        <v>15</v>
      </c>
      <c r="AD57" s="327" t="s">
        <v>15</v>
      </c>
      <c r="AE57" s="327" t="s">
        <v>15</v>
      </c>
      <c r="AF57" s="6" t="s">
        <v>15</v>
      </c>
      <c r="AG57" s="6" t="s">
        <v>15</v>
      </c>
      <c r="AH57" s="6" t="s">
        <v>15</v>
      </c>
      <c r="AI57" s="6" t="s">
        <v>15</v>
      </c>
      <c r="AJ57" s="6" t="s">
        <v>15</v>
      </c>
      <c r="AK57" s="6" t="s">
        <v>15</v>
      </c>
      <c r="AL57" s="6" t="s">
        <v>15</v>
      </c>
      <c r="AM57" s="6" t="s">
        <v>15</v>
      </c>
      <c r="AN57" s="6" t="s">
        <v>15</v>
      </c>
      <c r="AO57" s="6" t="s">
        <v>15</v>
      </c>
      <c r="AP57" s="6" t="s">
        <v>15</v>
      </c>
      <c r="AQ57" s="6" t="s">
        <v>15</v>
      </c>
      <c r="AR57" s="6" t="s">
        <v>15</v>
      </c>
      <c r="AS57" s="6" t="s">
        <v>15</v>
      </c>
      <c r="AT57" s="6" t="s">
        <v>15</v>
      </c>
      <c r="AU57" s="6" t="s">
        <v>15</v>
      </c>
      <c r="AV57" s="6" t="s">
        <v>15</v>
      </c>
      <c r="AW57" s="6" t="s">
        <v>15</v>
      </c>
      <c r="AX57" s="1" t="s">
        <v>279</v>
      </c>
      <c r="AY57" s="1" t="s">
        <v>279</v>
      </c>
      <c r="AZ57" s="1" t="s">
        <v>279</v>
      </c>
      <c r="BA57" s="1" t="s">
        <v>279</v>
      </c>
      <c r="BB57" s="1" t="s">
        <v>279</v>
      </c>
      <c r="BC57" s="1" t="s">
        <v>279</v>
      </c>
      <c r="BD57" s="1" t="s">
        <v>279</v>
      </c>
      <c r="BE57" s="1" t="s">
        <v>279</v>
      </c>
      <c r="BF57" s="1" t="s">
        <v>279</v>
      </c>
    </row>
    <row r="58" spans="2:65" ht="13.35" customHeight="1" x14ac:dyDescent="0.25">
      <c r="B58" s="2">
        <f t="shared" si="2"/>
        <v>56</v>
      </c>
      <c r="C58" s="21">
        <v>45</v>
      </c>
      <c r="D58" s="9" t="s">
        <v>276</v>
      </c>
      <c r="E58" s="9" t="s">
        <v>276</v>
      </c>
      <c r="F58" s="9" t="s">
        <v>276</v>
      </c>
      <c r="G58" s="9" t="s">
        <v>276</v>
      </c>
      <c r="H58" s="9" t="s">
        <v>276</v>
      </c>
      <c r="I58" s="9" t="s">
        <v>276</v>
      </c>
      <c r="J58" s="9" t="s">
        <v>276</v>
      </c>
      <c r="K58" s="9" t="s">
        <v>276</v>
      </c>
      <c r="L58" s="9" t="s">
        <v>276</v>
      </c>
      <c r="M58" s="9" t="s">
        <v>276</v>
      </c>
      <c r="N58" s="9" t="s">
        <v>276</v>
      </c>
      <c r="O58" s="9" t="s">
        <v>276</v>
      </c>
      <c r="P58" s="9" t="s">
        <v>276</v>
      </c>
      <c r="Q58" s="9" t="s">
        <v>276</v>
      </c>
      <c r="R58" s="9" t="s">
        <v>276</v>
      </c>
      <c r="S58" s="9" t="s">
        <v>276</v>
      </c>
      <c r="T58" s="327" t="s">
        <v>15</v>
      </c>
      <c r="U58" s="327" t="s">
        <v>15</v>
      </c>
      <c r="V58" s="327" t="s">
        <v>15</v>
      </c>
      <c r="W58" s="327" t="s">
        <v>15</v>
      </c>
      <c r="X58" s="327" t="s">
        <v>15</v>
      </c>
      <c r="Y58" s="327" t="s">
        <v>15</v>
      </c>
      <c r="Z58" s="327" t="s">
        <v>15</v>
      </c>
      <c r="AA58" s="327" t="s">
        <v>15</v>
      </c>
      <c r="AB58" s="327" t="s">
        <v>15</v>
      </c>
      <c r="AC58" s="327" t="s">
        <v>15</v>
      </c>
      <c r="AD58" s="327" t="s">
        <v>15</v>
      </c>
      <c r="AE58" s="327" t="s">
        <v>15</v>
      </c>
      <c r="AF58" s="6" t="s">
        <v>15</v>
      </c>
      <c r="AG58" s="6" t="s">
        <v>15</v>
      </c>
      <c r="AH58" s="6" t="s">
        <v>15</v>
      </c>
      <c r="AI58" s="6" t="s">
        <v>15</v>
      </c>
      <c r="AJ58" s="6" t="s">
        <v>15</v>
      </c>
      <c r="AK58" s="6" t="s">
        <v>15</v>
      </c>
      <c r="AL58" s="6" t="s">
        <v>15</v>
      </c>
      <c r="AM58" s="6" t="s">
        <v>15</v>
      </c>
      <c r="AN58" s="6" t="s">
        <v>15</v>
      </c>
      <c r="AO58" s="6" t="s">
        <v>15</v>
      </c>
      <c r="AP58" s="6" t="s">
        <v>15</v>
      </c>
      <c r="AQ58" s="6" t="s">
        <v>15</v>
      </c>
      <c r="AR58" s="6" t="s">
        <v>15</v>
      </c>
      <c r="AS58" s="6" t="s">
        <v>15</v>
      </c>
      <c r="AT58" s="6" t="s">
        <v>15</v>
      </c>
      <c r="AU58" s="6" t="s">
        <v>15</v>
      </c>
      <c r="AV58" s="6" t="s">
        <v>15</v>
      </c>
      <c r="AW58" s="6" t="s">
        <v>15</v>
      </c>
      <c r="AX58" s="1" t="s">
        <v>279</v>
      </c>
      <c r="AY58" s="1" t="s">
        <v>279</v>
      </c>
      <c r="AZ58" s="1" t="s">
        <v>279</v>
      </c>
      <c r="BA58" s="1" t="s">
        <v>279</v>
      </c>
      <c r="BB58" s="1" t="s">
        <v>279</v>
      </c>
      <c r="BC58" s="1" t="s">
        <v>279</v>
      </c>
      <c r="BD58" s="1" t="s">
        <v>279</v>
      </c>
      <c r="BE58" s="1" t="s">
        <v>279</v>
      </c>
      <c r="BF58" s="1" t="s">
        <v>279</v>
      </c>
      <c r="BG58" s="1" t="s">
        <v>279</v>
      </c>
    </row>
    <row r="59" spans="2:65" ht="13.35" customHeight="1" x14ac:dyDescent="0.25">
      <c r="B59" s="2">
        <f t="shared" si="2"/>
        <v>57</v>
      </c>
      <c r="C59" s="21">
        <v>44</v>
      </c>
      <c r="D59" s="9" t="s">
        <v>276</v>
      </c>
      <c r="E59" s="9" t="s">
        <v>276</v>
      </c>
      <c r="F59" s="9" t="s">
        <v>276</v>
      </c>
      <c r="G59" s="9" t="s">
        <v>276</v>
      </c>
      <c r="H59" s="9" t="s">
        <v>276</v>
      </c>
      <c r="I59" s="9" t="s">
        <v>276</v>
      </c>
      <c r="J59" s="9" t="s">
        <v>276</v>
      </c>
      <c r="K59" s="9" t="s">
        <v>276</v>
      </c>
      <c r="L59" s="9" t="s">
        <v>276</v>
      </c>
      <c r="M59" s="9" t="s">
        <v>276</v>
      </c>
      <c r="N59" s="9" t="s">
        <v>276</v>
      </c>
      <c r="O59" s="9" t="s">
        <v>276</v>
      </c>
      <c r="P59" s="9" t="s">
        <v>276</v>
      </c>
      <c r="Q59" s="9" t="s">
        <v>276</v>
      </c>
      <c r="R59" s="9" t="s">
        <v>276</v>
      </c>
      <c r="S59" s="9" t="s">
        <v>276</v>
      </c>
      <c r="T59" s="9" t="s">
        <v>276</v>
      </c>
      <c r="U59" s="327" t="s">
        <v>15</v>
      </c>
      <c r="V59" s="327" t="s">
        <v>15</v>
      </c>
      <c r="W59" s="327" t="s">
        <v>15</v>
      </c>
      <c r="X59" s="327" t="s">
        <v>15</v>
      </c>
      <c r="Y59" s="327" t="s">
        <v>15</v>
      </c>
      <c r="Z59" s="327" t="s">
        <v>15</v>
      </c>
      <c r="AA59" s="327" t="s">
        <v>15</v>
      </c>
      <c r="AB59" s="327" t="s">
        <v>15</v>
      </c>
      <c r="AC59" s="327" t="s">
        <v>15</v>
      </c>
      <c r="AD59" s="327" t="s">
        <v>15</v>
      </c>
      <c r="AE59" s="327" t="s">
        <v>15</v>
      </c>
      <c r="AF59" s="6" t="s">
        <v>15</v>
      </c>
      <c r="AG59" s="6" t="s">
        <v>15</v>
      </c>
      <c r="AH59" s="6" t="s">
        <v>15</v>
      </c>
      <c r="AI59" s="6" t="s">
        <v>15</v>
      </c>
      <c r="AJ59" s="6" t="s">
        <v>15</v>
      </c>
      <c r="AK59" s="6" t="s">
        <v>15</v>
      </c>
      <c r="AL59" s="6" t="s">
        <v>15</v>
      </c>
      <c r="AM59" s="6" t="s">
        <v>15</v>
      </c>
      <c r="AN59" s="6" t="s">
        <v>15</v>
      </c>
      <c r="AO59" s="6" t="s">
        <v>15</v>
      </c>
      <c r="AP59" s="6" t="s">
        <v>15</v>
      </c>
      <c r="AQ59" s="6" t="s">
        <v>15</v>
      </c>
      <c r="AR59" s="6" t="s">
        <v>15</v>
      </c>
      <c r="AS59" s="6" t="s">
        <v>15</v>
      </c>
      <c r="AT59" s="6" t="s">
        <v>15</v>
      </c>
      <c r="AU59" s="6" t="s">
        <v>15</v>
      </c>
      <c r="AV59" s="6" t="s">
        <v>15</v>
      </c>
      <c r="AW59" s="6" t="s">
        <v>15</v>
      </c>
      <c r="AX59" s="1" t="s">
        <v>279</v>
      </c>
      <c r="AY59" s="1" t="s">
        <v>279</v>
      </c>
      <c r="AZ59" s="1" t="s">
        <v>279</v>
      </c>
      <c r="BA59" s="1" t="s">
        <v>279</v>
      </c>
      <c r="BB59" s="1" t="s">
        <v>279</v>
      </c>
      <c r="BC59" s="1" t="s">
        <v>279</v>
      </c>
      <c r="BD59" s="1" t="s">
        <v>279</v>
      </c>
      <c r="BE59" s="1" t="s">
        <v>279</v>
      </c>
      <c r="BF59" s="1" t="s">
        <v>279</v>
      </c>
      <c r="BG59" s="1" t="s">
        <v>279</v>
      </c>
      <c r="BH59" s="1" t="s">
        <v>279</v>
      </c>
    </row>
    <row r="60" spans="2:65" ht="13.35" customHeight="1" x14ac:dyDescent="0.25">
      <c r="B60" s="2">
        <f t="shared" si="2"/>
        <v>58</v>
      </c>
      <c r="C60" s="21">
        <v>43</v>
      </c>
      <c r="D60" s="9" t="s">
        <v>276</v>
      </c>
      <c r="E60" s="9" t="s">
        <v>276</v>
      </c>
      <c r="F60" s="9" t="s">
        <v>276</v>
      </c>
      <c r="G60" s="9" t="s">
        <v>276</v>
      </c>
      <c r="H60" s="9" t="s">
        <v>276</v>
      </c>
      <c r="I60" s="9" t="s">
        <v>276</v>
      </c>
      <c r="J60" s="9" t="s">
        <v>276</v>
      </c>
      <c r="K60" s="9" t="s">
        <v>276</v>
      </c>
      <c r="L60" s="9" t="s">
        <v>276</v>
      </c>
      <c r="M60" s="9" t="s">
        <v>276</v>
      </c>
      <c r="N60" s="9" t="s">
        <v>276</v>
      </c>
      <c r="O60" s="9" t="s">
        <v>276</v>
      </c>
      <c r="P60" s="9" t="s">
        <v>276</v>
      </c>
      <c r="Q60" s="9" t="s">
        <v>276</v>
      </c>
      <c r="R60" s="9" t="s">
        <v>276</v>
      </c>
      <c r="S60" s="9" t="s">
        <v>276</v>
      </c>
      <c r="T60" s="9" t="s">
        <v>276</v>
      </c>
      <c r="U60" s="9" t="s">
        <v>276</v>
      </c>
      <c r="V60" s="327" t="s">
        <v>15</v>
      </c>
      <c r="W60" s="327" t="s">
        <v>15</v>
      </c>
      <c r="X60" s="327" t="s">
        <v>15</v>
      </c>
      <c r="Y60" s="327" t="s">
        <v>15</v>
      </c>
      <c r="Z60" s="327" t="s">
        <v>15</v>
      </c>
      <c r="AA60" s="327" t="s">
        <v>15</v>
      </c>
      <c r="AB60" s="327" t="s">
        <v>15</v>
      </c>
      <c r="AC60" s="327" t="s">
        <v>15</v>
      </c>
      <c r="AD60" s="327" t="s">
        <v>15</v>
      </c>
      <c r="AE60" s="327" t="s">
        <v>15</v>
      </c>
      <c r="AF60" s="6" t="s">
        <v>15</v>
      </c>
      <c r="AG60" s="6" t="s">
        <v>15</v>
      </c>
      <c r="AH60" s="6" t="s">
        <v>15</v>
      </c>
      <c r="AI60" s="6" t="s">
        <v>15</v>
      </c>
      <c r="AJ60" s="6" t="s">
        <v>15</v>
      </c>
      <c r="AK60" s="6" t="s">
        <v>15</v>
      </c>
      <c r="AL60" s="6" t="s">
        <v>15</v>
      </c>
      <c r="AM60" s="6" t="s">
        <v>15</v>
      </c>
      <c r="AN60" s="6" t="s">
        <v>15</v>
      </c>
      <c r="AO60" s="6" t="s">
        <v>15</v>
      </c>
      <c r="AP60" s="6" t="s">
        <v>15</v>
      </c>
      <c r="AQ60" s="6" t="s">
        <v>15</v>
      </c>
      <c r="AR60" s="6" t="s">
        <v>15</v>
      </c>
      <c r="AS60" s="6" t="s">
        <v>15</v>
      </c>
      <c r="AT60" s="6" t="s">
        <v>15</v>
      </c>
      <c r="AU60" s="6" t="s">
        <v>15</v>
      </c>
      <c r="AV60" s="6" t="s">
        <v>15</v>
      </c>
      <c r="AW60" s="6" t="s">
        <v>15</v>
      </c>
      <c r="AX60" s="1" t="s">
        <v>279</v>
      </c>
      <c r="AY60" s="1" t="s">
        <v>279</v>
      </c>
      <c r="AZ60" s="1" t="s">
        <v>279</v>
      </c>
      <c r="BA60" s="1" t="s">
        <v>279</v>
      </c>
      <c r="BB60" s="1" t="s">
        <v>279</v>
      </c>
      <c r="BC60" s="1" t="s">
        <v>279</v>
      </c>
      <c r="BD60" s="1" t="s">
        <v>279</v>
      </c>
      <c r="BE60" s="1" t="s">
        <v>279</v>
      </c>
      <c r="BF60" s="1" t="s">
        <v>279</v>
      </c>
      <c r="BG60" s="1" t="s">
        <v>279</v>
      </c>
      <c r="BH60" s="1" t="s">
        <v>279</v>
      </c>
      <c r="BI60" s="1" t="s">
        <v>279</v>
      </c>
    </row>
    <row r="61" spans="2:65" ht="13.35" customHeight="1" x14ac:dyDescent="0.25">
      <c r="B61" s="2">
        <f t="shared" si="2"/>
        <v>59</v>
      </c>
      <c r="C61" s="21">
        <v>42</v>
      </c>
      <c r="D61" s="9" t="s">
        <v>276</v>
      </c>
      <c r="E61" s="9" t="s">
        <v>276</v>
      </c>
      <c r="F61" s="9" t="s">
        <v>276</v>
      </c>
      <c r="G61" s="9" t="s">
        <v>276</v>
      </c>
      <c r="H61" s="9" t="s">
        <v>276</v>
      </c>
      <c r="I61" s="9" t="s">
        <v>276</v>
      </c>
      <c r="J61" s="9" t="s">
        <v>276</v>
      </c>
      <c r="K61" s="9" t="s">
        <v>276</v>
      </c>
      <c r="L61" s="9" t="s">
        <v>276</v>
      </c>
      <c r="M61" s="9" t="s">
        <v>276</v>
      </c>
      <c r="N61" s="9" t="s">
        <v>276</v>
      </c>
      <c r="O61" s="9" t="s">
        <v>276</v>
      </c>
      <c r="P61" s="9" t="s">
        <v>276</v>
      </c>
      <c r="Q61" s="9" t="s">
        <v>276</v>
      </c>
      <c r="R61" s="9" t="s">
        <v>276</v>
      </c>
      <c r="S61" s="9" t="s">
        <v>276</v>
      </c>
      <c r="T61" s="9" t="s">
        <v>276</v>
      </c>
      <c r="U61" s="9" t="s">
        <v>276</v>
      </c>
      <c r="V61" s="9" t="s">
        <v>276</v>
      </c>
      <c r="W61" s="327" t="s">
        <v>15</v>
      </c>
      <c r="X61" s="327" t="s">
        <v>15</v>
      </c>
      <c r="Y61" s="327" t="s">
        <v>15</v>
      </c>
      <c r="Z61" s="327" t="s">
        <v>15</v>
      </c>
      <c r="AA61" s="327" t="s">
        <v>15</v>
      </c>
      <c r="AB61" s="327" t="s">
        <v>15</v>
      </c>
      <c r="AC61" s="327" t="s">
        <v>15</v>
      </c>
      <c r="AD61" s="327" t="s">
        <v>15</v>
      </c>
      <c r="AE61" s="327" t="s">
        <v>15</v>
      </c>
      <c r="AF61" s="6" t="s">
        <v>15</v>
      </c>
      <c r="AG61" s="6" t="s">
        <v>15</v>
      </c>
      <c r="AH61" s="6" t="s">
        <v>15</v>
      </c>
      <c r="AI61" s="6" t="s">
        <v>15</v>
      </c>
      <c r="AJ61" s="6" t="s">
        <v>15</v>
      </c>
      <c r="AK61" s="6" t="s">
        <v>15</v>
      </c>
      <c r="AL61" s="6" t="s">
        <v>15</v>
      </c>
      <c r="AM61" s="6" t="s">
        <v>15</v>
      </c>
      <c r="AN61" s="6" t="s">
        <v>15</v>
      </c>
      <c r="AO61" s="6" t="s">
        <v>15</v>
      </c>
      <c r="AP61" s="6" t="s">
        <v>15</v>
      </c>
      <c r="AQ61" s="6" t="s">
        <v>15</v>
      </c>
      <c r="AR61" s="6" t="s">
        <v>15</v>
      </c>
      <c r="AS61" s="6" t="s">
        <v>15</v>
      </c>
      <c r="AT61" s="6" t="s">
        <v>15</v>
      </c>
      <c r="AU61" s="6" t="s">
        <v>15</v>
      </c>
      <c r="AV61" s="6" t="s">
        <v>15</v>
      </c>
      <c r="AW61" s="6" t="s">
        <v>15</v>
      </c>
      <c r="AX61" s="1" t="s">
        <v>279</v>
      </c>
      <c r="AY61" s="1" t="s">
        <v>279</v>
      </c>
      <c r="AZ61" s="1" t="s">
        <v>279</v>
      </c>
      <c r="BA61" s="1" t="s">
        <v>279</v>
      </c>
      <c r="BB61" s="1" t="s">
        <v>279</v>
      </c>
      <c r="BC61" s="1" t="s">
        <v>279</v>
      </c>
      <c r="BD61" s="1" t="s">
        <v>279</v>
      </c>
      <c r="BE61" s="1" t="s">
        <v>279</v>
      </c>
      <c r="BF61" s="1" t="s">
        <v>279</v>
      </c>
      <c r="BG61" s="1" t="s">
        <v>279</v>
      </c>
      <c r="BH61" s="1" t="s">
        <v>279</v>
      </c>
      <c r="BI61" s="1" t="s">
        <v>279</v>
      </c>
      <c r="BJ61" s="1" t="s">
        <v>279</v>
      </c>
    </row>
    <row r="62" spans="2:65" ht="13.35" customHeight="1" x14ac:dyDescent="0.25">
      <c r="B62" s="2">
        <f t="shared" si="2"/>
        <v>60</v>
      </c>
      <c r="C62" s="21">
        <v>41</v>
      </c>
      <c r="D62" s="9" t="s">
        <v>276</v>
      </c>
      <c r="E62" s="9" t="s">
        <v>276</v>
      </c>
      <c r="F62" s="9" t="s">
        <v>276</v>
      </c>
      <c r="G62" s="9" t="s">
        <v>276</v>
      </c>
      <c r="H62" s="9" t="s">
        <v>276</v>
      </c>
      <c r="I62" s="9" t="s">
        <v>276</v>
      </c>
      <c r="J62" s="9" t="s">
        <v>276</v>
      </c>
      <c r="K62" s="9" t="s">
        <v>276</v>
      </c>
      <c r="L62" s="9" t="s">
        <v>276</v>
      </c>
      <c r="M62" s="9" t="s">
        <v>276</v>
      </c>
      <c r="N62" s="9" t="s">
        <v>276</v>
      </c>
      <c r="O62" s="9" t="s">
        <v>276</v>
      </c>
      <c r="P62" s="9" t="s">
        <v>276</v>
      </c>
      <c r="Q62" s="9" t="s">
        <v>276</v>
      </c>
      <c r="R62" s="9" t="s">
        <v>276</v>
      </c>
      <c r="S62" s="9" t="s">
        <v>276</v>
      </c>
      <c r="T62" s="9" t="s">
        <v>276</v>
      </c>
      <c r="U62" s="9" t="s">
        <v>276</v>
      </c>
      <c r="V62" s="9" t="s">
        <v>276</v>
      </c>
      <c r="W62" s="9" t="s">
        <v>276</v>
      </c>
      <c r="X62" s="327" t="s">
        <v>15</v>
      </c>
      <c r="Y62" s="327" t="s">
        <v>15</v>
      </c>
      <c r="Z62" s="327" t="s">
        <v>15</v>
      </c>
      <c r="AA62" s="327" t="s">
        <v>15</v>
      </c>
      <c r="AB62" s="327" t="s">
        <v>15</v>
      </c>
      <c r="AC62" s="327" t="s">
        <v>15</v>
      </c>
      <c r="AD62" s="327" t="s">
        <v>15</v>
      </c>
      <c r="AE62" s="327" t="s">
        <v>15</v>
      </c>
      <c r="AF62" s="6" t="s">
        <v>15</v>
      </c>
      <c r="AG62" s="6" t="s">
        <v>15</v>
      </c>
      <c r="AH62" s="6" t="s">
        <v>15</v>
      </c>
      <c r="AI62" s="6" t="s">
        <v>15</v>
      </c>
      <c r="AJ62" s="6" t="s">
        <v>15</v>
      </c>
      <c r="AK62" s="6" t="s">
        <v>15</v>
      </c>
      <c r="AL62" s="6" t="s">
        <v>15</v>
      </c>
      <c r="AM62" s="6" t="s">
        <v>15</v>
      </c>
      <c r="AN62" s="6" t="s">
        <v>15</v>
      </c>
      <c r="AO62" s="6" t="s">
        <v>15</v>
      </c>
      <c r="AP62" s="6" t="s">
        <v>15</v>
      </c>
      <c r="AQ62" s="6" t="s">
        <v>15</v>
      </c>
      <c r="AR62" s="6" t="s">
        <v>15</v>
      </c>
      <c r="AS62" s="6" t="s">
        <v>15</v>
      </c>
      <c r="AT62" s="6" t="s">
        <v>15</v>
      </c>
      <c r="AU62" s="6" t="s">
        <v>15</v>
      </c>
      <c r="AV62" s="6" t="s">
        <v>15</v>
      </c>
      <c r="AW62" s="6" t="s">
        <v>15</v>
      </c>
      <c r="AX62" s="1" t="s">
        <v>279</v>
      </c>
      <c r="AY62" s="1" t="s">
        <v>279</v>
      </c>
      <c r="AZ62" s="1" t="s">
        <v>279</v>
      </c>
      <c r="BA62" s="1" t="s">
        <v>279</v>
      </c>
      <c r="BB62" s="1" t="s">
        <v>279</v>
      </c>
      <c r="BC62" s="1" t="s">
        <v>279</v>
      </c>
      <c r="BD62" s="1" t="s">
        <v>279</v>
      </c>
      <c r="BE62" s="1" t="s">
        <v>279</v>
      </c>
      <c r="BF62" s="1" t="s">
        <v>279</v>
      </c>
      <c r="BG62" s="1" t="s">
        <v>279</v>
      </c>
      <c r="BH62" s="1" t="s">
        <v>279</v>
      </c>
      <c r="BI62" s="1" t="s">
        <v>279</v>
      </c>
      <c r="BJ62" s="1" t="s">
        <v>279</v>
      </c>
      <c r="BK62" s="1" t="s">
        <v>279</v>
      </c>
    </row>
    <row r="63" spans="2:65" ht="13.35" customHeight="1" x14ac:dyDescent="0.25">
      <c r="B63" s="2">
        <f t="shared" si="2"/>
        <v>61</v>
      </c>
      <c r="C63" s="21">
        <v>40</v>
      </c>
      <c r="D63" s="2" t="s">
        <v>274</v>
      </c>
      <c r="E63" s="2" t="s">
        <v>274</v>
      </c>
      <c r="F63" s="2" t="s">
        <v>274</v>
      </c>
      <c r="G63" s="2" t="s">
        <v>274</v>
      </c>
      <c r="H63" s="2" t="s">
        <v>274</v>
      </c>
      <c r="I63" s="2" t="s">
        <v>274</v>
      </c>
      <c r="J63" s="2" t="s">
        <v>274</v>
      </c>
      <c r="K63" s="2" t="s">
        <v>274</v>
      </c>
      <c r="L63" s="2" t="s">
        <v>274</v>
      </c>
      <c r="M63" s="2" t="s">
        <v>274</v>
      </c>
      <c r="N63" s="2" t="s">
        <v>274</v>
      </c>
      <c r="O63" s="2" t="s">
        <v>274</v>
      </c>
      <c r="P63" s="2" t="s">
        <v>274</v>
      </c>
      <c r="Q63" s="2" t="s">
        <v>274</v>
      </c>
      <c r="R63" s="2" t="s">
        <v>274</v>
      </c>
      <c r="S63" s="2" t="s">
        <v>274</v>
      </c>
      <c r="T63" s="2" t="s">
        <v>274</v>
      </c>
      <c r="U63" s="2" t="s">
        <v>274</v>
      </c>
      <c r="V63" s="2" t="s">
        <v>274</v>
      </c>
      <c r="W63" s="2" t="s">
        <v>274</v>
      </c>
      <c r="X63" s="2" t="s">
        <v>274</v>
      </c>
      <c r="Y63" s="22" t="s">
        <v>272</v>
      </c>
      <c r="Z63" s="22" t="s">
        <v>272</v>
      </c>
      <c r="AA63" s="22" t="s">
        <v>272</v>
      </c>
      <c r="AB63" s="22" t="s">
        <v>272</v>
      </c>
      <c r="AC63" s="22" t="s">
        <v>272</v>
      </c>
      <c r="AD63" s="22" t="s">
        <v>272</v>
      </c>
      <c r="AE63" s="22" t="s">
        <v>272</v>
      </c>
      <c r="AF63" s="22" t="s">
        <v>272</v>
      </c>
      <c r="AG63" s="22" t="s">
        <v>272</v>
      </c>
      <c r="AH63" s="22" t="s">
        <v>272</v>
      </c>
      <c r="AI63" s="22" t="s">
        <v>272</v>
      </c>
      <c r="AJ63" s="22" t="s">
        <v>272</v>
      </c>
      <c r="AK63" s="22" t="s">
        <v>272</v>
      </c>
      <c r="AL63" s="22" t="s">
        <v>272</v>
      </c>
      <c r="AM63" s="22" t="s">
        <v>272</v>
      </c>
      <c r="AN63" s="22" t="s">
        <v>272</v>
      </c>
      <c r="AO63" s="22" t="s">
        <v>272</v>
      </c>
      <c r="AP63" s="22" t="s">
        <v>272</v>
      </c>
      <c r="AQ63" s="22" t="s">
        <v>272</v>
      </c>
      <c r="AR63" s="22" t="s">
        <v>272</v>
      </c>
      <c r="AS63" s="22" t="s">
        <v>272</v>
      </c>
      <c r="AT63" s="22" t="s">
        <v>272</v>
      </c>
      <c r="AU63" s="22" t="s">
        <v>272</v>
      </c>
      <c r="AV63" s="22" t="s">
        <v>272</v>
      </c>
      <c r="AW63" s="22" t="s">
        <v>272</v>
      </c>
      <c r="AX63" s="1" t="s">
        <v>279</v>
      </c>
      <c r="AY63" s="1" t="s">
        <v>279</v>
      </c>
      <c r="AZ63" s="1" t="s">
        <v>279</v>
      </c>
      <c r="BA63" s="1" t="s">
        <v>279</v>
      </c>
      <c r="BB63" s="1" t="s">
        <v>279</v>
      </c>
      <c r="BC63" s="1" t="s">
        <v>279</v>
      </c>
      <c r="BD63" s="1" t="s">
        <v>279</v>
      </c>
      <c r="BE63" s="1" t="s">
        <v>279</v>
      </c>
      <c r="BF63" s="1" t="s">
        <v>279</v>
      </c>
      <c r="BG63" s="1" t="s">
        <v>279</v>
      </c>
      <c r="BH63" s="1" t="s">
        <v>279</v>
      </c>
      <c r="BI63" s="1" t="s">
        <v>279</v>
      </c>
      <c r="BJ63" s="1" t="s">
        <v>279</v>
      </c>
      <c r="BK63" s="1" t="s">
        <v>279</v>
      </c>
      <c r="BL63" s="1" t="s">
        <v>279</v>
      </c>
    </row>
    <row r="64" spans="2:65" ht="13.35" customHeight="1" x14ac:dyDescent="0.25">
      <c r="B64" s="2">
        <f t="shared" si="2"/>
        <v>62</v>
      </c>
      <c r="C64" s="21">
        <v>39</v>
      </c>
      <c r="D64" s="2" t="s">
        <v>274</v>
      </c>
      <c r="E64" s="2" t="s">
        <v>274</v>
      </c>
      <c r="F64" s="2" t="s">
        <v>274</v>
      </c>
      <c r="G64" s="2" t="s">
        <v>274</v>
      </c>
      <c r="H64" s="2" t="s">
        <v>274</v>
      </c>
      <c r="I64" s="2" t="s">
        <v>274</v>
      </c>
      <c r="J64" s="2" t="s">
        <v>274</v>
      </c>
      <c r="K64" s="2" t="s">
        <v>274</v>
      </c>
      <c r="L64" s="2" t="s">
        <v>274</v>
      </c>
      <c r="M64" s="2" t="s">
        <v>274</v>
      </c>
      <c r="N64" s="2" t="s">
        <v>274</v>
      </c>
      <c r="O64" s="2" t="s">
        <v>274</v>
      </c>
      <c r="P64" s="2" t="s">
        <v>274</v>
      </c>
      <c r="Q64" s="2" t="s">
        <v>274</v>
      </c>
      <c r="R64" s="2" t="s">
        <v>274</v>
      </c>
      <c r="S64" s="2" t="s">
        <v>274</v>
      </c>
      <c r="T64" s="2" t="s">
        <v>274</v>
      </c>
      <c r="U64" s="2" t="s">
        <v>274</v>
      </c>
      <c r="V64" s="2" t="s">
        <v>274</v>
      </c>
      <c r="W64" s="2" t="s">
        <v>274</v>
      </c>
      <c r="X64" s="2" t="s">
        <v>274</v>
      </c>
      <c r="Y64" s="22" t="s">
        <v>272</v>
      </c>
      <c r="Z64" s="22" t="s">
        <v>272</v>
      </c>
      <c r="AA64" s="22" t="s">
        <v>272</v>
      </c>
      <c r="AB64" s="22" t="s">
        <v>272</v>
      </c>
      <c r="AC64" s="22" t="s">
        <v>272</v>
      </c>
      <c r="AD64" s="22" t="s">
        <v>272</v>
      </c>
      <c r="AE64" s="22" t="s">
        <v>272</v>
      </c>
      <c r="AF64" s="22" t="s">
        <v>272</v>
      </c>
      <c r="AG64" s="22" t="s">
        <v>272</v>
      </c>
      <c r="AH64" s="22" t="s">
        <v>272</v>
      </c>
      <c r="AI64" s="22" t="s">
        <v>272</v>
      </c>
      <c r="AJ64" s="22" t="s">
        <v>272</v>
      </c>
      <c r="AK64" s="22" t="s">
        <v>272</v>
      </c>
      <c r="AL64" s="22" t="s">
        <v>272</v>
      </c>
      <c r="AM64" s="22" t="s">
        <v>272</v>
      </c>
      <c r="AN64" s="22" t="s">
        <v>272</v>
      </c>
      <c r="AO64" s="22" t="s">
        <v>272</v>
      </c>
      <c r="AP64" s="22" t="s">
        <v>272</v>
      </c>
      <c r="AQ64" s="22" t="s">
        <v>272</v>
      </c>
      <c r="AR64" s="22" t="s">
        <v>272</v>
      </c>
      <c r="AS64" s="22" t="s">
        <v>272</v>
      </c>
      <c r="AT64" s="22" t="s">
        <v>272</v>
      </c>
      <c r="AU64" s="22" t="s">
        <v>272</v>
      </c>
      <c r="AV64" s="22" t="s">
        <v>272</v>
      </c>
      <c r="AW64" s="22" t="s">
        <v>272</v>
      </c>
      <c r="AX64" s="1" t="s">
        <v>279</v>
      </c>
      <c r="AY64" s="1" t="s">
        <v>279</v>
      </c>
      <c r="AZ64" s="1" t="s">
        <v>279</v>
      </c>
      <c r="BA64" s="1" t="s">
        <v>279</v>
      </c>
      <c r="BB64" s="1" t="s">
        <v>279</v>
      </c>
      <c r="BC64" s="1" t="s">
        <v>279</v>
      </c>
      <c r="BD64" s="1" t="s">
        <v>279</v>
      </c>
      <c r="BE64" s="1" t="s">
        <v>279</v>
      </c>
      <c r="BF64" s="1" t="s">
        <v>279</v>
      </c>
      <c r="BG64" s="1" t="s">
        <v>279</v>
      </c>
      <c r="BH64" s="1" t="s">
        <v>279</v>
      </c>
      <c r="BI64" s="1" t="s">
        <v>279</v>
      </c>
      <c r="BJ64" s="1" t="s">
        <v>279</v>
      </c>
      <c r="BK64" s="1" t="s">
        <v>279</v>
      </c>
      <c r="BL64" s="1" t="s">
        <v>279</v>
      </c>
      <c r="BM64" s="1" t="s">
        <v>279</v>
      </c>
    </row>
    <row r="65" spans="2:81" ht="13.35" customHeight="1" x14ac:dyDescent="0.25">
      <c r="B65" s="2">
        <f t="shared" si="2"/>
        <v>63</v>
      </c>
      <c r="C65" s="21">
        <v>38</v>
      </c>
      <c r="D65" s="2" t="s">
        <v>274</v>
      </c>
      <c r="E65" s="2" t="s">
        <v>274</v>
      </c>
      <c r="F65" s="2" t="s">
        <v>274</v>
      </c>
      <c r="G65" s="2" t="s">
        <v>274</v>
      </c>
      <c r="H65" s="2" t="s">
        <v>274</v>
      </c>
      <c r="I65" s="2" t="s">
        <v>274</v>
      </c>
      <c r="J65" s="2" t="s">
        <v>274</v>
      </c>
      <c r="K65" s="2" t="s">
        <v>274</v>
      </c>
      <c r="L65" s="2" t="s">
        <v>274</v>
      </c>
      <c r="M65" s="2" t="s">
        <v>274</v>
      </c>
      <c r="N65" s="2" t="s">
        <v>274</v>
      </c>
      <c r="O65" s="2" t="s">
        <v>274</v>
      </c>
      <c r="P65" s="2" t="s">
        <v>274</v>
      </c>
      <c r="Q65" s="2" t="s">
        <v>274</v>
      </c>
      <c r="R65" s="2" t="s">
        <v>274</v>
      </c>
      <c r="S65" s="2" t="s">
        <v>274</v>
      </c>
      <c r="T65" s="2" t="s">
        <v>274</v>
      </c>
      <c r="U65" s="2" t="s">
        <v>274</v>
      </c>
      <c r="V65" s="2" t="s">
        <v>274</v>
      </c>
      <c r="W65" s="2" t="s">
        <v>274</v>
      </c>
      <c r="X65" s="2" t="s">
        <v>274</v>
      </c>
      <c r="Y65" s="22" t="s">
        <v>272</v>
      </c>
      <c r="Z65" s="22" t="s">
        <v>272</v>
      </c>
      <c r="AA65" s="22" t="s">
        <v>272</v>
      </c>
      <c r="AB65" s="22" t="s">
        <v>272</v>
      </c>
      <c r="AC65" s="22" t="s">
        <v>272</v>
      </c>
      <c r="AD65" s="22" t="s">
        <v>272</v>
      </c>
      <c r="AE65" s="22" t="s">
        <v>272</v>
      </c>
      <c r="AF65" s="22" t="s">
        <v>272</v>
      </c>
      <c r="AG65" s="22" t="s">
        <v>272</v>
      </c>
      <c r="AH65" s="22" t="s">
        <v>272</v>
      </c>
      <c r="AI65" s="22" t="s">
        <v>272</v>
      </c>
      <c r="AJ65" s="22" t="s">
        <v>272</v>
      </c>
      <c r="AK65" s="22" t="s">
        <v>272</v>
      </c>
      <c r="AL65" s="22" t="s">
        <v>272</v>
      </c>
      <c r="AM65" s="22" t="s">
        <v>272</v>
      </c>
      <c r="AN65" s="22" t="s">
        <v>272</v>
      </c>
      <c r="AO65" s="22" t="s">
        <v>272</v>
      </c>
      <c r="AP65" s="22" t="s">
        <v>272</v>
      </c>
      <c r="AQ65" s="22" t="s">
        <v>272</v>
      </c>
      <c r="AR65" s="22" t="s">
        <v>272</v>
      </c>
      <c r="AS65" s="22" t="s">
        <v>272</v>
      </c>
      <c r="AT65" s="22" t="s">
        <v>272</v>
      </c>
      <c r="AU65" s="22" t="s">
        <v>272</v>
      </c>
      <c r="AV65" s="22" t="s">
        <v>272</v>
      </c>
      <c r="AW65" s="22" t="s">
        <v>272</v>
      </c>
      <c r="AX65" s="1" t="s">
        <v>279</v>
      </c>
      <c r="AY65" s="1" t="s">
        <v>279</v>
      </c>
      <c r="AZ65" s="1" t="s">
        <v>279</v>
      </c>
      <c r="BA65" s="1" t="s">
        <v>279</v>
      </c>
      <c r="BB65" s="1" t="s">
        <v>279</v>
      </c>
      <c r="BC65" s="1" t="s">
        <v>279</v>
      </c>
      <c r="BD65" s="1" t="s">
        <v>279</v>
      </c>
      <c r="BE65" s="1" t="s">
        <v>279</v>
      </c>
      <c r="BF65" s="1" t="s">
        <v>279</v>
      </c>
      <c r="BG65" s="1" t="s">
        <v>279</v>
      </c>
      <c r="BH65" s="1" t="s">
        <v>279</v>
      </c>
      <c r="BI65" s="1" t="s">
        <v>279</v>
      </c>
      <c r="BJ65" s="1" t="s">
        <v>279</v>
      </c>
      <c r="BK65" s="1" t="s">
        <v>279</v>
      </c>
      <c r="BL65" s="1" t="s">
        <v>279</v>
      </c>
      <c r="BM65" s="1" t="s">
        <v>279</v>
      </c>
      <c r="BN65" s="1" t="s">
        <v>279</v>
      </c>
    </row>
    <row r="66" spans="2:81" ht="13.35" customHeight="1" x14ac:dyDescent="0.25">
      <c r="B66" s="2">
        <f t="shared" si="2"/>
        <v>64</v>
      </c>
      <c r="C66" s="21">
        <v>37</v>
      </c>
      <c r="D66" s="2" t="s">
        <v>274</v>
      </c>
      <c r="E66" s="2" t="s">
        <v>274</v>
      </c>
      <c r="F66" s="2" t="s">
        <v>274</v>
      </c>
      <c r="G66" s="2" t="s">
        <v>274</v>
      </c>
      <c r="H66" s="2" t="s">
        <v>274</v>
      </c>
      <c r="I66" s="2" t="s">
        <v>274</v>
      </c>
      <c r="J66" s="2" t="s">
        <v>274</v>
      </c>
      <c r="K66" s="2" t="s">
        <v>274</v>
      </c>
      <c r="L66" s="2" t="s">
        <v>274</v>
      </c>
      <c r="M66" s="2" t="s">
        <v>274</v>
      </c>
      <c r="N66" s="2" t="s">
        <v>274</v>
      </c>
      <c r="O66" s="2" t="s">
        <v>274</v>
      </c>
      <c r="P66" s="2" t="s">
        <v>274</v>
      </c>
      <c r="Q66" s="2" t="s">
        <v>274</v>
      </c>
      <c r="R66" s="2" t="s">
        <v>274</v>
      </c>
      <c r="S66" s="2" t="s">
        <v>274</v>
      </c>
      <c r="T66" s="2" t="s">
        <v>274</v>
      </c>
      <c r="U66" s="2" t="s">
        <v>274</v>
      </c>
      <c r="V66" s="2" t="s">
        <v>274</v>
      </c>
      <c r="W66" s="2" t="s">
        <v>274</v>
      </c>
      <c r="X66" s="2" t="s">
        <v>274</v>
      </c>
      <c r="Y66" s="22" t="s">
        <v>272</v>
      </c>
      <c r="Z66" s="22" t="s">
        <v>272</v>
      </c>
      <c r="AA66" s="22" t="s">
        <v>272</v>
      </c>
      <c r="AB66" s="22" t="s">
        <v>272</v>
      </c>
      <c r="AC66" s="22" t="s">
        <v>272</v>
      </c>
      <c r="AD66" s="22" t="s">
        <v>272</v>
      </c>
      <c r="AE66" s="22" t="s">
        <v>272</v>
      </c>
      <c r="AF66" s="22" t="s">
        <v>272</v>
      </c>
      <c r="AG66" s="22" t="s">
        <v>272</v>
      </c>
      <c r="AH66" s="22" t="s">
        <v>272</v>
      </c>
      <c r="AI66" s="22" t="s">
        <v>272</v>
      </c>
      <c r="AJ66" s="22" t="s">
        <v>272</v>
      </c>
      <c r="AK66" s="22" t="s">
        <v>272</v>
      </c>
      <c r="AL66" s="22" t="s">
        <v>272</v>
      </c>
      <c r="AM66" s="22" t="s">
        <v>272</v>
      </c>
      <c r="AN66" s="22" t="s">
        <v>272</v>
      </c>
      <c r="AO66" s="22" t="s">
        <v>272</v>
      </c>
      <c r="AP66" s="22" t="s">
        <v>272</v>
      </c>
      <c r="AQ66" s="22" t="s">
        <v>272</v>
      </c>
      <c r="AR66" s="22" t="s">
        <v>272</v>
      </c>
      <c r="AS66" s="22" t="s">
        <v>272</v>
      </c>
      <c r="AT66" s="22" t="s">
        <v>272</v>
      </c>
      <c r="AU66" s="22" t="s">
        <v>272</v>
      </c>
      <c r="AV66" s="22" t="s">
        <v>272</v>
      </c>
      <c r="AW66" s="22" t="s">
        <v>272</v>
      </c>
      <c r="AX66" s="1" t="s">
        <v>279</v>
      </c>
      <c r="AY66" s="1" t="s">
        <v>279</v>
      </c>
      <c r="AZ66" s="1" t="s">
        <v>279</v>
      </c>
      <c r="BA66" s="1" t="s">
        <v>279</v>
      </c>
      <c r="BB66" s="1" t="s">
        <v>279</v>
      </c>
      <c r="BC66" s="1" t="s">
        <v>279</v>
      </c>
      <c r="BD66" s="1" t="s">
        <v>279</v>
      </c>
      <c r="BE66" s="1" t="s">
        <v>279</v>
      </c>
      <c r="BF66" s="1" t="s">
        <v>279</v>
      </c>
      <c r="BG66" s="1" t="s">
        <v>279</v>
      </c>
      <c r="BH66" s="1" t="s">
        <v>279</v>
      </c>
      <c r="BI66" s="1" t="s">
        <v>279</v>
      </c>
      <c r="BJ66" s="1" t="s">
        <v>279</v>
      </c>
      <c r="BK66" s="1" t="s">
        <v>279</v>
      </c>
      <c r="BL66" s="1" t="s">
        <v>279</v>
      </c>
      <c r="BM66" s="1" t="s">
        <v>279</v>
      </c>
      <c r="BN66" s="1" t="s">
        <v>279</v>
      </c>
      <c r="BO66" s="1" t="s">
        <v>279</v>
      </c>
    </row>
    <row r="67" spans="2:81" ht="13.35" customHeight="1" x14ac:dyDescent="0.25">
      <c r="B67" s="2">
        <f t="shared" si="2"/>
        <v>65</v>
      </c>
      <c r="C67" s="21">
        <v>36</v>
      </c>
      <c r="D67" s="2" t="s">
        <v>274</v>
      </c>
      <c r="E67" s="2" t="s">
        <v>274</v>
      </c>
      <c r="F67" s="2" t="s">
        <v>274</v>
      </c>
      <c r="G67" s="2" t="s">
        <v>274</v>
      </c>
      <c r="H67" s="2" t="s">
        <v>274</v>
      </c>
      <c r="I67" s="2" t="s">
        <v>274</v>
      </c>
      <c r="J67" s="2" t="s">
        <v>274</v>
      </c>
      <c r="K67" s="2" t="s">
        <v>274</v>
      </c>
      <c r="L67" s="2" t="s">
        <v>274</v>
      </c>
      <c r="M67" s="2" t="s">
        <v>274</v>
      </c>
      <c r="N67" s="2" t="s">
        <v>274</v>
      </c>
      <c r="O67" s="2" t="s">
        <v>274</v>
      </c>
      <c r="P67" s="2" t="s">
        <v>274</v>
      </c>
      <c r="Q67" s="2" t="s">
        <v>274</v>
      </c>
      <c r="R67" s="2" t="s">
        <v>274</v>
      </c>
      <c r="S67" s="2" t="s">
        <v>274</v>
      </c>
      <c r="T67" s="2" t="s">
        <v>274</v>
      </c>
      <c r="U67" s="2" t="s">
        <v>274</v>
      </c>
      <c r="V67" s="2" t="s">
        <v>274</v>
      </c>
      <c r="W67" s="2" t="s">
        <v>274</v>
      </c>
      <c r="X67" s="2" t="s">
        <v>274</v>
      </c>
      <c r="Y67" s="22" t="s">
        <v>272</v>
      </c>
      <c r="Z67" s="22" t="s">
        <v>272</v>
      </c>
      <c r="AA67" s="22" t="s">
        <v>272</v>
      </c>
      <c r="AB67" s="22" t="s">
        <v>272</v>
      </c>
      <c r="AC67" s="22" t="s">
        <v>272</v>
      </c>
      <c r="AD67" s="22" t="s">
        <v>272</v>
      </c>
      <c r="AE67" s="22" t="s">
        <v>272</v>
      </c>
      <c r="AF67" s="22" t="s">
        <v>272</v>
      </c>
      <c r="AG67" s="22" t="s">
        <v>272</v>
      </c>
      <c r="AH67" s="22" t="s">
        <v>272</v>
      </c>
      <c r="AI67" s="22" t="s">
        <v>272</v>
      </c>
      <c r="AJ67" s="22" t="s">
        <v>272</v>
      </c>
      <c r="AK67" s="22" t="s">
        <v>272</v>
      </c>
      <c r="AL67" s="22" t="s">
        <v>272</v>
      </c>
      <c r="AM67" s="22" t="s">
        <v>272</v>
      </c>
      <c r="AN67" s="22" t="s">
        <v>272</v>
      </c>
      <c r="AO67" s="22" t="s">
        <v>272</v>
      </c>
      <c r="AP67" s="22" t="s">
        <v>272</v>
      </c>
      <c r="AQ67" s="22" t="s">
        <v>272</v>
      </c>
      <c r="AR67" s="22" t="s">
        <v>272</v>
      </c>
      <c r="AS67" s="22" t="s">
        <v>272</v>
      </c>
      <c r="AT67" s="22" t="s">
        <v>272</v>
      </c>
      <c r="AU67" s="22" t="s">
        <v>272</v>
      </c>
      <c r="AV67" s="22" t="s">
        <v>272</v>
      </c>
      <c r="AW67" s="22" t="s">
        <v>272</v>
      </c>
      <c r="AX67" s="1" t="s">
        <v>279</v>
      </c>
      <c r="AY67" s="1" t="s">
        <v>279</v>
      </c>
      <c r="AZ67" s="1" t="s">
        <v>279</v>
      </c>
      <c r="BA67" s="1" t="s">
        <v>279</v>
      </c>
      <c r="BB67" s="1" t="s">
        <v>279</v>
      </c>
      <c r="BC67" s="1" t="s">
        <v>279</v>
      </c>
      <c r="BD67" s="1" t="s">
        <v>279</v>
      </c>
      <c r="BE67" s="1" t="s">
        <v>279</v>
      </c>
      <c r="BF67" s="1" t="s">
        <v>279</v>
      </c>
      <c r="BG67" s="1" t="s">
        <v>279</v>
      </c>
      <c r="BH67" s="1" t="s">
        <v>279</v>
      </c>
      <c r="BI67" s="1" t="s">
        <v>279</v>
      </c>
      <c r="BJ67" s="1" t="s">
        <v>279</v>
      </c>
      <c r="BK67" s="1" t="s">
        <v>279</v>
      </c>
      <c r="BL67" s="1" t="s">
        <v>279</v>
      </c>
      <c r="BM67" s="1" t="s">
        <v>279</v>
      </c>
      <c r="BN67" s="1" t="s">
        <v>279</v>
      </c>
      <c r="BO67" s="1" t="s">
        <v>279</v>
      </c>
      <c r="BP67" s="1" t="s">
        <v>279</v>
      </c>
    </row>
    <row r="68" spans="2:81" ht="13.35" customHeight="1" x14ac:dyDescent="0.25">
      <c r="B68" s="2">
        <f t="shared" si="2"/>
        <v>66</v>
      </c>
      <c r="C68" s="21">
        <v>35</v>
      </c>
      <c r="D68" s="2" t="s">
        <v>274</v>
      </c>
      <c r="E68" s="2" t="s">
        <v>274</v>
      </c>
      <c r="F68" s="2" t="s">
        <v>274</v>
      </c>
      <c r="G68" s="2" t="s">
        <v>274</v>
      </c>
      <c r="H68" s="2" t="s">
        <v>274</v>
      </c>
      <c r="I68" s="2" t="s">
        <v>274</v>
      </c>
      <c r="J68" s="2" t="s">
        <v>274</v>
      </c>
      <c r="K68" s="2" t="s">
        <v>274</v>
      </c>
      <c r="L68" s="2" t="s">
        <v>274</v>
      </c>
      <c r="M68" s="2" t="s">
        <v>274</v>
      </c>
      <c r="N68" s="2" t="s">
        <v>274</v>
      </c>
      <c r="O68" s="2" t="s">
        <v>274</v>
      </c>
      <c r="P68" s="2" t="s">
        <v>274</v>
      </c>
      <c r="Q68" s="2" t="s">
        <v>274</v>
      </c>
      <c r="R68" s="2" t="s">
        <v>274</v>
      </c>
      <c r="S68" s="2" t="s">
        <v>274</v>
      </c>
      <c r="T68" s="2" t="s">
        <v>274</v>
      </c>
      <c r="U68" s="2" t="s">
        <v>274</v>
      </c>
      <c r="V68" s="2" t="s">
        <v>274</v>
      </c>
      <c r="W68" s="2" t="s">
        <v>274</v>
      </c>
      <c r="X68" s="2" t="s">
        <v>274</v>
      </c>
      <c r="Y68" s="22" t="s">
        <v>272</v>
      </c>
      <c r="Z68" s="22" t="s">
        <v>272</v>
      </c>
      <c r="AA68" s="22" t="s">
        <v>272</v>
      </c>
      <c r="AB68" s="22" t="s">
        <v>272</v>
      </c>
      <c r="AC68" s="22" t="s">
        <v>272</v>
      </c>
      <c r="AD68" s="22" t="s">
        <v>272</v>
      </c>
      <c r="AE68" s="22" t="s">
        <v>272</v>
      </c>
      <c r="AF68" s="22" t="s">
        <v>272</v>
      </c>
      <c r="AG68" s="22" t="s">
        <v>272</v>
      </c>
      <c r="AH68" s="22" t="s">
        <v>272</v>
      </c>
      <c r="AI68" s="22" t="s">
        <v>272</v>
      </c>
      <c r="AJ68" s="22" t="s">
        <v>272</v>
      </c>
      <c r="AK68" s="22" t="s">
        <v>272</v>
      </c>
      <c r="AL68" s="22" t="s">
        <v>272</v>
      </c>
      <c r="AM68" s="22" t="s">
        <v>272</v>
      </c>
      <c r="AN68" s="22" t="s">
        <v>272</v>
      </c>
      <c r="AO68" s="22" t="s">
        <v>272</v>
      </c>
      <c r="AP68" s="22" t="s">
        <v>272</v>
      </c>
      <c r="AQ68" s="22" t="s">
        <v>272</v>
      </c>
      <c r="AR68" s="22" t="s">
        <v>272</v>
      </c>
      <c r="AS68" s="22" t="s">
        <v>272</v>
      </c>
      <c r="AT68" s="22" t="s">
        <v>272</v>
      </c>
      <c r="AU68" s="22" t="s">
        <v>272</v>
      </c>
      <c r="AV68" s="22" t="s">
        <v>272</v>
      </c>
      <c r="AW68" s="22" t="s">
        <v>272</v>
      </c>
      <c r="AX68" s="1" t="s">
        <v>279</v>
      </c>
      <c r="AY68" s="1" t="s">
        <v>279</v>
      </c>
      <c r="AZ68" s="1" t="s">
        <v>279</v>
      </c>
      <c r="BA68" s="1" t="s">
        <v>279</v>
      </c>
      <c r="BB68" s="1" t="s">
        <v>279</v>
      </c>
      <c r="BC68" s="1" t="s">
        <v>279</v>
      </c>
      <c r="BD68" s="1" t="s">
        <v>279</v>
      </c>
      <c r="BE68" s="1" t="s">
        <v>279</v>
      </c>
      <c r="BF68" s="1" t="s">
        <v>279</v>
      </c>
      <c r="BG68" s="1" t="s">
        <v>279</v>
      </c>
      <c r="BH68" s="1" t="s">
        <v>279</v>
      </c>
      <c r="BI68" s="1" t="s">
        <v>279</v>
      </c>
      <c r="BJ68" s="1" t="s">
        <v>279</v>
      </c>
      <c r="BK68" s="1" t="s">
        <v>279</v>
      </c>
      <c r="BL68" s="1" t="s">
        <v>279</v>
      </c>
      <c r="BM68" s="1" t="s">
        <v>279</v>
      </c>
      <c r="BN68" s="1" t="s">
        <v>279</v>
      </c>
      <c r="BO68" s="1" t="s">
        <v>279</v>
      </c>
      <c r="BP68" s="1" t="s">
        <v>279</v>
      </c>
      <c r="BQ68" s="1" t="s">
        <v>279</v>
      </c>
    </row>
    <row r="69" spans="2:81" ht="13.35" customHeight="1" x14ac:dyDescent="0.25">
      <c r="B69" s="2">
        <f t="shared" ref="B69:B103" si="3">(B68+1)</f>
        <v>67</v>
      </c>
      <c r="C69" s="21">
        <v>34</v>
      </c>
      <c r="D69" s="2" t="s">
        <v>274</v>
      </c>
      <c r="E69" s="2" t="s">
        <v>274</v>
      </c>
      <c r="F69" s="2" t="s">
        <v>274</v>
      </c>
      <c r="G69" s="2" t="s">
        <v>274</v>
      </c>
      <c r="H69" s="2" t="s">
        <v>274</v>
      </c>
      <c r="I69" s="2" t="s">
        <v>274</v>
      </c>
      <c r="J69" s="2" t="s">
        <v>274</v>
      </c>
      <c r="K69" s="2" t="s">
        <v>274</v>
      </c>
      <c r="L69" s="2" t="s">
        <v>274</v>
      </c>
      <c r="M69" s="2" t="s">
        <v>274</v>
      </c>
      <c r="N69" s="2" t="s">
        <v>274</v>
      </c>
      <c r="O69" s="2" t="s">
        <v>274</v>
      </c>
      <c r="P69" s="2" t="s">
        <v>274</v>
      </c>
      <c r="Q69" s="2" t="s">
        <v>274</v>
      </c>
      <c r="R69" s="2" t="s">
        <v>274</v>
      </c>
      <c r="S69" s="2" t="s">
        <v>274</v>
      </c>
      <c r="T69" s="2" t="s">
        <v>274</v>
      </c>
      <c r="U69" s="2" t="s">
        <v>274</v>
      </c>
      <c r="V69" s="2" t="s">
        <v>274</v>
      </c>
      <c r="W69" s="2" t="s">
        <v>274</v>
      </c>
      <c r="X69" s="2" t="s">
        <v>274</v>
      </c>
      <c r="Y69" s="22" t="s">
        <v>272</v>
      </c>
      <c r="Z69" s="22" t="s">
        <v>272</v>
      </c>
      <c r="AA69" s="22" t="s">
        <v>272</v>
      </c>
      <c r="AB69" s="22" t="s">
        <v>272</v>
      </c>
      <c r="AC69" s="22" t="s">
        <v>272</v>
      </c>
      <c r="AD69" s="22" t="s">
        <v>272</v>
      </c>
      <c r="AE69" s="22" t="s">
        <v>272</v>
      </c>
      <c r="AF69" s="22" t="s">
        <v>272</v>
      </c>
      <c r="AG69" s="22" t="s">
        <v>272</v>
      </c>
      <c r="AH69" s="22" t="s">
        <v>272</v>
      </c>
      <c r="AI69" s="22" t="s">
        <v>272</v>
      </c>
      <c r="AJ69" s="22" t="s">
        <v>272</v>
      </c>
      <c r="AK69" s="22" t="s">
        <v>272</v>
      </c>
      <c r="AL69" s="22" t="s">
        <v>272</v>
      </c>
      <c r="AM69" s="22" t="s">
        <v>272</v>
      </c>
      <c r="AN69" s="22" t="s">
        <v>272</v>
      </c>
      <c r="AO69" s="22" t="s">
        <v>272</v>
      </c>
      <c r="AP69" s="22" t="s">
        <v>272</v>
      </c>
      <c r="AQ69" s="22" t="s">
        <v>272</v>
      </c>
      <c r="AR69" s="22" t="s">
        <v>272</v>
      </c>
      <c r="AS69" s="22" t="s">
        <v>272</v>
      </c>
      <c r="AT69" s="22" t="s">
        <v>272</v>
      </c>
      <c r="AU69" s="22" t="s">
        <v>272</v>
      </c>
      <c r="AV69" s="22" t="s">
        <v>272</v>
      </c>
      <c r="AW69" s="22" t="s">
        <v>272</v>
      </c>
      <c r="AX69" s="23" t="s">
        <v>270</v>
      </c>
      <c r="AY69" s="23" t="s">
        <v>270</v>
      </c>
      <c r="AZ69" s="23" t="s">
        <v>270</v>
      </c>
      <c r="BA69" s="23" t="s">
        <v>270</v>
      </c>
      <c r="BB69" s="23" t="s">
        <v>270</v>
      </c>
      <c r="BC69" s="23" t="s">
        <v>270</v>
      </c>
      <c r="BD69" s="23" t="s">
        <v>270</v>
      </c>
      <c r="BE69" s="23" t="s">
        <v>270</v>
      </c>
      <c r="BF69" s="23" t="s">
        <v>270</v>
      </c>
      <c r="BG69" s="23" t="s">
        <v>270</v>
      </c>
      <c r="BH69" s="23" t="s">
        <v>270</v>
      </c>
      <c r="BI69" s="23" t="s">
        <v>270</v>
      </c>
      <c r="BJ69" s="23" t="s">
        <v>270</v>
      </c>
      <c r="BK69" s="23" t="s">
        <v>270</v>
      </c>
      <c r="BL69" s="23" t="s">
        <v>270</v>
      </c>
      <c r="BM69" s="23" t="s">
        <v>270</v>
      </c>
      <c r="BN69" s="23" t="s">
        <v>270</v>
      </c>
      <c r="BO69" s="23" t="s">
        <v>270</v>
      </c>
      <c r="BP69" s="23" t="s">
        <v>270</v>
      </c>
      <c r="BQ69" s="23" t="s">
        <v>270</v>
      </c>
      <c r="BR69" s="23" t="s">
        <v>270</v>
      </c>
    </row>
    <row r="70" spans="2:81" ht="13.35" customHeight="1" x14ac:dyDescent="0.25">
      <c r="B70" s="2">
        <f t="shared" si="3"/>
        <v>68</v>
      </c>
      <c r="C70" s="21">
        <v>33</v>
      </c>
      <c r="D70" s="2" t="s">
        <v>274</v>
      </c>
      <c r="E70" s="2" t="s">
        <v>274</v>
      </c>
      <c r="F70" s="2" t="s">
        <v>274</v>
      </c>
      <c r="G70" s="2" t="s">
        <v>274</v>
      </c>
      <c r="H70" s="2" t="s">
        <v>274</v>
      </c>
      <c r="I70" s="2" t="s">
        <v>274</v>
      </c>
      <c r="J70" s="2" t="s">
        <v>274</v>
      </c>
      <c r="K70" s="2" t="s">
        <v>274</v>
      </c>
      <c r="L70" s="2" t="s">
        <v>274</v>
      </c>
      <c r="M70" s="2" t="s">
        <v>274</v>
      </c>
      <c r="N70" s="2" t="s">
        <v>274</v>
      </c>
      <c r="O70" s="2" t="s">
        <v>274</v>
      </c>
      <c r="P70" s="2" t="s">
        <v>274</v>
      </c>
      <c r="Q70" s="2" t="s">
        <v>274</v>
      </c>
      <c r="R70" s="2" t="s">
        <v>274</v>
      </c>
      <c r="S70" s="2" t="s">
        <v>274</v>
      </c>
      <c r="T70" s="2" t="s">
        <v>274</v>
      </c>
      <c r="U70" s="2" t="s">
        <v>274</v>
      </c>
      <c r="V70" s="2" t="s">
        <v>274</v>
      </c>
      <c r="W70" s="2" t="s">
        <v>274</v>
      </c>
      <c r="X70" s="2" t="s">
        <v>274</v>
      </c>
      <c r="Y70" s="22" t="s">
        <v>272</v>
      </c>
      <c r="Z70" s="22" t="s">
        <v>272</v>
      </c>
      <c r="AA70" s="22" t="s">
        <v>272</v>
      </c>
      <c r="AB70" s="22" t="s">
        <v>272</v>
      </c>
      <c r="AC70" s="22" t="s">
        <v>272</v>
      </c>
      <c r="AD70" s="22" t="s">
        <v>272</v>
      </c>
      <c r="AE70" s="22" t="s">
        <v>272</v>
      </c>
      <c r="AF70" s="22" t="s">
        <v>272</v>
      </c>
      <c r="AG70" s="22" t="s">
        <v>272</v>
      </c>
      <c r="AH70" s="22" t="s">
        <v>272</v>
      </c>
      <c r="AI70" s="22" t="s">
        <v>272</v>
      </c>
      <c r="AJ70" s="22" t="s">
        <v>272</v>
      </c>
      <c r="AK70" s="22" t="s">
        <v>272</v>
      </c>
      <c r="AL70" s="22" t="s">
        <v>272</v>
      </c>
      <c r="AM70" s="22" t="s">
        <v>272</v>
      </c>
      <c r="AN70" s="22" t="s">
        <v>272</v>
      </c>
      <c r="AO70" s="22" t="s">
        <v>272</v>
      </c>
      <c r="AP70" s="22" t="s">
        <v>272</v>
      </c>
      <c r="AQ70" s="22" t="s">
        <v>272</v>
      </c>
      <c r="AR70" s="22" t="s">
        <v>272</v>
      </c>
      <c r="AS70" s="22" t="s">
        <v>272</v>
      </c>
      <c r="AT70" s="22" t="s">
        <v>272</v>
      </c>
      <c r="AU70" s="22" t="s">
        <v>272</v>
      </c>
      <c r="AV70" s="22" t="s">
        <v>272</v>
      </c>
      <c r="AW70" s="22" t="s">
        <v>272</v>
      </c>
      <c r="AX70" s="23" t="s">
        <v>270</v>
      </c>
      <c r="AY70" s="23" t="s">
        <v>270</v>
      </c>
      <c r="AZ70" s="23" t="s">
        <v>270</v>
      </c>
      <c r="BA70" s="23" t="s">
        <v>270</v>
      </c>
      <c r="BB70" s="23" t="s">
        <v>270</v>
      </c>
      <c r="BC70" s="23" t="s">
        <v>270</v>
      </c>
      <c r="BD70" s="23" t="s">
        <v>270</v>
      </c>
      <c r="BE70" s="23" t="s">
        <v>270</v>
      </c>
      <c r="BF70" s="23" t="s">
        <v>270</v>
      </c>
      <c r="BG70" s="23" t="s">
        <v>270</v>
      </c>
      <c r="BH70" s="23" t="s">
        <v>270</v>
      </c>
      <c r="BI70" s="23" t="s">
        <v>270</v>
      </c>
      <c r="BJ70" s="23" t="s">
        <v>270</v>
      </c>
      <c r="BK70" s="23" t="s">
        <v>270</v>
      </c>
      <c r="BL70" s="23" t="s">
        <v>270</v>
      </c>
      <c r="BM70" s="23" t="s">
        <v>270</v>
      </c>
      <c r="BN70" s="23" t="s">
        <v>270</v>
      </c>
      <c r="BO70" s="23" t="s">
        <v>270</v>
      </c>
      <c r="BP70" s="23" t="s">
        <v>270</v>
      </c>
      <c r="BQ70" s="23" t="s">
        <v>270</v>
      </c>
      <c r="BR70" s="23" t="s">
        <v>270</v>
      </c>
      <c r="BS70" s="23" t="s">
        <v>270</v>
      </c>
    </row>
    <row r="71" spans="2:81" ht="13.35" customHeight="1" x14ac:dyDescent="0.25">
      <c r="B71" s="2">
        <f t="shared" si="3"/>
        <v>69</v>
      </c>
      <c r="C71" s="21">
        <v>32</v>
      </c>
      <c r="D71" s="2" t="s">
        <v>274</v>
      </c>
      <c r="E71" s="2" t="s">
        <v>274</v>
      </c>
      <c r="F71" s="2" t="s">
        <v>274</v>
      </c>
      <c r="G71" s="2" t="s">
        <v>274</v>
      </c>
      <c r="H71" s="2" t="s">
        <v>274</v>
      </c>
      <c r="I71" s="2" t="s">
        <v>274</v>
      </c>
      <c r="J71" s="2" t="s">
        <v>274</v>
      </c>
      <c r="K71" s="2" t="s">
        <v>274</v>
      </c>
      <c r="L71" s="2" t="s">
        <v>274</v>
      </c>
      <c r="M71" s="2" t="s">
        <v>274</v>
      </c>
      <c r="N71" s="2" t="s">
        <v>274</v>
      </c>
      <c r="O71" s="2" t="s">
        <v>274</v>
      </c>
      <c r="P71" s="2" t="s">
        <v>274</v>
      </c>
      <c r="Q71" s="2" t="s">
        <v>274</v>
      </c>
      <c r="R71" s="2" t="s">
        <v>274</v>
      </c>
      <c r="S71" s="2" t="s">
        <v>274</v>
      </c>
      <c r="T71" s="2" t="s">
        <v>274</v>
      </c>
      <c r="U71" s="2" t="s">
        <v>274</v>
      </c>
      <c r="V71" s="2" t="s">
        <v>274</v>
      </c>
      <c r="W71" s="2" t="s">
        <v>274</v>
      </c>
      <c r="X71" s="2" t="s">
        <v>274</v>
      </c>
      <c r="Y71" s="22" t="s">
        <v>272</v>
      </c>
      <c r="Z71" s="22" t="s">
        <v>272</v>
      </c>
      <c r="AA71" s="22" t="s">
        <v>272</v>
      </c>
      <c r="AB71" s="22" t="s">
        <v>272</v>
      </c>
      <c r="AC71" s="22" t="s">
        <v>272</v>
      </c>
      <c r="AD71" s="22" t="s">
        <v>272</v>
      </c>
      <c r="AE71" s="22" t="s">
        <v>272</v>
      </c>
      <c r="AF71" s="22" t="s">
        <v>272</v>
      </c>
      <c r="AG71" s="22" t="s">
        <v>272</v>
      </c>
      <c r="AH71" s="22" t="s">
        <v>272</v>
      </c>
      <c r="AI71" s="22" t="s">
        <v>272</v>
      </c>
      <c r="AJ71" s="22" t="s">
        <v>272</v>
      </c>
      <c r="AK71" s="22" t="s">
        <v>272</v>
      </c>
      <c r="AL71" s="22" t="s">
        <v>272</v>
      </c>
      <c r="AM71" s="22" t="s">
        <v>272</v>
      </c>
      <c r="AN71" s="22" t="s">
        <v>272</v>
      </c>
      <c r="AO71" s="22" t="s">
        <v>272</v>
      </c>
      <c r="AP71" s="22" t="s">
        <v>272</v>
      </c>
      <c r="AQ71" s="22" t="s">
        <v>272</v>
      </c>
      <c r="AR71" s="22" t="s">
        <v>272</v>
      </c>
      <c r="AS71" s="22" t="s">
        <v>272</v>
      </c>
      <c r="AT71" s="22" t="s">
        <v>272</v>
      </c>
      <c r="AU71" s="22" t="s">
        <v>272</v>
      </c>
      <c r="AV71" s="22" t="s">
        <v>272</v>
      </c>
      <c r="AW71" s="22" t="s">
        <v>272</v>
      </c>
      <c r="AX71" s="23" t="s">
        <v>270</v>
      </c>
      <c r="AY71" s="23" t="s">
        <v>270</v>
      </c>
      <c r="AZ71" s="23" t="s">
        <v>270</v>
      </c>
      <c r="BA71" s="23" t="s">
        <v>270</v>
      </c>
      <c r="BB71" s="23" t="s">
        <v>270</v>
      </c>
      <c r="BC71" s="23" t="s">
        <v>270</v>
      </c>
      <c r="BD71" s="23" t="s">
        <v>270</v>
      </c>
      <c r="BE71" s="23" t="s">
        <v>270</v>
      </c>
      <c r="BF71" s="23" t="s">
        <v>270</v>
      </c>
      <c r="BG71" s="23" t="s">
        <v>270</v>
      </c>
      <c r="BH71" s="23" t="s">
        <v>270</v>
      </c>
      <c r="BI71" s="23" t="s">
        <v>270</v>
      </c>
      <c r="BJ71" s="23" t="s">
        <v>270</v>
      </c>
      <c r="BK71" s="23" t="s">
        <v>270</v>
      </c>
      <c r="BL71" s="23" t="s">
        <v>270</v>
      </c>
      <c r="BM71" s="23" t="s">
        <v>270</v>
      </c>
      <c r="BN71" s="23" t="s">
        <v>270</v>
      </c>
      <c r="BO71" s="23" t="s">
        <v>270</v>
      </c>
      <c r="BP71" s="23" t="s">
        <v>270</v>
      </c>
      <c r="BQ71" s="23" t="s">
        <v>270</v>
      </c>
      <c r="BR71" s="23" t="s">
        <v>270</v>
      </c>
      <c r="BS71" s="23" t="s">
        <v>270</v>
      </c>
      <c r="BT71" s="23" t="s">
        <v>270</v>
      </c>
    </row>
    <row r="72" spans="2:81" ht="13.35" customHeight="1" x14ac:dyDescent="0.25">
      <c r="B72" s="2">
        <f t="shared" si="3"/>
        <v>70</v>
      </c>
      <c r="C72" s="21">
        <v>31</v>
      </c>
      <c r="D72" s="2" t="s">
        <v>274</v>
      </c>
      <c r="E72" s="2" t="s">
        <v>274</v>
      </c>
      <c r="F72" s="2" t="s">
        <v>274</v>
      </c>
      <c r="G72" s="2" t="s">
        <v>274</v>
      </c>
      <c r="H72" s="2" t="s">
        <v>274</v>
      </c>
      <c r="I72" s="2" t="s">
        <v>274</v>
      </c>
      <c r="J72" s="2" t="s">
        <v>274</v>
      </c>
      <c r="K72" s="2" t="s">
        <v>274</v>
      </c>
      <c r="L72" s="2" t="s">
        <v>274</v>
      </c>
      <c r="M72" s="2" t="s">
        <v>274</v>
      </c>
      <c r="N72" s="2" t="s">
        <v>274</v>
      </c>
      <c r="O72" s="2" t="s">
        <v>274</v>
      </c>
      <c r="P72" s="2" t="s">
        <v>274</v>
      </c>
      <c r="Q72" s="2" t="s">
        <v>274</v>
      </c>
      <c r="R72" s="2" t="s">
        <v>274</v>
      </c>
      <c r="S72" s="2" t="s">
        <v>274</v>
      </c>
      <c r="T72" s="2" t="s">
        <v>274</v>
      </c>
      <c r="U72" s="2" t="s">
        <v>274</v>
      </c>
      <c r="V72" s="2" t="s">
        <v>274</v>
      </c>
      <c r="W72" s="2" t="s">
        <v>274</v>
      </c>
      <c r="X72" s="2" t="s">
        <v>274</v>
      </c>
      <c r="Y72" s="22" t="s">
        <v>272</v>
      </c>
      <c r="Z72" s="22" t="s">
        <v>272</v>
      </c>
      <c r="AA72" s="22" t="s">
        <v>272</v>
      </c>
      <c r="AB72" s="22" t="s">
        <v>272</v>
      </c>
      <c r="AC72" s="22" t="s">
        <v>272</v>
      </c>
      <c r="AD72" s="22" t="s">
        <v>272</v>
      </c>
      <c r="AE72" s="22" t="s">
        <v>272</v>
      </c>
      <c r="AF72" s="22" t="s">
        <v>272</v>
      </c>
      <c r="AG72" s="22" t="s">
        <v>272</v>
      </c>
      <c r="AH72" s="22" t="s">
        <v>272</v>
      </c>
      <c r="AI72" s="22" t="s">
        <v>272</v>
      </c>
      <c r="AJ72" s="22" t="s">
        <v>272</v>
      </c>
      <c r="AK72" s="22" t="s">
        <v>272</v>
      </c>
      <c r="AL72" s="22" t="s">
        <v>272</v>
      </c>
      <c r="AM72" s="22" t="s">
        <v>272</v>
      </c>
      <c r="AN72" s="22" t="s">
        <v>272</v>
      </c>
      <c r="AO72" s="22" t="s">
        <v>272</v>
      </c>
      <c r="AP72" s="22" t="s">
        <v>272</v>
      </c>
      <c r="AQ72" s="22" t="s">
        <v>272</v>
      </c>
      <c r="AR72" s="22" t="s">
        <v>272</v>
      </c>
      <c r="AS72" s="22" t="s">
        <v>272</v>
      </c>
      <c r="AT72" s="22" t="s">
        <v>272</v>
      </c>
      <c r="AU72" s="22" t="s">
        <v>272</v>
      </c>
      <c r="AV72" s="22" t="s">
        <v>272</v>
      </c>
      <c r="AW72" s="22" t="s">
        <v>272</v>
      </c>
      <c r="AX72" s="23" t="s">
        <v>270</v>
      </c>
      <c r="AY72" s="23" t="s">
        <v>270</v>
      </c>
      <c r="AZ72" s="23" t="s">
        <v>270</v>
      </c>
      <c r="BA72" s="23" t="s">
        <v>270</v>
      </c>
      <c r="BB72" s="23" t="s">
        <v>270</v>
      </c>
      <c r="BC72" s="23" t="s">
        <v>270</v>
      </c>
      <c r="BD72" s="23" t="s">
        <v>270</v>
      </c>
      <c r="BE72" s="23" t="s">
        <v>270</v>
      </c>
      <c r="BF72" s="23" t="s">
        <v>270</v>
      </c>
      <c r="BG72" s="23" t="s">
        <v>270</v>
      </c>
      <c r="BH72" s="23" t="s">
        <v>270</v>
      </c>
      <c r="BI72" s="23" t="s">
        <v>270</v>
      </c>
      <c r="BJ72" s="23" t="s">
        <v>270</v>
      </c>
      <c r="BK72" s="23" t="s">
        <v>270</v>
      </c>
      <c r="BL72" s="23" t="s">
        <v>270</v>
      </c>
      <c r="BM72" s="23" t="s">
        <v>270</v>
      </c>
      <c r="BN72" s="23" t="s">
        <v>270</v>
      </c>
      <c r="BO72" s="23" t="s">
        <v>270</v>
      </c>
      <c r="BP72" s="23" t="s">
        <v>270</v>
      </c>
      <c r="BQ72" s="23" t="s">
        <v>270</v>
      </c>
      <c r="BR72" s="23" t="s">
        <v>270</v>
      </c>
      <c r="BS72" s="23" t="s">
        <v>270</v>
      </c>
      <c r="BT72" s="23" t="s">
        <v>270</v>
      </c>
      <c r="BU72" s="23" t="s">
        <v>270</v>
      </c>
    </row>
    <row r="73" spans="2:81" ht="13.35" customHeight="1" x14ac:dyDescent="0.25">
      <c r="B73" s="2">
        <f t="shared" si="3"/>
        <v>71</v>
      </c>
      <c r="C73" s="21">
        <v>30</v>
      </c>
      <c r="D73" s="2" t="s">
        <v>274</v>
      </c>
      <c r="E73" s="2" t="s">
        <v>274</v>
      </c>
      <c r="F73" s="2" t="s">
        <v>274</v>
      </c>
      <c r="G73" s="2" t="s">
        <v>274</v>
      </c>
      <c r="H73" s="2" t="s">
        <v>274</v>
      </c>
      <c r="I73" s="2" t="s">
        <v>274</v>
      </c>
      <c r="J73" s="2" t="s">
        <v>274</v>
      </c>
      <c r="K73" s="2" t="s">
        <v>274</v>
      </c>
      <c r="L73" s="2" t="s">
        <v>274</v>
      </c>
      <c r="M73" s="2" t="s">
        <v>274</v>
      </c>
      <c r="N73" s="2" t="s">
        <v>274</v>
      </c>
      <c r="O73" s="2" t="s">
        <v>274</v>
      </c>
      <c r="P73" s="2" t="s">
        <v>274</v>
      </c>
      <c r="Q73" s="2" t="s">
        <v>274</v>
      </c>
      <c r="R73" s="2" t="s">
        <v>274</v>
      </c>
      <c r="S73" s="2" t="s">
        <v>274</v>
      </c>
      <c r="T73" s="2" t="s">
        <v>274</v>
      </c>
      <c r="U73" s="2" t="s">
        <v>274</v>
      </c>
      <c r="V73" s="2" t="s">
        <v>274</v>
      </c>
      <c r="W73" s="2" t="s">
        <v>274</v>
      </c>
      <c r="X73" s="2" t="s">
        <v>274</v>
      </c>
      <c r="Y73" s="22" t="s">
        <v>272</v>
      </c>
      <c r="Z73" s="22" t="s">
        <v>272</v>
      </c>
      <c r="AA73" s="22" t="s">
        <v>272</v>
      </c>
      <c r="AB73" s="22" t="s">
        <v>272</v>
      </c>
      <c r="AC73" s="22" t="s">
        <v>272</v>
      </c>
      <c r="AD73" s="22" t="s">
        <v>272</v>
      </c>
      <c r="AE73" s="22" t="s">
        <v>272</v>
      </c>
      <c r="AF73" s="22" t="s">
        <v>272</v>
      </c>
      <c r="AG73" s="22" t="s">
        <v>272</v>
      </c>
      <c r="AH73" s="22" t="s">
        <v>272</v>
      </c>
      <c r="AI73" s="22" t="s">
        <v>272</v>
      </c>
      <c r="AJ73" s="22" t="s">
        <v>272</v>
      </c>
      <c r="AK73" s="22" t="s">
        <v>272</v>
      </c>
      <c r="AL73" s="22" t="s">
        <v>272</v>
      </c>
      <c r="AM73" s="22" t="s">
        <v>272</v>
      </c>
      <c r="AN73" s="22" t="s">
        <v>272</v>
      </c>
      <c r="AO73" s="22" t="s">
        <v>272</v>
      </c>
      <c r="AP73" s="22" t="s">
        <v>272</v>
      </c>
      <c r="AQ73" s="22" t="s">
        <v>272</v>
      </c>
      <c r="AR73" s="22" t="s">
        <v>272</v>
      </c>
      <c r="AS73" s="22" t="s">
        <v>272</v>
      </c>
      <c r="AT73" s="22" t="s">
        <v>272</v>
      </c>
      <c r="AU73" s="22" t="s">
        <v>272</v>
      </c>
      <c r="AV73" s="22" t="s">
        <v>272</v>
      </c>
      <c r="AW73" s="22" t="s">
        <v>272</v>
      </c>
      <c r="AX73" s="23" t="s">
        <v>270</v>
      </c>
      <c r="AY73" s="23" t="s">
        <v>270</v>
      </c>
      <c r="AZ73" s="23" t="s">
        <v>270</v>
      </c>
      <c r="BA73" s="23" t="s">
        <v>270</v>
      </c>
      <c r="BB73" s="23" t="s">
        <v>270</v>
      </c>
      <c r="BC73" s="23" t="s">
        <v>270</v>
      </c>
      <c r="BD73" s="23" t="s">
        <v>270</v>
      </c>
      <c r="BE73" s="23" t="s">
        <v>270</v>
      </c>
      <c r="BF73" s="23" t="s">
        <v>270</v>
      </c>
      <c r="BG73" s="23" t="s">
        <v>270</v>
      </c>
      <c r="BH73" s="23" t="s">
        <v>270</v>
      </c>
      <c r="BI73" s="23" t="s">
        <v>270</v>
      </c>
      <c r="BJ73" s="23" t="s">
        <v>270</v>
      </c>
      <c r="BK73" s="23" t="s">
        <v>270</v>
      </c>
      <c r="BL73" s="23" t="s">
        <v>270</v>
      </c>
      <c r="BM73" s="23" t="s">
        <v>270</v>
      </c>
      <c r="BN73" s="23" t="s">
        <v>270</v>
      </c>
      <c r="BO73" s="23" t="s">
        <v>270</v>
      </c>
      <c r="BP73" s="23" t="s">
        <v>270</v>
      </c>
      <c r="BQ73" s="23" t="s">
        <v>270</v>
      </c>
      <c r="BR73" s="23" t="s">
        <v>270</v>
      </c>
      <c r="BS73" s="23" t="s">
        <v>270</v>
      </c>
      <c r="BT73" s="23" t="s">
        <v>270</v>
      </c>
      <c r="BU73" s="23" t="s">
        <v>270</v>
      </c>
      <c r="BV73" s="23" t="s">
        <v>270</v>
      </c>
    </row>
    <row r="74" spans="2:81" ht="13.35" customHeight="1" x14ac:dyDescent="0.25">
      <c r="B74" s="2">
        <f t="shared" si="3"/>
        <v>72</v>
      </c>
      <c r="C74" s="21">
        <v>29</v>
      </c>
      <c r="D74" s="2" t="s">
        <v>274</v>
      </c>
      <c r="E74" s="2" t="s">
        <v>274</v>
      </c>
      <c r="F74" s="2" t="s">
        <v>274</v>
      </c>
      <c r="G74" s="2" t="s">
        <v>274</v>
      </c>
      <c r="H74" s="2" t="s">
        <v>274</v>
      </c>
      <c r="I74" s="2" t="s">
        <v>274</v>
      </c>
      <c r="J74" s="2" t="s">
        <v>274</v>
      </c>
      <c r="K74" s="2" t="s">
        <v>274</v>
      </c>
      <c r="L74" s="2" t="s">
        <v>274</v>
      </c>
      <c r="M74" s="2" t="s">
        <v>274</v>
      </c>
      <c r="N74" s="2" t="s">
        <v>274</v>
      </c>
      <c r="O74" s="2" t="s">
        <v>274</v>
      </c>
      <c r="P74" s="2" t="s">
        <v>274</v>
      </c>
      <c r="Q74" s="2" t="s">
        <v>274</v>
      </c>
      <c r="R74" s="2" t="s">
        <v>274</v>
      </c>
      <c r="S74" s="2" t="s">
        <v>274</v>
      </c>
      <c r="T74" s="2" t="s">
        <v>274</v>
      </c>
      <c r="U74" s="2" t="s">
        <v>274</v>
      </c>
      <c r="V74" s="2" t="s">
        <v>274</v>
      </c>
      <c r="W74" s="2" t="s">
        <v>274</v>
      </c>
      <c r="X74" s="2" t="s">
        <v>274</v>
      </c>
      <c r="Y74" s="22" t="s">
        <v>272</v>
      </c>
      <c r="Z74" s="22" t="s">
        <v>272</v>
      </c>
      <c r="AA74" s="22" t="s">
        <v>272</v>
      </c>
      <c r="AB74" s="22" t="s">
        <v>272</v>
      </c>
      <c r="AC74" s="22" t="s">
        <v>272</v>
      </c>
      <c r="AD74" s="22" t="s">
        <v>272</v>
      </c>
      <c r="AE74" s="22" t="s">
        <v>272</v>
      </c>
      <c r="AF74" s="22" t="s">
        <v>272</v>
      </c>
      <c r="AG74" s="22" t="s">
        <v>272</v>
      </c>
      <c r="AH74" s="22" t="s">
        <v>272</v>
      </c>
      <c r="AI74" s="22" t="s">
        <v>272</v>
      </c>
      <c r="AJ74" s="22" t="s">
        <v>272</v>
      </c>
      <c r="AK74" s="22" t="s">
        <v>272</v>
      </c>
      <c r="AL74" s="22" t="s">
        <v>272</v>
      </c>
      <c r="AM74" s="22" t="s">
        <v>272</v>
      </c>
      <c r="AN74" s="22" t="s">
        <v>272</v>
      </c>
      <c r="AO74" s="22" t="s">
        <v>272</v>
      </c>
      <c r="AP74" s="22" t="s">
        <v>272</v>
      </c>
      <c r="AQ74" s="22" t="s">
        <v>272</v>
      </c>
      <c r="AR74" s="22" t="s">
        <v>272</v>
      </c>
      <c r="AS74" s="22" t="s">
        <v>272</v>
      </c>
      <c r="AT74" s="22" t="s">
        <v>272</v>
      </c>
      <c r="AU74" s="22" t="s">
        <v>272</v>
      </c>
      <c r="AV74" s="22" t="s">
        <v>272</v>
      </c>
      <c r="AW74" s="22" t="s">
        <v>272</v>
      </c>
      <c r="AX74" s="23" t="s">
        <v>270</v>
      </c>
      <c r="AY74" s="23" t="s">
        <v>270</v>
      </c>
      <c r="AZ74" s="23" t="s">
        <v>270</v>
      </c>
      <c r="BA74" s="23" t="s">
        <v>270</v>
      </c>
      <c r="BB74" s="23" t="s">
        <v>270</v>
      </c>
      <c r="BC74" s="23" t="s">
        <v>270</v>
      </c>
      <c r="BD74" s="23" t="s">
        <v>270</v>
      </c>
      <c r="BE74" s="23" t="s">
        <v>270</v>
      </c>
      <c r="BF74" s="23" t="s">
        <v>270</v>
      </c>
      <c r="BG74" s="23" t="s">
        <v>270</v>
      </c>
      <c r="BH74" s="23" t="s">
        <v>270</v>
      </c>
      <c r="BI74" s="23" t="s">
        <v>270</v>
      </c>
      <c r="BJ74" s="23" t="s">
        <v>270</v>
      </c>
      <c r="BK74" s="23" t="s">
        <v>270</v>
      </c>
      <c r="BL74" s="23" t="s">
        <v>270</v>
      </c>
      <c r="BM74" s="23" t="s">
        <v>270</v>
      </c>
      <c r="BN74" s="23" t="s">
        <v>270</v>
      </c>
      <c r="BO74" s="23" t="s">
        <v>270</v>
      </c>
      <c r="BP74" s="23" t="s">
        <v>270</v>
      </c>
      <c r="BQ74" s="23" t="s">
        <v>270</v>
      </c>
      <c r="BR74" s="23" t="s">
        <v>270</v>
      </c>
      <c r="BS74" s="23" t="s">
        <v>270</v>
      </c>
      <c r="BT74" s="23" t="s">
        <v>270</v>
      </c>
      <c r="BU74" s="23" t="s">
        <v>270</v>
      </c>
      <c r="BV74" s="23" t="s">
        <v>270</v>
      </c>
      <c r="BW74" s="23" t="s">
        <v>270</v>
      </c>
    </row>
    <row r="75" spans="2:81" ht="13.35" customHeight="1" x14ac:dyDescent="0.25">
      <c r="B75" s="2">
        <f t="shared" si="3"/>
        <v>73</v>
      </c>
      <c r="C75" s="21">
        <v>28</v>
      </c>
      <c r="D75" s="2" t="s">
        <v>274</v>
      </c>
      <c r="E75" s="2" t="s">
        <v>274</v>
      </c>
      <c r="F75" s="2" t="s">
        <v>274</v>
      </c>
      <c r="G75" s="2" t="s">
        <v>274</v>
      </c>
      <c r="H75" s="2" t="s">
        <v>274</v>
      </c>
      <c r="I75" s="2" t="s">
        <v>274</v>
      </c>
      <c r="J75" s="2" t="s">
        <v>274</v>
      </c>
      <c r="K75" s="2" t="s">
        <v>274</v>
      </c>
      <c r="L75" s="2" t="s">
        <v>274</v>
      </c>
      <c r="M75" s="2" t="s">
        <v>274</v>
      </c>
      <c r="N75" s="2" t="s">
        <v>274</v>
      </c>
      <c r="O75" s="2" t="s">
        <v>274</v>
      </c>
      <c r="P75" s="2" t="s">
        <v>274</v>
      </c>
      <c r="Q75" s="2" t="s">
        <v>274</v>
      </c>
      <c r="R75" s="2" t="s">
        <v>274</v>
      </c>
      <c r="S75" s="2" t="s">
        <v>274</v>
      </c>
      <c r="T75" s="2" t="s">
        <v>274</v>
      </c>
      <c r="U75" s="2" t="s">
        <v>274</v>
      </c>
      <c r="V75" s="2" t="s">
        <v>274</v>
      </c>
      <c r="W75" s="2" t="s">
        <v>274</v>
      </c>
      <c r="X75" s="2" t="s">
        <v>274</v>
      </c>
      <c r="Y75" s="22" t="s">
        <v>272</v>
      </c>
      <c r="Z75" s="22" t="s">
        <v>272</v>
      </c>
      <c r="AA75" s="22" t="s">
        <v>272</v>
      </c>
      <c r="AB75" s="22" t="s">
        <v>272</v>
      </c>
      <c r="AC75" s="22" t="s">
        <v>272</v>
      </c>
      <c r="AD75" s="22" t="s">
        <v>272</v>
      </c>
      <c r="AE75" s="22" t="s">
        <v>272</v>
      </c>
      <c r="AF75" s="22" t="s">
        <v>272</v>
      </c>
      <c r="AG75" s="22" t="s">
        <v>272</v>
      </c>
      <c r="AH75" s="22" t="s">
        <v>272</v>
      </c>
      <c r="AI75" s="22" t="s">
        <v>272</v>
      </c>
      <c r="AJ75" s="22" t="s">
        <v>272</v>
      </c>
      <c r="AK75" s="22" t="s">
        <v>272</v>
      </c>
      <c r="AL75" s="22" t="s">
        <v>272</v>
      </c>
      <c r="AM75" s="22" t="s">
        <v>272</v>
      </c>
      <c r="AN75" s="22" t="s">
        <v>272</v>
      </c>
      <c r="AO75" s="22" t="s">
        <v>272</v>
      </c>
      <c r="AP75" s="22" t="s">
        <v>272</v>
      </c>
      <c r="AQ75" s="22" t="s">
        <v>272</v>
      </c>
      <c r="AR75" s="22" t="s">
        <v>272</v>
      </c>
      <c r="AS75" s="22" t="s">
        <v>272</v>
      </c>
      <c r="AT75" s="22" t="s">
        <v>272</v>
      </c>
      <c r="AU75" s="22" t="s">
        <v>272</v>
      </c>
      <c r="AV75" s="22" t="s">
        <v>272</v>
      </c>
      <c r="AW75" s="22" t="s">
        <v>272</v>
      </c>
      <c r="AX75" s="23" t="s">
        <v>270</v>
      </c>
      <c r="AY75" s="23" t="s">
        <v>270</v>
      </c>
      <c r="AZ75" s="23" t="s">
        <v>270</v>
      </c>
      <c r="BA75" s="23" t="s">
        <v>270</v>
      </c>
      <c r="BB75" s="23" t="s">
        <v>270</v>
      </c>
      <c r="BC75" s="23" t="s">
        <v>270</v>
      </c>
      <c r="BD75" s="23" t="s">
        <v>270</v>
      </c>
      <c r="BE75" s="23" t="s">
        <v>270</v>
      </c>
      <c r="BF75" s="23" t="s">
        <v>270</v>
      </c>
      <c r="BG75" s="23" t="s">
        <v>270</v>
      </c>
      <c r="BH75" s="23" t="s">
        <v>270</v>
      </c>
      <c r="BI75" s="23" t="s">
        <v>270</v>
      </c>
      <c r="BJ75" s="23" t="s">
        <v>270</v>
      </c>
      <c r="BK75" s="23" t="s">
        <v>270</v>
      </c>
      <c r="BL75" s="23" t="s">
        <v>270</v>
      </c>
      <c r="BM75" s="23" t="s">
        <v>270</v>
      </c>
      <c r="BN75" s="23" t="s">
        <v>270</v>
      </c>
      <c r="BO75" s="23" t="s">
        <v>270</v>
      </c>
      <c r="BP75" s="23" t="s">
        <v>270</v>
      </c>
      <c r="BQ75" s="23" t="s">
        <v>270</v>
      </c>
      <c r="BR75" s="23" t="s">
        <v>270</v>
      </c>
      <c r="BS75" s="23" t="s">
        <v>270</v>
      </c>
      <c r="BT75" s="23" t="s">
        <v>270</v>
      </c>
      <c r="BU75" s="23" t="s">
        <v>270</v>
      </c>
      <c r="BV75" s="23" t="s">
        <v>270</v>
      </c>
      <c r="BW75" s="23" t="s">
        <v>270</v>
      </c>
      <c r="BX75" s="23" t="s">
        <v>270</v>
      </c>
    </row>
    <row r="76" spans="2:81" ht="13.35" customHeight="1" x14ac:dyDescent="0.25">
      <c r="B76" s="2">
        <f t="shared" si="3"/>
        <v>74</v>
      </c>
      <c r="C76" s="21">
        <v>27</v>
      </c>
      <c r="D76" s="19" t="s">
        <v>268</v>
      </c>
      <c r="E76" s="19" t="s">
        <v>268</v>
      </c>
      <c r="F76" s="19" t="s">
        <v>268</v>
      </c>
      <c r="G76" s="19" t="s">
        <v>268</v>
      </c>
      <c r="H76" s="19" t="s">
        <v>268</v>
      </c>
      <c r="I76" s="19" t="s">
        <v>268</v>
      </c>
      <c r="J76" s="19" t="s">
        <v>268</v>
      </c>
      <c r="K76" s="19" t="s">
        <v>268</v>
      </c>
      <c r="L76" s="19" t="s">
        <v>268</v>
      </c>
      <c r="M76" s="19" t="s">
        <v>268</v>
      </c>
      <c r="N76" s="19" t="s">
        <v>268</v>
      </c>
      <c r="O76" s="19" t="s">
        <v>268</v>
      </c>
      <c r="P76" s="19" t="s">
        <v>268</v>
      </c>
      <c r="Q76" s="19" t="s">
        <v>268</v>
      </c>
      <c r="R76" s="19" t="s">
        <v>268</v>
      </c>
      <c r="S76" s="19" t="s">
        <v>268</v>
      </c>
      <c r="T76" s="19" t="s">
        <v>268</v>
      </c>
      <c r="U76" s="19" t="s">
        <v>268</v>
      </c>
      <c r="V76" s="19" t="s">
        <v>268</v>
      </c>
      <c r="W76" s="19" t="s">
        <v>268</v>
      </c>
      <c r="X76" s="19" t="s">
        <v>268</v>
      </c>
      <c r="Y76" s="19" t="s">
        <v>268</v>
      </c>
      <c r="Z76" s="19" t="s">
        <v>268</v>
      </c>
      <c r="AA76" s="19" t="s">
        <v>268</v>
      </c>
      <c r="AB76" t="s">
        <v>17</v>
      </c>
      <c r="AC76" t="s">
        <v>17</v>
      </c>
      <c r="AD76" t="s">
        <v>17</v>
      </c>
      <c r="AE76" t="s">
        <v>17</v>
      </c>
      <c r="AF76" t="s">
        <v>17</v>
      </c>
      <c r="AG76" t="s">
        <v>17</v>
      </c>
      <c r="AH76" t="s">
        <v>17</v>
      </c>
      <c r="AI76" t="s">
        <v>17</v>
      </c>
      <c r="AJ76" t="s">
        <v>17</v>
      </c>
      <c r="AK76" t="s">
        <v>17</v>
      </c>
      <c r="AL76" t="s">
        <v>17</v>
      </c>
      <c r="AM76" t="s">
        <v>17</v>
      </c>
      <c r="AN76" t="s">
        <v>17</v>
      </c>
      <c r="AO76" t="s">
        <v>17</v>
      </c>
      <c r="AP76" t="s">
        <v>17</v>
      </c>
      <c r="AQ76" t="s">
        <v>17</v>
      </c>
      <c r="AR76" t="s">
        <v>17</v>
      </c>
      <c r="AS76" t="s">
        <v>17</v>
      </c>
      <c r="AT76" t="s">
        <v>17</v>
      </c>
      <c r="AU76" t="s">
        <v>17</v>
      </c>
      <c r="AV76" t="s">
        <v>17</v>
      </c>
      <c r="AW76" t="s">
        <v>17</v>
      </c>
      <c r="AX76" t="s">
        <v>17</v>
      </c>
      <c r="AY76" s="23" t="s">
        <v>270</v>
      </c>
      <c r="AZ76" s="23" t="s">
        <v>270</v>
      </c>
      <c r="BA76" s="23" t="s">
        <v>270</v>
      </c>
      <c r="BB76" s="23" t="s">
        <v>270</v>
      </c>
      <c r="BC76" s="23" t="s">
        <v>270</v>
      </c>
      <c r="BD76" s="23" t="s">
        <v>270</v>
      </c>
      <c r="BE76" s="23" t="s">
        <v>270</v>
      </c>
      <c r="BF76" s="23" t="s">
        <v>270</v>
      </c>
      <c r="BG76" s="23" t="s">
        <v>270</v>
      </c>
      <c r="BH76" s="23" t="s">
        <v>270</v>
      </c>
      <c r="BI76" s="23" t="s">
        <v>270</v>
      </c>
      <c r="BJ76" s="23" t="s">
        <v>270</v>
      </c>
      <c r="BK76" s="23" t="s">
        <v>270</v>
      </c>
      <c r="BL76" s="23" t="s">
        <v>270</v>
      </c>
      <c r="BM76" s="23" t="s">
        <v>270</v>
      </c>
      <c r="BN76" s="23" t="s">
        <v>270</v>
      </c>
      <c r="BO76" s="23" t="s">
        <v>270</v>
      </c>
      <c r="BP76" s="23" t="s">
        <v>270</v>
      </c>
      <c r="BQ76" s="23" t="s">
        <v>270</v>
      </c>
      <c r="BR76" s="23" t="s">
        <v>270</v>
      </c>
      <c r="BS76" s="23" t="s">
        <v>270</v>
      </c>
      <c r="BT76" s="23" t="s">
        <v>270</v>
      </c>
      <c r="BU76" s="23" t="s">
        <v>270</v>
      </c>
      <c r="BV76" s="23" t="s">
        <v>270</v>
      </c>
      <c r="BW76" s="23" t="s">
        <v>270</v>
      </c>
      <c r="BX76" s="23" t="s">
        <v>270</v>
      </c>
      <c r="BY76" s="23" t="s">
        <v>270</v>
      </c>
    </row>
    <row r="77" spans="2:81" ht="13.35" customHeight="1" x14ac:dyDescent="0.25">
      <c r="B77" s="2">
        <f t="shared" si="3"/>
        <v>75</v>
      </c>
      <c r="C77" s="21">
        <v>26</v>
      </c>
      <c r="D77" s="19" t="s">
        <v>268</v>
      </c>
      <c r="E77" s="19" t="s">
        <v>268</v>
      </c>
      <c r="F77" s="19" t="s">
        <v>268</v>
      </c>
      <c r="G77" s="19" t="s">
        <v>268</v>
      </c>
      <c r="H77" s="19" t="s">
        <v>268</v>
      </c>
      <c r="I77" s="19" t="s">
        <v>268</v>
      </c>
      <c r="J77" s="19" t="s">
        <v>268</v>
      </c>
      <c r="K77" s="19" t="s">
        <v>268</v>
      </c>
      <c r="L77" s="19" t="s">
        <v>268</v>
      </c>
      <c r="M77" s="19" t="s">
        <v>268</v>
      </c>
      <c r="N77" s="19" t="s">
        <v>268</v>
      </c>
      <c r="O77" s="19" t="s">
        <v>268</v>
      </c>
      <c r="P77" s="19" t="s">
        <v>268</v>
      </c>
      <c r="Q77" s="19" t="s">
        <v>268</v>
      </c>
      <c r="R77" s="19" t="s">
        <v>268</v>
      </c>
      <c r="S77" s="19" t="s">
        <v>268</v>
      </c>
      <c r="T77" s="19" t="s">
        <v>268</v>
      </c>
      <c r="U77" s="19" t="s">
        <v>268</v>
      </c>
      <c r="V77" s="19" t="s">
        <v>268</v>
      </c>
      <c r="W77" s="19" t="s">
        <v>268</v>
      </c>
      <c r="X77" s="19" t="s">
        <v>268</v>
      </c>
      <c r="Y77" s="19" t="s">
        <v>268</v>
      </c>
      <c r="Z77" s="19" t="s">
        <v>268</v>
      </c>
      <c r="AA77" s="19" t="s">
        <v>268</v>
      </c>
      <c r="AB77" s="19" t="s">
        <v>268</v>
      </c>
      <c r="AC77" t="s">
        <v>17</v>
      </c>
      <c r="AD77" t="s">
        <v>17</v>
      </c>
      <c r="AE77" t="s">
        <v>17</v>
      </c>
      <c r="AF77" t="s">
        <v>17</v>
      </c>
      <c r="AG77" t="s">
        <v>17</v>
      </c>
      <c r="AH77" t="s">
        <v>17</v>
      </c>
      <c r="AI77" t="s">
        <v>17</v>
      </c>
      <c r="AJ77" t="s">
        <v>17</v>
      </c>
      <c r="AK77" t="s">
        <v>17</v>
      </c>
      <c r="AL77" t="s">
        <v>17</v>
      </c>
      <c r="AM77" t="s">
        <v>17</v>
      </c>
      <c r="AN77" t="s">
        <v>17</v>
      </c>
      <c r="AO77" t="s">
        <v>17</v>
      </c>
      <c r="AP77" t="s">
        <v>17</v>
      </c>
      <c r="AQ77" t="s">
        <v>17</v>
      </c>
      <c r="AR77" t="s">
        <v>17</v>
      </c>
      <c r="AS77" t="s">
        <v>17</v>
      </c>
      <c r="AT77" t="s">
        <v>17</v>
      </c>
      <c r="AU77" t="s">
        <v>17</v>
      </c>
      <c r="AV77" t="s">
        <v>17</v>
      </c>
      <c r="AW77" t="s">
        <v>17</v>
      </c>
      <c r="AX77" t="s">
        <v>17</v>
      </c>
      <c r="AY77" t="s">
        <v>17</v>
      </c>
      <c r="AZ77" s="23" t="s">
        <v>270</v>
      </c>
      <c r="BA77" s="23" t="s">
        <v>270</v>
      </c>
      <c r="BB77" s="23" t="s">
        <v>270</v>
      </c>
      <c r="BC77" s="23" t="s">
        <v>270</v>
      </c>
      <c r="BD77" s="23" t="s">
        <v>270</v>
      </c>
      <c r="BE77" s="23" t="s">
        <v>270</v>
      </c>
      <c r="BF77" s="23" t="s">
        <v>270</v>
      </c>
      <c r="BG77" s="23" t="s">
        <v>270</v>
      </c>
      <c r="BH77" s="23" t="s">
        <v>270</v>
      </c>
      <c r="BI77" s="23" t="s">
        <v>270</v>
      </c>
      <c r="BJ77" s="23" t="s">
        <v>270</v>
      </c>
      <c r="BK77" s="23" t="s">
        <v>270</v>
      </c>
      <c r="BL77" s="23" t="s">
        <v>270</v>
      </c>
      <c r="BM77" s="23" t="s">
        <v>270</v>
      </c>
      <c r="BN77" s="23" t="s">
        <v>270</v>
      </c>
      <c r="BO77" s="23" t="s">
        <v>270</v>
      </c>
      <c r="BP77" s="23" t="s">
        <v>270</v>
      </c>
      <c r="BQ77" s="23" t="s">
        <v>270</v>
      </c>
      <c r="BR77" s="23" t="s">
        <v>270</v>
      </c>
      <c r="BS77" s="23" t="s">
        <v>270</v>
      </c>
      <c r="BT77" s="23" t="s">
        <v>270</v>
      </c>
      <c r="BU77" s="23" t="s">
        <v>270</v>
      </c>
      <c r="BV77" s="23" t="s">
        <v>270</v>
      </c>
      <c r="BW77" s="23" t="s">
        <v>270</v>
      </c>
      <c r="BX77" s="23" t="s">
        <v>270</v>
      </c>
      <c r="BY77" s="23" t="s">
        <v>270</v>
      </c>
      <c r="BZ77" s="23" t="s">
        <v>270</v>
      </c>
    </row>
    <row r="78" spans="2:81" ht="13.35" customHeight="1" x14ac:dyDescent="0.25">
      <c r="B78" s="2">
        <f t="shared" si="3"/>
        <v>76</v>
      </c>
      <c r="C78" s="21">
        <v>25</v>
      </c>
      <c r="D78" s="19" t="s">
        <v>268</v>
      </c>
      <c r="E78" s="19" t="s">
        <v>268</v>
      </c>
      <c r="F78" s="19" t="s">
        <v>268</v>
      </c>
      <c r="G78" s="19" t="s">
        <v>268</v>
      </c>
      <c r="H78" s="19" t="s">
        <v>268</v>
      </c>
      <c r="I78" s="19" t="s">
        <v>268</v>
      </c>
      <c r="J78" s="19" t="s">
        <v>268</v>
      </c>
      <c r="K78" s="19" t="s">
        <v>268</v>
      </c>
      <c r="L78" s="19" t="s">
        <v>268</v>
      </c>
      <c r="M78" s="19" t="s">
        <v>268</v>
      </c>
      <c r="N78" s="19" t="s">
        <v>268</v>
      </c>
      <c r="O78" s="19" t="s">
        <v>268</v>
      </c>
      <c r="P78" s="19" t="s">
        <v>268</v>
      </c>
      <c r="Q78" s="19" t="s">
        <v>268</v>
      </c>
      <c r="R78" s="19" t="s">
        <v>268</v>
      </c>
      <c r="S78" s="19" t="s">
        <v>268</v>
      </c>
      <c r="T78" s="19" t="s">
        <v>268</v>
      </c>
      <c r="U78" s="19" t="s">
        <v>268</v>
      </c>
      <c r="V78" s="19" t="s">
        <v>268</v>
      </c>
      <c r="W78" s="19" t="s">
        <v>268</v>
      </c>
      <c r="X78" s="19" t="s">
        <v>268</v>
      </c>
      <c r="Y78" s="19" t="s">
        <v>268</v>
      </c>
      <c r="Z78" s="19" t="s">
        <v>268</v>
      </c>
      <c r="AA78" s="19" t="s">
        <v>268</v>
      </c>
      <c r="AB78" s="19" t="s">
        <v>268</v>
      </c>
      <c r="AC78" s="19" t="s">
        <v>268</v>
      </c>
      <c r="AD78" t="s">
        <v>17</v>
      </c>
      <c r="AE78" t="s">
        <v>17</v>
      </c>
      <c r="AF78" t="s">
        <v>17</v>
      </c>
      <c r="AG78" t="s">
        <v>17</v>
      </c>
      <c r="AH78" t="s">
        <v>17</v>
      </c>
      <c r="AI78" t="s">
        <v>17</v>
      </c>
      <c r="AJ78" t="s">
        <v>17</v>
      </c>
      <c r="AK78" t="s">
        <v>17</v>
      </c>
      <c r="AL78" t="s">
        <v>17</v>
      </c>
      <c r="AM78" t="s">
        <v>17</v>
      </c>
      <c r="AN78" t="s">
        <v>17</v>
      </c>
      <c r="AO78" t="s">
        <v>17</v>
      </c>
      <c r="AP78" t="s">
        <v>17</v>
      </c>
      <c r="AQ78" t="s">
        <v>17</v>
      </c>
      <c r="AR78" t="s">
        <v>17</v>
      </c>
      <c r="AS78" t="s">
        <v>17</v>
      </c>
      <c r="AT78" t="s">
        <v>17</v>
      </c>
      <c r="AU78" t="s">
        <v>17</v>
      </c>
      <c r="AV78" t="s">
        <v>17</v>
      </c>
      <c r="AW78" t="s">
        <v>17</v>
      </c>
      <c r="AX78" t="s">
        <v>17</v>
      </c>
      <c r="AY78" t="s">
        <v>17</v>
      </c>
      <c r="AZ78" t="s">
        <v>17</v>
      </c>
      <c r="BA78" s="23" t="s">
        <v>270</v>
      </c>
      <c r="BB78" s="23" t="s">
        <v>270</v>
      </c>
      <c r="BC78" s="23" t="s">
        <v>270</v>
      </c>
      <c r="BD78" s="23" t="s">
        <v>270</v>
      </c>
      <c r="BE78" s="23" t="s">
        <v>270</v>
      </c>
      <c r="BF78" s="23" t="s">
        <v>270</v>
      </c>
      <c r="BG78" s="23" t="s">
        <v>270</v>
      </c>
      <c r="BH78" s="23" t="s">
        <v>270</v>
      </c>
      <c r="BI78" s="23" t="s">
        <v>270</v>
      </c>
      <c r="BJ78" s="23" t="s">
        <v>270</v>
      </c>
      <c r="BK78" s="23" t="s">
        <v>270</v>
      </c>
      <c r="BL78" s="23" t="s">
        <v>270</v>
      </c>
      <c r="BM78" s="23" t="s">
        <v>270</v>
      </c>
      <c r="BN78" s="23" t="s">
        <v>270</v>
      </c>
      <c r="BO78" s="23" t="s">
        <v>270</v>
      </c>
      <c r="BP78" s="23" t="s">
        <v>270</v>
      </c>
      <c r="BQ78" s="23" t="s">
        <v>270</v>
      </c>
      <c r="BR78" s="23" t="s">
        <v>270</v>
      </c>
      <c r="BS78" s="23" t="s">
        <v>270</v>
      </c>
      <c r="BT78" s="23" t="s">
        <v>270</v>
      </c>
      <c r="BU78" s="23" t="s">
        <v>270</v>
      </c>
      <c r="BV78" s="23" t="s">
        <v>270</v>
      </c>
      <c r="BW78" s="23" t="s">
        <v>270</v>
      </c>
      <c r="BX78" s="23" t="s">
        <v>270</v>
      </c>
      <c r="BY78" s="23" t="s">
        <v>270</v>
      </c>
      <c r="BZ78" s="23" t="s">
        <v>270</v>
      </c>
      <c r="CA78" s="23" t="s">
        <v>270</v>
      </c>
    </row>
    <row r="79" spans="2:81" ht="13.35" customHeight="1" x14ac:dyDescent="0.25">
      <c r="B79" s="2">
        <f t="shared" si="3"/>
        <v>77</v>
      </c>
      <c r="C79" s="21">
        <v>24</v>
      </c>
      <c r="D79" s="19" t="s">
        <v>268</v>
      </c>
      <c r="E79" s="19" t="s">
        <v>268</v>
      </c>
      <c r="F79" s="19" t="s">
        <v>268</v>
      </c>
      <c r="G79" s="19" t="s">
        <v>268</v>
      </c>
      <c r="H79" s="19" t="s">
        <v>268</v>
      </c>
      <c r="I79" s="19" t="s">
        <v>268</v>
      </c>
      <c r="J79" s="19" t="s">
        <v>268</v>
      </c>
      <c r="K79" s="19" t="s">
        <v>268</v>
      </c>
      <c r="L79" s="19" t="s">
        <v>268</v>
      </c>
      <c r="M79" s="19" t="s">
        <v>268</v>
      </c>
      <c r="N79" s="19" t="s">
        <v>268</v>
      </c>
      <c r="O79" s="19" t="s">
        <v>268</v>
      </c>
      <c r="P79" s="19" t="s">
        <v>268</v>
      </c>
      <c r="Q79" s="19" t="s">
        <v>268</v>
      </c>
      <c r="R79" s="19" t="s">
        <v>268</v>
      </c>
      <c r="S79" s="19" t="s">
        <v>268</v>
      </c>
      <c r="T79" s="19" t="s">
        <v>268</v>
      </c>
      <c r="U79" s="19" t="s">
        <v>268</v>
      </c>
      <c r="V79" s="19" t="s">
        <v>268</v>
      </c>
      <c r="W79" s="19" t="s">
        <v>268</v>
      </c>
      <c r="X79" s="19" t="s">
        <v>268</v>
      </c>
      <c r="Y79" s="19" t="s">
        <v>268</v>
      </c>
      <c r="Z79" s="19" t="s">
        <v>268</v>
      </c>
      <c r="AA79" s="19" t="s">
        <v>268</v>
      </c>
      <c r="AB79" s="19" t="s">
        <v>268</v>
      </c>
      <c r="AC79" s="19" t="s">
        <v>268</v>
      </c>
      <c r="AD79" s="19" t="s">
        <v>268</v>
      </c>
      <c r="AE79" t="s">
        <v>17</v>
      </c>
      <c r="AF79" t="s">
        <v>17</v>
      </c>
      <c r="AG79" t="s">
        <v>17</v>
      </c>
      <c r="AH79" t="s">
        <v>17</v>
      </c>
      <c r="AI79" t="s">
        <v>17</v>
      </c>
      <c r="AJ79" t="s">
        <v>17</v>
      </c>
      <c r="AK79" t="s">
        <v>17</v>
      </c>
      <c r="AL79" t="s">
        <v>17</v>
      </c>
      <c r="AM79" t="s">
        <v>17</v>
      </c>
      <c r="AN79" t="s">
        <v>17</v>
      </c>
      <c r="AO79" t="s">
        <v>17</v>
      </c>
      <c r="AP79" t="s">
        <v>17</v>
      </c>
      <c r="AQ79" t="s">
        <v>17</v>
      </c>
      <c r="AR79" t="s">
        <v>17</v>
      </c>
      <c r="AS79" t="s">
        <v>17</v>
      </c>
      <c r="AT79" t="s">
        <v>17</v>
      </c>
      <c r="AU79" t="s">
        <v>17</v>
      </c>
      <c r="AV79" t="s">
        <v>17</v>
      </c>
      <c r="AW79" t="s">
        <v>17</v>
      </c>
      <c r="AX79" t="s">
        <v>17</v>
      </c>
      <c r="AY79" t="s">
        <v>17</v>
      </c>
      <c r="AZ79" t="s">
        <v>17</v>
      </c>
      <c r="BA79" t="s">
        <v>17</v>
      </c>
      <c r="BB79" s="23" t="s">
        <v>270</v>
      </c>
      <c r="BC79" s="23" t="s">
        <v>270</v>
      </c>
      <c r="BD79" s="23" t="s">
        <v>270</v>
      </c>
      <c r="BE79" s="23" t="s">
        <v>270</v>
      </c>
      <c r="BF79" s="23" t="s">
        <v>270</v>
      </c>
      <c r="BG79" s="23" t="s">
        <v>270</v>
      </c>
      <c r="BH79" s="23" t="s">
        <v>270</v>
      </c>
      <c r="BI79" s="23" t="s">
        <v>270</v>
      </c>
      <c r="BJ79" s="23" t="s">
        <v>270</v>
      </c>
      <c r="BK79" s="23" t="s">
        <v>270</v>
      </c>
      <c r="BL79" s="23" t="s">
        <v>270</v>
      </c>
      <c r="BM79" s="23" t="s">
        <v>270</v>
      </c>
      <c r="BN79" s="23" t="s">
        <v>270</v>
      </c>
      <c r="BO79" s="23" t="s">
        <v>270</v>
      </c>
      <c r="BP79" s="23" t="s">
        <v>270</v>
      </c>
      <c r="BQ79" s="23" t="s">
        <v>270</v>
      </c>
      <c r="BR79" s="23" t="s">
        <v>270</v>
      </c>
      <c r="BS79" s="23" t="s">
        <v>270</v>
      </c>
      <c r="BT79" s="23" t="s">
        <v>270</v>
      </c>
      <c r="BU79" s="23" t="s">
        <v>270</v>
      </c>
      <c r="BV79" s="23" t="s">
        <v>270</v>
      </c>
      <c r="BW79" s="23" t="s">
        <v>270</v>
      </c>
      <c r="BX79" s="23" t="s">
        <v>270</v>
      </c>
      <c r="BY79" s="23" t="s">
        <v>270</v>
      </c>
      <c r="BZ79" s="23" t="s">
        <v>270</v>
      </c>
      <c r="CA79" s="23" t="s">
        <v>270</v>
      </c>
      <c r="CB79" s="23" t="s">
        <v>270</v>
      </c>
    </row>
    <row r="80" spans="2:81" ht="13.35" customHeight="1" x14ac:dyDescent="0.25">
      <c r="B80" s="2">
        <f t="shared" si="3"/>
        <v>78</v>
      </c>
      <c r="C80" s="21">
        <v>23</v>
      </c>
      <c r="D80" s="19" t="s">
        <v>268</v>
      </c>
      <c r="E80" s="19" t="s">
        <v>268</v>
      </c>
      <c r="F80" s="19" t="s">
        <v>268</v>
      </c>
      <c r="G80" s="19" t="s">
        <v>268</v>
      </c>
      <c r="H80" s="19" t="s">
        <v>268</v>
      </c>
      <c r="I80" s="19" t="s">
        <v>268</v>
      </c>
      <c r="J80" s="19" t="s">
        <v>268</v>
      </c>
      <c r="K80" s="19" t="s">
        <v>268</v>
      </c>
      <c r="L80" s="19" t="s">
        <v>268</v>
      </c>
      <c r="M80" s="19" t="s">
        <v>268</v>
      </c>
      <c r="N80" s="19" t="s">
        <v>268</v>
      </c>
      <c r="O80" s="19" t="s">
        <v>268</v>
      </c>
      <c r="P80" s="19" t="s">
        <v>268</v>
      </c>
      <c r="Q80" s="19" t="s">
        <v>268</v>
      </c>
      <c r="R80" s="19" t="s">
        <v>268</v>
      </c>
      <c r="S80" s="19" t="s">
        <v>268</v>
      </c>
      <c r="T80" s="19" t="s">
        <v>268</v>
      </c>
      <c r="U80" s="19" t="s">
        <v>268</v>
      </c>
      <c r="V80" s="19" t="s">
        <v>268</v>
      </c>
      <c r="W80" s="19" t="s">
        <v>268</v>
      </c>
      <c r="X80" s="19" t="s">
        <v>268</v>
      </c>
      <c r="Y80" s="19" t="s">
        <v>268</v>
      </c>
      <c r="Z80" s="19" t="s">
        <v>268</v>
      </c>
      <c r="AA80" s="19" t="s">
        <v>268</v>
      </c>
      <c r="AB80" s="19" t="s">
        <v>268</v>
      </c>
      <c r="AC80" s="19" t="s">
        <v>268</v>
      </c>
      <c r="AD80" s="19" t="s">
        <v>268</v>
      </c>
      <c r="AE80" s="19" t="s">
        <v>268</v>
      </c>
      <c r="AF80" t="s">
        <v>17</v>
      </c>
      <c r="AG80" t="s">
        <v>17</v>
      </c>
      <c r="AH80" t="s">
        <v>17</v>
      </c>
      <c r="AI80" t="s">
        <v>17</v>
      </c>
      <c r="AJ80" t="s">
        <v>17</v>
      </c>
      <c r="AK80" t="s">
        <v>17</v>
      </c>
      <c r="AL80" t="s">
        <v>17</v>
      </c>
      <c r="AM80" t="s">
        <v>17</v>
      </c>
      <c r="AN80" t="s">
        <v>17</v>
      </c>
      <c r="AO80" t="s">
        <v>17</v>
      </c>
      <c r="AP80" t="s">
        <v>17</v>
      </c>
      <c r="AQ80" t="s">
        <v>17</v>
      </c>
      <c r="AR80" t="s">
        <v>17</v>
      </c>
      <c r="AS80" t="s">
        <v>17</v>
      </c>
      <c r="AT80" t="s">
        <v>17</v>
      </c>
      <c r="AU80" t="s">
        <v>17</v>
      </c>
      <c r="AV80" t="s">
        <v>17</v>
      </c>
      <c r="AW80" t="s">
        <v>17</v>
      </c>
      <c r="AX80" t="s">
        <v>17</v>
      </c>
      <c r="AY80" t="s">
        <v>17</v>
      </c>
      <c r="AZ80" t="s">
        <v>17</v>
      </c>
      <c r="BA80" t="s">
        <v>17</v>
      </c>
      <c r="BB80" t="s">
        <v>17</v>
      </c>
      <c r="BC80" s="23" t="s">
        <v>270</v>
      </c>
      <c r="BD80" s="23" t="s">
        <v>270</v>
      </c>
      <c r="BE80" s="23" t="s">
        <v>270</v>
      </c>
      <c r="BF80" s="23" t="s">
        <v>270</v>
      </c>
      <c r="BG80" s="23" t="s">
        <v>270</v>
      </c>
      <c r="BH80" s="23" t="s">
        <v>270</v>
      </c>
      <c r="BI80" s="23" t="s">
        <v>270</v>
      </c>
      <c r="BJ80" s="23" t="s">
        <v>270</v>
      </c>
      <c r="BK80" s="23" t="s">
        <v>270</v>
      </c>
      <c r="BL80" s="23" t="s">
        <v>270</v>
      </c>
      <c r="BM80" s="23" t="s">
        <v>270</v>
      </c>
      <c r="BN80" s="23" t="s">
        <v>270</v>
      </c>
      <c r="BO80" s="23" t="s">
        <v>270</v>
      </c>
      <c r="BP80" s="23" t="s">
        <v>270</v>
      </c>
      <c r="BQ80" s="23" t="s">
        <v>270</v>
      </c>
      <c r="BR80" s="23" t="s">
        <v>270</v>
      </c>
      <c r="BS80" s="23" t="s">
        <v>270</v>
      </c>
      <c r="BT80" s="23" t="s">
        <v>270</v>
      </c>
      <c r="BU80" s="23" t="s">
        <v>270</v>
      </c>
      <c r="BV80" s="23" t="s">
        <v>270</v>
      </c>
      <c r="BW80" s="23" t="s">
        <v>270</v>
      </c>
      <c r="BX80" s="23" t="s">
        <v>270</v>
      </c>
      <c r="BY80" s="23" t="s">
        <v>270</v>
      </c>
      <c r="BZ80" s="23" t="s">
        <v>270</v>
      </c>
      <c r="CA80" s="23" t="s">
        <v>270</v>
      </c>
      <c r="CB80" s="23" t="s">
        <v>270</v>
      </c>
      <c r="CC80" s="23" t="s">
        <v>270</v>
      </c>
    </row>
    <row r="81" spans="2:97" ht="13.35" customHeight="1" x14ac:dyDescent="0.25">
      <c r="B81" s="2">
        <f t="shared" si="3"/>
        <v>79</v>
      </c>
      <c r="C81" s="21">
        <v>22</v>
      </c>
      <c r="D81" s="19" t="s">
        <v>268</v>
      </c>
      <c r="E81" s="19" t="s">
        <v>268</v>
      </c>
      <c r="F81" s="19" t="s">
        <v>268</v>
      </c>
      <c r="G81" s="19" t="s">
        <v>268</v>
      </c>
      <c r="H81" s="19" t="s">
        <v>268</v>
      </c>
      <c r="I81" s="19" t="s">
        <v>268</v>
      </c>
      <c r="J81" s="19" t="s">
        <v>268</v>
      </c>
      <c r="K81" s="19" t="s">
        <v>268</v>
      </c>
      <c r="L81" s="19" t="s">
        <v>268</v>
      </c>
      <c r="M81" s="19" t="s">
        <v>268</v>
      </c>
      <c r="N81" s="19" t="s">
        <v>268</v>
      </c>
      <c r="O81" s="19" t="s">
        <v>268</v>
      </c>
      <c r="P81" s="19" t="s">
        <v>268</v>
      </c>
      <c r="Q81" s="19" t="s">
        <v>268</v>
      </c>
      <c r="R81" s="19" t="s">
        <v>268</v>
      </c>
      <c r="S81" s="19" t="s">
        <v>268</v>
      </c>
      <c r="T81" s="19" t="s">
        <v>268</v>
      </c>
      <c r="U81" s="19" t="s">
        <v>268</v>
      </c>
      <c r="V81" s="19" t="s">
        <v>268</v>
      </c>
      <c r="W81" s="19" t="s">
        <v>268</v>
      </c>
      <c r="X81" s="19" t="s">
        <v>268</v>
      </c>
      <c r="Y81" s="19" t="s">
        <v>268</v>
      </c>
      <c r="Z81" s="19" t="s">
        <v>268</v>
      </c>
      <c r="AA81" s="19" t="s">
        <v>268</v>
      </c>
      <c r="AB81" s="19" t="s">
        <v>268</v>
      </c>
      <c r="AC81" s="19" t="s">
        <v>268</v>
      </c>
      <c r="AD81" s="19" t="s">
        <v>268</v>
      </c>
      <c r="AE81" s="19" t="s">
        <v>1046</v>
      </c>
      <c r="AF81" s="19" t="s">
        <v>268</v>
      </c>
      <c r="AG81" t="s">
        <v>17</v>
      </c>
      <c r="AH81" t="s">
        <v>17</v>
      </c>
      <c r="AI81" t="s">
        <v>17</v>
      </c>
      <c r="AJ81" t="s">
        <v>17</v>
      </c>
      <c r="AK81" t="s">
        <v>17</v>
      </c>
      <c r="AL81" t="s">
        <v>17</v>
      </c>
      <c r="AM81" t="s">
        <v>17</v>
      </c>
      <c r="AN81" t="s">
        <v>17</v>
      </c>
      <c r="AO81" t="s">
        <v>17</v>
      </c>
      <c r="AP81" t="s">
        <v>17</v>
      </c>
      <c r="AQ81" t="s">
        <v>17</v>
      </c>
      <c r="AR81" t="s">
        <v>17</v>
      </c>
      <c r="AS81" t="s">
        <v>17</v>
      </c>
      <c r="AT81" t="s">
        <v>17</v>
      </c>
      <c r="AU81" t="s">
        <v>17</v>
      </c>
      <c r="AV81" t="s">
        <v>17</v>
      </c>
      <c r="AW81" t="s">
        <v>17</v>
      </c>
      <c r="AX81" t="s">
        <v>17</v>
      </c>
      <c r="AY81" t="s">
        <v>17</v>
      </c>
      <c r="AZ81" t="s">
        <v>17</v>
      </c>
      <c r="BA81" t="s">
        <v>17</v>
      </c>
      <c r="BB81" t="s">
        <v>17</v>
      </c>
      <c r="BC81" t="s">
        <v>17</v>
      </c>
      <c r="BD81" s="23" t="s">
        <v>270</v>
      </c>
      <c r="BE81" s="23" t="s">
        <v>270</v>
      </c>
      <c r="BF81" s="23" t="s">
        <v>270</v>
      </c>
      <c r="BG81" s="23" t="s">
        <v>270</v>
      </c>
      <c r="BH81" s="23" t="s">
        <v>270</v>
      </c>
      <c r="BI81" s="23" t="s">
        <v>270</v>
      </c>
      <c r="BJ81" s="23" t="s">
        <v>270</v>
      </c>
      <c r="BK81" s="23" t="s">
        <v>270</v>
      </c>
      <c r="BL81" s="23" t="s">
        <v>270</v>
      </c>
      <c r="BM81" s="23" t="s">
        <v>270</v>
      </c>
      <c r="BN81" s="23" t="s">
        <v>270</v>
      </c>
      <c r="BO81" s="23" t="s">
        <v>270</v>
      </c>
      <c r="BP81" s="23" t="s">
        <v>270</v>
      </c>
      <c r="BQ81" s="23" t="s">
        <v>270</v>
      </c>
      <c r="BR81" s="23" t="s">
        <v>270</v>
      </c>
      <c r="BS81" s="23" t="s">
        <v>270</v>
      </c>
      <c r="BT81" s="23" t="s">
        <v>270</v>
      </c>
      <c r="BU81" s="23" t="s">
        <v>270</v>
      </c>
      <c r="BV81" s="23" t="s">
        <v>270</v>
      </c>
      <c r="BW81" s="23" t="s">
        <v>270</v>
      </c>
      <c r="BX81" s="23" t="s">
        <v>270</v>
      </c>
      <c r="BY81" s="23" t="s">
        <v>270</v>
      </c>
      <c r="BZ81" s="23" t="s">
        <v>270</v>
      </c>
      <c r="CA81" s="23" t="s">
        <v>270</v>
      </c>
      <c r="CB81" s="23" t="s">
        <v>270</v>
      </c>
      <c r="CC81" s="23" t="s">
        <v>270</v>
      </c>
      <c r="CD81" s="23" t="s">
        <v>270</v>
      </c>
    </row>
    <row r="82" spans="2:97" ht="13.35" customHeight="1" x14ac:dyDescent="0.25">
      <c r="B82" s="2">
        <f t="shared" si="3"/>
        <v>80</v>
      </c>
      <c r="C82" s="21">
        <v>21</v>
      </c>
      <c r="D82" s="19" t="s">
        <v>268</v>
      </c>
      <c r="E82" s="19" t="s">
        <v>268</v>
      </c>
      <c r="F82" s="19" t="s">
        <v>268</v>
      </c>
      <c r="G82" s="19" t="s">
        <v>268</v>
      </c>
      <c r="H82" s="19" t="s">
        <v>268</v>
      </c>
      <c r="I82" s="19" t="s">
        <v>268</v>
      </c>
      <c r="J82" s="19" t="s">
        <v>268</v>
      </c>
      <c r="K82" s="19" t="s">
        <v>268</v>
      </c>
      <c r="L82" s="19" t="s">
        <v>268</v>
      </c>
      <c r="M82" s="19" t="s">
        <v>268</v>
      </c>
      <c r="N82" s="19" t="s">
        <v>268</v>
      </c>
      <c r="O82" s="19" t="s">
        <v>268</v>
      </c>
      <c r="P82" s="19" t="s">
        <v>268</v>
      </c>
      <c r="Q82" s="19" t="s">
        <v>268</v>
      </c>
      <c r="R82" s="19" t="s">
        <v>268</v>
      </c>
      <c r="S82" s="19" t="s">
        <v>268</v>
      </c>
      <c r="T82" s="19" t="s">
        <v>268</v>
      </c>
      <c r="U82" s="19" t="s">
        <v>268</v>
      </c>
      <c r="V82" s="19" t="s">
        <v>268</v>
      </c>
      <c r="W82" s="19" t="s">
        <v>268</v>
      </c>
      <c r="X82" s="19" t="s">
        <v>268</v>
      </c>
      <c r="Y82" s="19" t="s">
        <v>268</v>
      </c>
      <c r="Z82" s="19" t="s">
        <v>268</v>
      </c>
      <c r="AA82" s="19" t="s">
        <v>268</v>
      </c>
      <c r="AB82" s="19" t="s">
        <v>268</v>
      </c>
      <c r="AC82" s="19" t="s">
        <v>268</v>
      </c>
      <c r="AD82" s="19" t="s">
        <v>268</v>
      </c>
      <c r="AE82" s="19" t="s">
        <v>268</v>
      </c>
      <c r="AF82" s="19" t="s">
        <v>268</v>
      </c>
      <c r="AG82" s="19" t="s">
        <v>268</v>
      </c>
      <c r="AH82" t="s">
        <v>17</v>
      </c>
      <c r="AI82" t="s">
        <v>17</v>
      </c>
      <c r="AJ82" t="s">
        <v>17</v>
      </c>
      <c r="AK82" t="s">
        <v>17</v>
      </c>
      <c r="AL82" t="s">
        <v>17</v>
      </c>
      <c r="AM82" t="s">
        <v>17</v>
      </c>
      <c r="AN82" t="s">
        <v>17</v>
      </c>
      <c r="AO82" t="s">
        <v>17</v>
      </c>
      <c r="AP82" t="s">
        <v>17</v>
      </c>
      <c r="AQ82" t="s">
        <v>17</v>
      </c>
      <c r="AR82" t="s">
        <v>17</v>
      </c>
      <c r="AS82" t="s">
        <v>17</v>
      </c>
      <c r="AT82" t="s">
        <v>17</v>
      </c>
      <c r="AU82" t="s">
        <v>17</v>
      </c>
      <c r="AV82" t="s">
        <v>17</v>
      </c>
      <c r="AW82" t="s">
        <v>17</v>
      </c>
      <c r="AX82" t="s">
        <v>17</v>
      </c>
      <c r="AY82" t="s">
        <v>17</v>
      </c>
      <c r="AZ82" t="s">
        <v>17</v>
      </c>
      <c r="BA82" t="s">
        <v>17</v>
      </c>
      <c r="BB82" t="s">
        <v>17</v>
      </c>
      <c r="BC82" t="s">
        <v>17</v>
      </c>
      <c r="BD82" t="s">
        <v>17</v>
      </c>
      <c r="BE82" s="23" t="s">
        <v>270</v>
      </c>
      <c r="BF82" s="23" t="s">
        <v>270</v>
      </c>
      <c r="BG82" s="23" t="s">
        <v>270</v>
      </c>
      <c r="BH82" s="23" t="s">
        <v>270</v>
      </c>
      <c r="BI82" s="23" t="s">
        <v>270</v>
      </c>
      <c r="BJ82" s="23" t="s">
        <v>270</v>
      </c>
      <c r="BK82" s="23" t="s">
        <v>270</v>
      </c>
      <c r="BL82" s="23" t="s">
        <v>270</v>
      </c>
      <c r="BM82" s="23" t="s">
        <v>270</v>
      </c>
      <c r="BN82" s="23" t="s">
        <v>270</v>
      </c>
      <c r="BO82" s="23" t="s">
        <v>270</v>
      </c>
      <c r="BP82" s="23" t="s">
        <v>270</v>
      </c>
      <c r="BQ82" s="23" t="s">
        <v>270</v>
      </c>
      <c r="BR82" s="23" t="s">
        <v>270</v>
      </c>
      <c r="BS82" s="23" t="s">
        <v>270</v>
      </c>
      <c r="BT82" s="23" t="s">
        <v>270</v>
      </c>
      <c r="BU82" s="23" t="s">
        <v>270</v>
      </c>
      <c r="BV82" s="23" t="s">
        <v>270</v>
      </c>
      <c r="BW82" s="23" t="s">
        <v>270</v>
      </c>
      <c r="BX82" s="23" t="s">
        <v>270</v>
      </c>
      <c r="BY82" s="23" t="s">
        <v>270</v>
      </c>
      <c r="BZ82" s="23" t="s">
        <v>270</v>
      </c>
      <c r="CA82" s="23" t="s">
        <v>270</v>
      </c>
      <c r="CB82" s="23" t="s">
        <v>270</v>
      </c>
      <c r="CC82" s="23" t="s">
        <v>270</v>
      </c>
      <c r="CD82" s="23" t="s">
        <v>270</v>
      </c>
      <c r="CE82" s="23" t="s">
        <v>270</v>
      </c>
    </row>
    <row r="83" spans="2:97" ht="13.35" customHeight="1" x14ac:dyDescent="0.25">
      <c r="B83" s="2">
        <f t="shared" si="3"/>
        <v>81</v>
      </c>
      <c r="C83" s="21">
        <v>20</v>
      </c>
      <c r="D83" s="19" t="s">
        <v>268</v>
      </c>
      <c r="E83" s="19" t="s">
        <v>268</v>
      </c>
      <c r="F83" s="19" t="s">
        <v>268</v>
      </c>
      <c r="G83" s="19" t="s">
        <v>268</v>
      </c>
      <c r="H83" s="19" t="s">
        <v>268</v>
      </c>
      <c r="I83" s="19" t="s">
        <v>268</v>
      </c>
      <c r="J83" s="19" t="s">
        <v>268</v>
      </c>
      <c r="K83" s="19" t="s">
        <v>268</v>
      </c>
      <c r="L83" s="19" t="s">
        <v>268</v>
      </c>
      <c r="M83" s="19" t="s">
        <v>268</v>
      </c>
      <c r="N83" s="19" t="s">
        <v>268</v>
      </c>
      <c r="O83" s="19" t="s">
        <v>268</v>
      </c>
      <c r="P83" s="19" t="s">
        <v>268</v>
      </c>
      <c r="Q83" s="19" t="s">
        <v>268</v>
      </c>
      <c r="R83" s="19" t="s">
        <v>268</v>
      </c>
      <c r="S83" s="19" t="s">
        <v>268</v>
      </c>
      <c r="T83" s="19" t="s">
        <v>268</v>
      </c>
      <c r="U83" s="19" t="s">
        <v>268</v>
      </c>
      <c r="V83" s="19" t="s">
        <v>268</v>
      </c>
      <c r="W83" s="19" t="s">
        <v>268</v>
      </c>
      <c r="X83" s="19" t="s">
        <v>268</v>
      </c>
      <c r="Y83" s="19" t="s">
        <v>268</v>
      </c>
      <c r="Z83" s="19" t="s">
        <v>268</v>
      </c>
      <c r="AA83" s="19" t="s">
        <v>268</v>
      </c>
      <c r="AB83" s="19" t="s">
        <v>268</v>
      </c>
      <c r="AC83" s="19" t="s">
        <v>268</v>
      </c>
      <c r="AD83" s="19" t="s">
        <v>268</v>
      </c>
      <c r="AE83" s="19" t="s">
        <v>268</v>
      </c>
      <c r="AF83" s="19" t="s">
        <v>268</v>
      </c>
      <c r="AG83" s="19" t="s">
        <v>268</v>
      </c>
      <c r="AH83" s="19" t="s">
        <v>268</v>
      </c>
      <c r="AI83" t="s">
        <v>17</v>
      </c>
      <c r="AJ83" t="s">
        <v>17</v>
      </c>
      <c r="AK83" t="s">
        <v>17</v>
      </c>
      <c r="AL83" t="s">
        <v>17</v>
      </c>
      <c r="AM83" t="s">
        <v>17</v>
      </c>
      <c r="AN83" t="s">
        <v>17</v>
      </c>
      <c r="AO83" t="s">
        <v>17</v>
      </c>
      <c r="AP83" t="s">
        <v>17</v>
      </c>
      <c r="AQ83" t="s">
        <v>17</v>
      </c>
      <c r="AR83" t="s">
        <v>17</v>
      </c>
      <c r="AS83" t="s">
        <v>17</v>
      </c>
      <c r="AT83" t="s">
        <v>17</v>
      </c>
      <c r="AU83" t="s">
        <v>17</v>
      </c>
      <c r="AV83" t="s">
        <v>17</v>
      </c>
      <c r="AW83" t="s">
        <v>17</v>
      </c>
      <c r="AX83" t="s">
        <v>17</v>
      </c>
      <c r="AY83" t="s">
        <v>17</v>
      </c>
      <c r="AZ83" t="s">
        <v>17</v>
      </c>
      <c r="BA83" t="s">
        <v>17</v>
      </c>
      <c r="BB83" t="s">
        <v>17</v>
      </c>
      <c r="BC83" t="s">
        <v>17</v>
      </c>
      <c r="BD83" t="s">
        <v>17</v>
      </c>
      <c r="BE83" t="s">
        <v>17</v>
      </c>
      <c r="BF83" s="23" t="s">
        <v>270</v>
      </c>
      <c r="BG83" s="23" t="s">
        <v>270</v>
      </c>
      <c r="BH83" s="23" t="s">
        <v>270</v>
      </c>
      <c r="BI83" s="23" t="s">
        <v>270</v>
      </c>
      <c r="BJ83" s="23" t="s">
        <v>270</v>
      </c>
      <c r="BK83" s="23" t="s">
        <v>270</v>
      </c>
      <c r="BL83" s="23" t="s">
        <v>270</v>
      </c>
      <c r="BM83" s="23" t="s">
        <v>270</v>
      </c>
      <c r="BN83" s="23" t="s">
        <v>270</v>
      </c>
      <c r="BO83" s="23" t="s">
        <v>270</v>
      </c>
      <c r="BP83" s="23" t="s">
        <v>270</v>
      </c>
      <c r="BQ83" s="23" t="s">
        <v>270</v>
      </c>
      <c r="BR83" s="23" t="s">
        <v>270</v>
      </c>
      <c r="BS83" s="23" t="s">
        <v>270</v>
      </c>
      <c r="BT83" s="23" t="s">
        <v>270</v>
      </c>
      <c r="BU83" s="23" t="s">
        <v>270</v>
      </c>
      <c r="BV83" s="23" t="s">
        <v>270</v>
      </c>
      <c r="BW83" s="23" t="s">
        <v>270</v>
      </c>
      <c r="BX83" s="23" t="s">
        <v>270</v>
      </c>
      <c r="BY83" s="23" t="s">
        <v>270</v>
      </c>
      <c r="BZ83" s="23" t="s">
        <v>270</v>
      </c>
      <c r="CA83" s="23" t="s">
        <v>270</v>
      </c>
      <c r="CB83" s="23" t="s">
        <v>270</v>
      </c>
      <c r="CC83" s="23" t="s">
        <v>270</v>
      </c>
      <c r="CD83" s="23" t="s">
        <v>270</v>
      </c>
      <c r="CE83" s="23" t="s">
        <v>270</v>
      </c>
      <c r="CF83" s="23" t="s">
        <v>270</v>
      </c>
    </row>
    <row r="84" spans="2:97" ht="13.35" customHeight="1" x14ac:dyDescent="0.25">
      <c r="B84" s="2">
        <f t="shared" si="3"/>
        <v>82</v>
      </c>
      <c r="C84" s="21">
        <v>19</v>
      </c>
      <c r="D84" s="19" t="s">
        <v>268</v>
      </c>
      <c r="E84" s="19" t="s">
        <v>268</v>
      </c>
      <c r="F84" s="19" t="s">
        <v>268</v>
      </c>
      <c r="G84" s="19" t="s">
        <v>268</v>
      </c>
      <c r="H84" s="19" t="s">
        <v>268</v>
      </c>
      <c r="I84" s="19" t="s">
        <v>268</v>
      </c>
      <c r="J84" s="19" t="s">
        <v>268</v>
      </c>
      <c r="K84" s="19" t="s">
        <v>268</v>
      </c>
      <c r="L84" s="19" t="s">
        <v>268</v>
      </c>
      <c r="M84" s="19" t="s">
        <v>268</v>
      </c>
      <c r="N84" s="19" t="s">
        <v>268</v>
      </c>
      <c r="O84" s="19" t="s">
        <v>268</v>
      </c>
      <c r="P84" s="19" t="s">
        <v>268</v>
      </c>
      <c r="Q84" s="19" t="s">
        <v>268</v>
      </c>
      <c r="R84" s="19" t="s">
        <v>268</v>
      </c>
      <c r="S84" s="19" t="s">
        <v>268</v>
      </c>
      <c r="T84" s="19" t="s">
        <v>268</v>
      </c>
      <c r="U84" s="19" t="s">
        <v>268</v>
      </c>
      <c r="V84" s="19" t="s">
        <v>268</v>
      </c>
      <c r="W84" s="19" t="s">
        <v>268</v>
      </c>
      <c r="X84" s="19" t="s">
        <v>268</v>
      </c>
      <c r="Y84" s="19" t="s">
        <v>268</v>
      </c>
      <c r="Z84" s="19" t="s">
        <v>268</v>
      </c>
      <c r="AA84" s="19" t="s">
        <v>268</v>
      </c>
      <c r="AB84" s="19" t="s">
        <v>268</v>
      </c>
      <c r="AC84" s="19" t="s">
        <v>268</v>
      </c>
      <c r="AD84" s="19" t="s">
        <v>268</v>
      </c>
      <c r="AE84" s="19" t="s">
        <v>268</v>
      </c>
      <c r="AF84" s="19" t="s">
        <v>268</v>
      </c>
      <c r="AG84" s="19" t="s">
        <v>268</v>
      </c>
      <c r="AH84" s="19" t="s">
        <v>268</v>
      </c>
      <c r="AI84" s="19" t="s">
        <v>268</v>
      </c>
      <c r="AJ84" t="s">
        <v>17</v>
      </c>
      <c r="AK84" t="s">
        <v>17</v>
      </c>
      <c r="AL84" t="s">
        <v>17</v>
      </c>
      <c r="AM84" t="s">
        <v>17</v>
      </c>
      <c r="AN84" t="s">
        <v>17</v>
      </c>
      <c r="AO84" t="s">
        <v>17</v>
      </c>
      <c r="AP84" t="s">
        <v>17</v>
      </c>
      <c r="AQ84" t="s">
        <v>17</v>
      </c>
      <c r="AR84" t="s">
        <v>17</v>
      </c>
      <c r="AS84" t="s">
        <v>17</v>
      </c>
      <c r="AT84" t="s">
        <v>17</v>
      </c>
      <c r="AU84" t="s">
        <v>17</v>
      </c>
      <c r="AV84" t="s">
        <v>17</v>
      </c>
      <c r="AW84" t="s">
        <v>17</v>
      </c>
      <c r="AX84" t="s">
        <v>17</v>
      </c>
      <c r="AY84" t="s">
        <v>17</v>
      </c>
      <c r="AZ84" t="s">
        <v>17</v>
      </c>
      <c r="BA84" t="s">
        <v>17</v>
      </c>
      <c r="BB84" t="s">
        <v>17</v>
      </c>
      <c r="BC84" t="s">
        <v>17</v>
      </c>
      <c r="BD84" t="s">
        <v>17</v>
      </c>
      <c r="BE84" t="s">
        <v>17</v>
      </c>
      <c r="BF84" s="25" t="s">
        <v>265</v>
      </c>
      <c r="BG84" s="25" t="s">
        <v>265</v>
      </c>
      <c r="BH84" s="25" t="s">
        <v>265</v>
      </c>
      <c r="BI84" s="25" t="s">
        <v>265</v>
      </c>
      <c r="BJ84" s="25" t="s">
        <v>265</v>
      </c>
      <c r="BK84" s="25" t="s">
        <v>265</v>
      </c>
      <c r="BL84" s="25" t="s">
        <v>265</v>
      </c>
      <c r="BM84" s="25" t="s">
        <v>265</v>
      </c>
      <c r="BN84" s="25" t="s">
        <v>265</v>
      </c>
      <c r="BO84" s="25" t="s">
        <v>265</v>
      </c>
      <c r="BP84" s="25" t="s">
        <v>265</v>
      </c>
      <c r="BQ84" s="25" t="s">
        <v>265</v>
      </c>
      <c r="BR84" s="25" t="s">
        <v>265</v>
      </c>
      <c r="BS84" s="25" t="s">
        <v>265</v>
      </c>
      <c r="BT84" s="25" t="s">
        <v>265</v>
      </c>
      <c r="BU84" s="25" t="s">
        <v>265</v>
      </c>
      <c r="BV84" s="25" t="s">
        <v>265</v>
      </c>
      <c r="BW84" s="25" t="s">
        <v>265</v>
      </c>
      <c r="BX84" s="25" t="s">
        <v>265</v>
      </c>
      <c r="BY84" s="25" t="s">
        <v>265</v>
      </c>
      <c r="BZ84" s="25" t="s">
        <v>265</v>
      </c>
      <c r="CA84" s="25" t="s">
        <v>265</v>
      </c>
      <c r="CB84" s="25" t="s">
        <v>265</v>
      </c>
      <c r="CC84" s="25" t="s">
        <v>265</v>
      </c>
      <c r="CD84" s="25" t="s">
        <v>265</v>
      </c>
      <c r="CE84" s="25" t="s">
        <v>265</v>
      </c>
      <c r="CF84" s="25" t="s">
        <v>265</v>
      </c>
      <c r="CG84" s="25" t="s">
        <v>265</v>
      </c>
    </row>
    <row r="85" spans="2:97" ht="13.35" customHeight="1" x14ac:dyDescent="0.25">
      <c r="B85" s="2">
        <f t="shared" si="3"/>
        <v>83</v>
      </c>
      <c r="C85" s="21">
        <v>18</v>
      </c>
      <c r="D85" s="19" t="s">
        <v>268</v>
      </c>
      <c r="E85" s="19" t="s">
        <v>268</v>
      </c>
      <c r="F85" s="19" t="s">
        <v>268</v>
      </c>
      <c r="G85" s="19" t="s">
        <v>268</v>
      </c>
      <c r="H85" s="19" t="s">
        <v>268</v>
      </c>
      <c r="I85" s="19" t="s">
        <v>268</v>
      </c>
      <c r="J85" s="19" t="s">
        <v>268</v>
      </c>
      <c r="K85" s="19" t="s">
        <v>268</v>
      </c>
      <c r="L85" s="19" t="s">
        <v>268</v>
      </c>
      <c r="M85" s="19" t="s">
        <v>268</v>
      </c>
      <c r="N85" s="19" t="s">
        <v>268</v>
      </c>
      <c r="O85" s="19" t="s">
        <v>268</v>
      </c>
      <c r="P85" s="19" t="s">
        <v>268</v>
      </c>
      <c r="Q85" s="19" t="s">
        <v>268</v>
      </c>
      <c r="R85" s="19" t="s">
        <v>268</v>
      </c>
      <c r="S85" s="19" t="s">
        <v>268</v>
      </c>
      <c r="T85" s="19" t="s">
        <v>268</v>
      </c>
      <c r="U85" s="19" t="s">
        <v>268</v>
      </c>
      <c r="V85" s="19" t="s">
        <v>268</v>
      </c>
      <c r="W85" s="19" t="s">
        <v>268</v>
      </c>
      <c r="X85" s="19" t="s">
        <v>268</v>
      </c>
      <c r="Y85" s="19" t="s">
        <v>268</v>
      </c>
      <c r="Z85" s="19" t="s">
        <v>268</v>
      </c>
      <c r="AA85" s="19" t="s">
        <v>268</v>
      </c>
      <c r="AB85" s="19" t="s">
        <v>268</v>
      </c>
      <c r="AC85" s="19" t="s">
        <v>268</v>
      </c>
      <c r="AD85" s="19" t="s">
        <v>268</v>
      </c>
      <c r="AE85" s="19" t="s">
        <v>268</v>
      </c>
      <c r="AF85" s="19" t="s">
        <v>268</v>
      </c>
      <c r="AG85" s="19" t="s">
        <v>268</v>
      </c>
      <c r="AH85" s="19" t="s">
        <v>268</v>
      </c>
      <c r="AI85" s="19" t="s">
        <v>268</v>
      </c>
      <c r="AJ85" s="19" t="s">
        <v>268</v>
      </c>
      <c r="AK85" t="s">
        <v>17</v>
      </c>
      <c r="AL85" t="s">
        <v>17</v>
      </c>
      <c r="AM85" t="s">
        <v>17</v>
      </c>
      <c r="AN85" t="s">
        <v>17</v>
      </c>
      <c r="AO85" t="s">
        <v>17</v>
      </c>
      <c r="AP85" t="s">
        <v>17</v>
      </c>
      <c r="AQ85" t="s">
        <v>17</v>
      </c>
      <c r="AR85" t="s">
        <v>17</v>
      </c>
      <c r="AS85" t="s">
        <v>17</v>
      </c>
      <c r="AT85" t="s">
        <v>17</v>
      </c>
      <c r="AU85" t="s">
        <v>17</v>
      </c>
      <c r="AV85" t="s">
        <v>17</v>
      </c>
      <c r="AW85" t="s">
        <v>17</v>
      </c>
      <c r="AX85" t="s">
        <v>17</v>
      </c>
      <c r="AY85" t="s">
        <v>17</v>
      </c>
      <c r="AZ85" t="s">
        <v>17</v>
      </c>
      <c r="BA85" t="s">
        <v>17</v>
      </c>
      <c r="BB85" t="s">
        <v>17</v>
      </c>
      <c r="BC85" t="s">
        <v>17</v>
      </c>
      <c r="BD85" t="s">
        <v>17</v>
      </c>
      <c r="BE85" t="s">
        <v>17</v>
      </c>
      <c r="BF85" s="25" t="s">
        <v>265</v>
      </c>
      <c r="BG85" s="25" t="s">
        <v>265</v>
      </c>
      <c r="BH85" s="25" t="s">
        <v>265</v>
      </c>
      <c r="BI85" s="25" t="s">
        <v>265</v>
      </c>
      <c r="BJ85" s="25" t="s">
        <v>265</v>
      </c>
      <c r="BK85" s="25" t="s">
        <v>265</v>
      </c>
      <c r="BL85" s="25" t="s">
        <v>265</v>
      </c>
      <c r="BM85" s="25" t="s">
        <v>265</v>
      </c>
      <c r="BN85" s="25" t="s">
        <v>265</v>
      </c>
      <c r="BO85" s="25" t="s">
        <v>265</v>
      </c>
      <c r="BP85" s="25" t="s">
        <v>265</v>
      </c>
      <c r="BQ85" s="25" t="s">
        <v>265</v>
      </c>
      <c r="BR85" s="25" t="s">
        <v>265</v>
      </c>
      <c r="BS85" s="25" t="s">
        <v>265</v>
      </c>
      <c r="BT85" s="25" t="s">
        <v>265</v>
      </c>
      <c r="BU85" s="25" t="s">
        <v>265</v>
      </c>
      <c r="BV85" s="25" t="s">
        <v>265</v>
      </c>
      <c r="BW85" s="25" t="s">
        <v>265</v>
      </c>
      <c r="BX85" s="25" t="s">
        <v>265</v>
      </c>
      <c r="BY85" s="25" t="s">
        <v>265</v>
      </c>
      <c r="BZ85" s="25" t="s">
        <v>265</v>
      </c>
      <c r="CA85" s="25" t="s">
        <v>265</v>
      </c>
      <c r="CB85" s="25" t="s">
        <v>265</v>
      </c>
      <c r="CC85" s="25" t="s">
        <v>265</v>
      </c>
      <c r="CD85" s="25" t="s">
        <v>265</v>
      </c>
      <c r="CE85" s="25" t="s">
        <v>265</v>
      </c>
      <c r="CF85" s="25" t="s">
        <v>265</v>
      </c>
      <c r="CG85" s="25" t="s">
        <v>265</v>
      </c>
      <c r="CH85" s="25" t="s">
        <v>265</v>
      </c>
    </row>
    <row r="86" spans="2:97" ht="13.35" customHeight="1" x14ac:dyDescent="0.25">
      <c r="B86" s="2">
        <f t="shared" si="3"/>
        <v>84</v>
      </c>
      <c r="C86" s="21">
        <v>17</v>
      </c>
      <c r="D86" s="19" t="s">
        <v>268</v>
      </c>
      <c r="E86" s="19" t="s">
        <v>268</v>
      </c>
      <c r="F86" s="19" t="s">
        <v>268</v>
      </c>
      <c r="G86" s="19" t="s">
        <v>268</v>
      </c>
      <c r="H86" s="19" t="s">
        <v>268</v>
      </c>
      <c r="I86" s="19" t="s">
        <v>268</v>
      </c>
      <c r="J86" s="19" t="s">
        <v>268</v>
      </c>
      <c r="K86" s="19" t="s">
        <v>268</v>
      </c>
      <c r="L86" s="19" t="s">
        <v>268</v>
      </c>
      <c r="M86" s="19" t="s">
        <v>268</v>
      </c>
      <c r="N86" s="19" t="s">
        <v>268</v>
      </c>
      <c r="O86" s="19" t="s">
        <v>268</v>
      </c>
      <c r="P86" s="19" t="s">
        <v>268</v>
      </c>
      <c r="Q86" s="19" t="s">
        <v>268</v>
      </c>
      <c r="R86" s="19" t="s">
        <v>268</v>
      </c>
      <c r="S86" s="19" t="s">
        <v>268</v>
      </c>
      <c r="T86" s="19" t="s">
        <v>268</v>
      </c>
      <c r="U86" s="19" t="s">
        <v>268</v>
      </c>
      <c r="V86" s="19" t="s">
        <v>268</v>
      </c>
      <c r="W86" s="19" t="s">
        <v>268</v>
      </c>
      <c r="X86" s="19" t="s">
        <v>268</v>
      </c>
      <c r="Y86" s="19" t="s">
        <v>268</v>
      </c>
      <c r="Z86" s="19" t="s">
        <v>268</v>
      </c>
      <c r="AA86" s="19" t="s">
        <v>268</v>
      </c>
      <c r="AB86" s="19" t="s">
        <v>268</v>
      </c>
      <c r="AC86" s="19" t="s">
        <v>268</v>
      </c>
      <c r="AD86" s="19" t="s">
        <v>268</v>
      </c>
      <c r="AE86" s="19" t="s">
        <v>268</v>
      </c>
      <c r="AF86" s="19" t="s">
        <v>268</v>
      </c>
      <c r="AG86" s="19" t="s">
        <v>268</v>
      </c>
      <c r="AH86" s="19" t="s">
        <v>268</v>
      </c>
      <c r="AI86" s="19" t="s">
        <v>268</v>
      </c>
      <c r="AJ86" s="19" t="s">
        <v>268</v>
      </c>
      <c r="AK86" s="19" t="s">
        <v>268</v>
      </c>
      <c r="AL86" t="s">
        <v>17</v>
      </c>
      <c r="AM86" t="s">
        <v>17</v>
      </c>
      <c r="AN86" t="s">
        <v>17</v>
      </c>
      <c r="AO86" t="s">
        <v>17</v>
      </c>
      <c r="AP86" t="s">
        <v>17</v>
      </c>
      <c r="AQ86" t="s">
        <v>17</v>
      </c>
      <c r="AR86" t="s">
        <v>17</v>
      </c>
      <c r="AS86" t="s">
        <v>17</v>
      </c>
      <c r="AT86" t="s">
        <v>17</v>
      </c>
      <c r="AU86" t="s">
        <v>17</v>
      </c>
      <c r="AV86" t="s">
        <v>17</v>
      </c>
      <c r="AW86" t="s">
        <v>17</v>
      </c>
      <c r="AX86" t="s">
        <v>17</v>
      </c>
      <c r="AY86" t="s">
        <v>17</v>
      </c>
      <c r="AZ86" t="s">
        <v>17</v>
      </c>
      <c r="BA86" t="s">
        <v>17</v>
      </c>
      <c r="BB86" t="s">
        <v>17</v>
      </c>
      <c r="BC86" t="s">
        <v>17</v>
      </c>
      <c r="BD86" t="s">
        <v>17</v>
      </c>
      <c r="BE86" t="s">
        <v>17</v>
      </c>
      <c r="BF86" s="25" t="s">
        <v>265</v>
      </c>
      <c r="BG86" s="25" t="s">
        <v>265</v>
      </c>
      <c r="BH86" s="25" t="s">
        <v>265</v>
      </c>
      <c r="BI86" s="25" t="s">
        <v>265</v>
      </c>
      <c r="BJ86" s="25" t="s">
        <v>265</v>
      </c>
      <c r="BK86" s="25" t="s">
        <v>265</v>
      </c>
      <c r="BL86" s="25" t="s">
        <v>265</v>
      </c>
      <c r="BM86" s="25" t="s">
        <v>265</v>
      </c>
      <c r="BN86" s="25" t="s">
        <v>265</v>
      </c>
      <c r="BO86" s="25" t="s">
        <v>265</v>
      </c>
      <c r="BP86" s="25" t="s">
        <v>265</v>
      </c>
      <c r="BQ86" s="25" t="s">
        <v>265</v>
      </c>
      <c r="BR86" s="25" t="s">
        <v>265</v>
      </c>
      <c r="BS86" s="25" t="s">
        <v>265</v>
      </c>
      <c r="BT86" s="25" t="s">
        <v>265</v>
      </c>
      <c r="BU86" s="25" t="s">
        <v>265</v>
      </c>
      <c r="BV86" s="25" t="s">
        <v>265</v>
      </c>
      <c r="BW86" s="25" t="s">
        <v>265</v>
      </c>
      <c r="BX86" s="25" t="s">
        <v>265</v>
      </c>
      <c r="BY86" s="25" t="s">
        <v>265</v>
      </c>
      <c r="BZ86" s="25" t="s">
        <v>265</v>
      </c>
      <c r="CA86" s="25" t="s">
        <v>265</v>
      </c>
      <c r="CB86" s="25" t="s">
        <v>265</v>
      </c>
      <c r="CC86" s="25" t="s">
        <v>265</v>
      </c>
      <c r="CD86" s="25" t="s">
        <v>265</v>
      </c>
      <c r="CE86" s="25" t="s">
        <v>265</v>
      </c>
      <c r="CF86" s="25" t="s">
        <v>265</v>
      </c>
      <c r="CG86" s="25" t="s">
        <v>265</v>
      </c>
      <c r="CH86" s="25" t="s">
        <v>265</v>
      </c>
      <c r="CI86" s="25" t="s">
        <v>265</v>
      </c>
    </row>
    <row r="87" spans="2:97" ht="13.35" customHeight="1" x14ac:dyDescent="0.25">
      <c r="B87" s="2">
        <f t="shared" si="3"/>
        <v>85</v>
      </c>
      <c r="C87" s="21">
        <v>16</v>
      </c>
      <c r="D87" s="19" t="s">
        <v>268</v>
      </c>
      <c r="E87" s="19" t="s">
        <v>268</v>
      </c>
      <c r="F87" s="19" t="s">
        <v>268</v>
      </c>
      <c r="G87" s="19" t="s">
        <v>268</v>
      </c>
      <c r="H87" s="19" t="s">
        <v>268</v>
      </c>
      <c r="I87" s="19" t="s">
        <v>268</v>
      </c>
      <c r="J87" s="19" t="s">
        <v>268</v>
      </c>
      <c r="K87" s="19" t="s">
        <v>268</v>
      </c>
      <c r="L87" s="19" t="s">
        <v>268</v>
      </c>
      <c r="M87" s="19" t="s">
        <v>268</v>
      </c>
      <c r="N87" s="19" t="s">
        <v>268</v>
      </c>
      <c r="O87" s="19" t="s">
        <v>268</v>
      </c>
      <c r="P87" s="19" t="s">
        <v>268</v>
      </c>
      <c r="Q87" s="19" t="s">
        <v>268</v>
      </c>
      <c r="R87" s="19" t="s">
        <v>268</v>
      </c>
      <c r="S87" s="19" t="s">
        <v>268</v>
      </c>
      <c r="T87" s="19" t="s">
        <v>268</v>
      </c>
      <c r="U87" s="19" t="s">
        <v>268</v>
      </c>
      <c r="V87" s="19" t="s">
        <v>268</v>
      </c>
      <c r="W87" s="19" t="s">
        <v>268</v>
      </c>
      <c r="X87" s="19" t="s">
        <v>268</v>
      </c>
      <c r="Y87" s="19" t="s">
        <v>268</v>
      </c>
      <c r="Z87" s="19" t="s">
        <v>268</v>
      </c>
      <c r="AA87" s="19" t="s">
        <v>268</v>
      </c>
      <c r="AB87" s="19" t="s">
        <v>268</v>
      </c>
      <c r="AC87" s="19" t="s">
        <v>268</v>
      </c>
      <c r="AD87" s="19" t="s">
        <v>268</v>
      </c>
      <c r="AE87" s="19" t="s">
        <v>268</v>
      </c>
      <c r="AF87" s="19" t="s">
        <v>268</v>
      </c>
      <c r="AG87" s="19" t="s">
        <v>268</v>
      </c>
      <c r="AH87" s="19" t="s">
        <v>268</v>
      </c>
      <c r="AI87" s="19" t="s">
        <v>268</v>
      </c>
      <c r="AJ87" s="19" t="s">
        <v>268</v>
      </c>
      <c r="AK87" s="19" t="s">
        <v>268</v>
      </c>
      <c r="AL87" s="19" t="s">
        <v>268</v>
      </c>
      <c r="AM87" t="s">
        <v>17</v>
      </c>
      <c r="AN87" t="s">
        <v>17</v>
      </c>
      <c r="AO87" t="s">
        <v>17</v>
      </c>
      <c r="AP87" t="s">
        <v>17</v>
      </c>
      <c r="AQ87" t="s">
        <v>17</v>
      </c>
      <c r="AR87" t="s">
        <v>17</v>
      </c>
      <c r="AS87" t="s">
        <v>17</v>
      </c>
      <c r="AT87" t="s">
        <v>17</v>
      </c>
      <c r="AU87" t="s">
        <v>17</v>
      </c>
      <c r="AV87" t="s">
        <v>17</v>
      </c>
      <c r="AW87" t="s">
        <v>17</v>
      </c>
      <c r="AX87" t="s">
        <v>17</v>
      </c>
      <c r="AY87" t="s">
        <v>17</v>
      </c>
      <c r="AZ87" t="s">
        <v>17</v>
      </c>
      <c r="BA87" t="s">
        <v>17</v>
      </c>
      <c r="BB87" t="s">
        <v>17</v>
      </c>
      <c r="BC87" t="s">
        <v>17</v>
      </c>
      <c r="BD87" t="s">
        <v>17</v>
      </c>
      <c r="BE87" t="s">
        <v>17</v>
      </c>
      <c r="BF87" s="25" t="s">
        <v>265</v>
      </c>
      <c r="BG87" s="25" t="s">
        <v>265</v>
      </c>
      <c r="BH87" s="25" t="s">
        <v>265</v>
      </c>
      <c r="BI87" s="25" t="s">
        <v>265</v>
      </c>
      <c r="BJ87" s="25" t="s">
        <v>265</v>
      </c>
      <c r="BK87" s="25" t="s">
        <v>265</v>
      </c>
      <c r="BL87" s="25" t="s">
        <v>265</v>
      </c>
      <c r="BM87" s="25" t="s">
        <v>265</v>
      </c>
      <c r="BN87" s="25" t="s">
        <v>265</v>
      </c>
      <c r="BO87" s="25" t="s">
        <v>265</v>
      </c>
      <c r="BP87" s="25" t="s">
        <v>265</v>
      </c>
      <c r="BQ87" s="25" t="s">
        <v>265</v>
      </c>
      <c r="BR87" s="25" t="s">
        <v>265</v>
      </c>
      <c r="BS87" s="25" t="s">
        <v>265</v>
      </c>
      <c r="BT87" s="25" t="s">
        <v>265</v>
      </c>
      <c r="BU87" s="25" t="s">
        <v>265</v>
      </c>
      <c r="BV87" s="25" t="s">
        <v>265</v>
      </c>
      <c r="BW87" s="25" t="s">
        <v>265</v>
      </c>
      <c r="BX87" s="25" t="s">
        <v>265</v>
      </c>
      <c r="BY87" s="25" t="s">
        <v>265</v>
      </c>
      <c r="BZ87" s="25" t="s">
        <v>265</v>
      </c>
      <c r="CA87" s="25" t="s">
        <v>265</v>
      </c>
      <c r="CB87" s="25" t="s">
        <v>265</v>
      </c>
      <c r="CC87" s="25" t="s">
        <v>265</v>
      </c>
      <c r="CD87" s="25" t="s">
        <v>265</v>
      </c>
      <c r="CE87" s="25" t="s">
        <v>265</v>
      </c>
      <c r="CF87" s="25" t="s">
        <v>265</v>
      </c>
      <c r="CG87" s="25" t="s">
        <v>265</v>
      </c>
      <c r="CH87" s="25" t="s">
        <v>265</v>
      </c>
      <c r="CI87" s="25" t="s">
        <v>265</v>
      </c>
      <c r="CJ87" s="25" t="s">
        <v>265</v>
      </c>
    </row>
    <row r="88" spans="2:97" ht="13.35" customHeight="1" x14ac:dyDescent="0.25">
      <c r="B88" s="2">
        <f t="shared" si="3"/>
        <v>86</v>
      </c>
      <c r="C88" s="21">
        <v>15</v>
      </c>
      <c r="D88" s="19" t="s">
        <v>268</v>
      </c>
      <c r="E88" s="19" t="s">
        <v>268</v>
      </c>
      <c r="F88" s="19" t="s">
        <v>268</v>
      </c>
      <c r="G88" s="19" t="s">
        <v>268</v>
      </c>
      <c r="H88" s="19" t="s">
        <v>268</v>
      </c>
      <c r="I88" s="19" t="s">
        <v>268</v>
      </c>
      <c r="J88" s="19" t="s">
        <v>268</v>
      </c>
      <c r="K88" s="19" t="s">
        <v>268</v>
      </c>
      <c r="L88" s="19" t="s">
        <v>268</v>
      </c>
      <c r="M88" s="19" t="s">
        <v>268</v>
      </c>
      <c r="N88" s="19" t="s">
        <v>268</v>
      </c>
      <c r="O88" s="19" t="s">
        <v>268</v>
      </c>
      <c r="P88" s="19" t="s">
        <v>268</v>
      </c>
      <c r="Q88" s="19" t="s">
        <v>268</v>
      </c>
      <c r="R88" s="19" t="s">
        <v>268</v>
      </c>
      <c r="S88" s="19" t="s">
        <v>268</v>
      </c>
      <c r="T88" s="19" t="s">
        <v>268</v>
      </c>
      <c r="U88" s="19" t="s">
        <v>268</v>
      </c>
      <c r="V88" s="19" t="s">
        <v>268</v>
      </c>
      <c r="W88" s="19" t="s">
        <v>268</v>
      </c>
      <c r="X88" s="19" t="s">
        <v>268</v>
      </c>
      <c r="Y88" s="19" t="s">
        <v>268</v>
      </c>
      <c r="Z88" s="19" t="s">
        <v>268</v>
      </c>
      <c r="AA88" s="19" t="s">
        <v>268</v>
      </c>
      <c r="AB88" s="19" t="s">
        <v>268</v>
      </c>
      <c r="AC88" s="19" t="s">
        <v>268</v>
      </c>
      <c r="AD88" s="19" t="s">
        <v>268</v>
      </c>
      <c r="AE88" s="19" t="s">
        <v>268</v>
      </c>
      <c r="AF88" s="19" t="s">
        <v>268</v>
      </c>
      <c r="AG88" s="19" t="s">
        <v>268</v>
      </c>
      <c r="AH88" s="19" t="s">
        <v>268</v>
      </c>
      <c r="AI88" s="19" t="s">
        <v>268</v>
      </c>
      <c r="AJ88" s="19" t="s">
        <v>268</v>
      </c>
      <c r="AK88" s="19" t="s">
        <v>268</v>
      </c>
      <c r="AL88" s="19" t="s">
        <v>268</v>
      </c>
      <c r="AM88" s="19" t="s">
        <v>268</v>
      </c>
      <c r="AN88" t="s">
        <v>17</v>
      </c>
      <c r="AO88" t="s">
        <v>17</v>
      </c>
      <c r="AP88" t="s">
        <v>17</v>
      </c>
      <c r="AQ88" t="s">
        <v>17</v>
      </c>
      <c r="AR88" t="s">
        <v>17</v>
      </c>
      <c r="AS88" t="s">
        <v>17</v>
      </c>
      <c r="AT88" t="s">
        <v>17</v>
      </c>
      <c r="AU88" t="s">
        <v>17</v>
      </c>
      <c r="AV88" t="s">
        <v>17</v>
      </c>
      <c r="AW88" t="s">
        <v>17</v>
      </c>
      <c r="AX88" t="s">
        <v>17</v>
      </c>
      <c r="AY88" t="s">
        <v>17</v>
      </c>
      <c r="AZ88" t="s">
        <v>17</v>
      </c>
      <c r="BA88" t="s">
        <v>17</v>
      </c>
      <c r="BB88" t="s">
        <v>17</v>
      </c>
      <c r="BC88" t="s">
        <v>17</v>
      </c>
      <c r="BD88" t="s">
        <v>17</v>
      </c>
      <c r="BE88" t="s">
        <v>17</v>
      </c>
      <c r="BF88" s="25" t="s">
        <v>265</v>
      </c>
      <c r="BG88" s="25" t="s">
        <v>265</v>
      </c>
      <c r="BH88" s="25" t="s">
        <v>265</v>
      </c>
      <c r="BI88" s="25" t="s">
        <v>265</v>
      </c>
      <c r="BJ88" s="25" t="s">
        <v>265</v>
      </c>
      <c r="BK88" s="25" t="s">
        <v>265</v>
      </c>
      <c r="BL88" s="25" t="s">
        <v>265</v>
      </c>
      <c r="BM88" s="25" t="s">
        <v>265</v>
      </c>
      <c r="BN88" s="25" t="s">
        <v>265</v>
      </c>
      <c r="BO88" s="25" t="s">
        <v>265</v>
      </c>
      <c r="BP88" s="25" t="s">
        <v>265</v>
      </c>
      <c r="BQ88" s="25" t="s">
        <v>265</v>
      </c>
      <c r="BR88" s="25" t="s">
        <v>265</v>
      </c>
      <c r="BS88" s="25" t="s">
        <v>265</v>
      </c>
      <c r="BT88" s="25" t="s">
        <v>265</v>
      </c>
      <c r="BU88" s="25" t="s">
        <v>265</v>
      </c>
      <c r="BV88" s="25" t="s">
        <v>265</v>
      </c>
      <c r="BW88" s="25" t="s">
        <v>265</v>
      </c>
      <c r="BX88" s="25" t="s">
        <v>265</v>
      </c>
      <c r="BY88" s="25" t="s">
        <v>265</v>
      </c>
      <c r="BZ88" s="25" t="s">
        <v>265</v>
      </c>
      <c r="CA88" s="25" t="s">
        <v>265</v>
      </c>
      <c r="CB88" s="25" t="s">
        <v>265</v>
      </c>
      <c r="CC88" s="25" t="s">
        <v>265</v>
      </c>
      <c r="CD88" s="25" t="s">
        <v>265</v>
      </c>
      <c r="CE88" s="25" t="s">
        <v>265</v>
      </c>
      <c r="CF88" s="25" t="s">
        <v>265</v>
      </c>
      <c r="CG88" s="25" t="s">
        <v>265</v>
      </c>
      <c r="CH88" s="25" t="s">
        <v>265</v>
      </c>
      <c r="CI88" s="25" t="s">
        <v>265</v>
      </c>
      <c r="CJ88" s="24" t="s">
        <v>260</v>
      </c>
      <c r="CK88" s="24" t="s">
        <v>260</v>
      </c>
    </row>
    <row r="89" spans="2:97" ht="13.35" customHeight="1" x14ac:dyDescent="0.25">
      <c r="B89" s="2">
        <f t="shared" si="3"/>
        <v>87</v>
      </c>
      <c r="C89" s="21">
        <v>14</v>
      </c>
      <c r="D89" s="19" t="s">
        <v>268</v>
      </c>
      <c r="E89" s="19" t="s">
        <v>268</v>
      </c>
      <c r="F89" s="19" t="s">
        <v>268</v>
      </c>
      <c r="G89" s="19" t="s">
        <v>268</v>
      </c>
      <c r="H89" s="19" t="s">
        <v>268</v>
      </c>
      <c r="I89" s="19" t="s">
        <v>268</v>
      </c>
      <c r="J89" s="19" t="s">
        <v>268</v>
      </c>
      <c r="K89" s="19" t="s">
        <v>268</v>
      </c>
      <c r="L89" s="19" t="s">
        <v>268</v>
      </c>
      <c r="M89" s="19" t="s">
        <v>268</v>
      </c>
      <c r="N89" s="19" t="s">
        <v>268</v>
      </c>
      <c r="O89" s="19" t="s">
        <v>268</v>
      </c>
      <c r="P89" s="19" t="s">
        <v>268</v>
      </c>
      <c r="Q89" s="19" t="s">
        <v>268</v>
      </c>
      <c r="R89" s="19" t="s">
        <v>268</v>
      </c>
      <c r="S89" s="19" t="s">
        <v>268</v>
      </c>
      <c r="T89" s="19" t="s">
        <v>268</v>
      </c>
      <c r="U89" s="19" t="s">
        <v>268</v>
      </c>
      <c r="V89" s="19" t="s">
        <v>268</v>
      </c>
      <c r="W89" s="19" t="s">
        <v>268</v>
      </c>
      <c r="X89" s="19" t="s">
        <v>268</v>
      </c>
      <c r="Y89" s="19" t="s">
        <v>268</v>
      </c>
      <c r="Z89" s="19" t="s">
        <v>268</v>
      </c>
      <c r="AA89" s="19" t="s">
        <v>268</v>
      </c>
      <c r="AB89" s="19" t="s">
        <v>268</v>
      </c>
      <c r="AC89" s="19" t="s">
        <v>268</v>
      </c>
      <c r="AD89" s="19" t="s">
        <v>268</v>
      </c>
      <c r="AE89" s="19" t="s">
        <v>268</v>
      </c>
      <c r="AF89" s="19" t="s">
        <v>268</v>
      </c>
      <c r="AG89" s="19" t="s">
        <v>268</v>
      </c>
      <c r="AH89" s="19" t="s">
        <v>268</v>
      </c>
      <c r="AI89" s="19" t="s">
        <v>268</v>
      </c>
      <c r="AJ89" s="19" t="s">
        <v>268</v>
      </c>
      <c r="AK89" s="19" t="s">
        <v>268</v>
      </c>
      <c r="AL89" s="19" t="s">
        <v>268</v>
      </c>
      <c r="AM89" s="19" t="s">
        <v>268</v>
      </c>
      <c r="AN89" s="19" t="s">
        <v>265</v>
      </c>
      <c r="AO89" t="s">
        <v>17</v>
      </c>
      <c r="AP89" t="s">
        <v>17</v>
      </c>
      <c r="AQ89" t="s">
        <v>17</v>
      </c>
      <c r="AR89" t="s">
        <v>17</v>
      </c>
      <c r="AS89" t="s">
        <v>17</v>
      </c>
      <c r="AT89" t="s">
        <v>17</v>
      </c>
      <c r="AU89" t="s">
        <v>17</v>
      </c>
      <c r="AV89" t="s">
        <v>17</v>
      </c>
      <c r="AW89" t="s">
        <v>17</v>
      </c>
      <c r="AX89" t="s">
        <v>17</v>
      </c>
      <c r="AY89" t="s">
        <v>17</v>
      </c>
      <c r="AZ89" t="s">
        <v>17</v>
      </c>
      <c r="BA89" t="s">
        <v>17</v>
      </c>
      <c r="BB89" t="s">
        <v>17</v>
      </c>
      <c r="BC89" t="s">
        <v>17</v>
      </c>
      <c r="BD89" t="s">
        <v>17</v>
      </c>
      <c r="BE89" t="s">
        <v>17</v>
      </c>
      <c r="BF89" s="25" t="s">
        <v>265</v>
      </c>
      <c r="BG89" s="25" t="s">
        <v>265</v>
      </c>
      <c r="BH89" s="25" t="s">
        <v>265</v>
      </c>
      <c r="BI89" s="25" t="s">
        <v>265</v>
      </c>
      <c r="BJ89" s="25" t="s">
        <v>265</v>
      </c>
      <c r="BK89" s="25" t="s">
        <v>265</v>
      </c>
      <c r="BL89" s="25" t="s">
        <v>265</v>
      </c>
      <c r="BM89" s="25" t="s">
        <v>265</v>
      </c>
      <c r="BN89" s="25" t="s">
        <v>265</v>
      </c>
      <c r="BO89" s="25" t="s">
        <v>265</v>
      </c>
      <c r="BP89" s="25" t="s">
        <v>265</v>
      </c>
      <c r="BQ89" s="25" t="s">
        <v>265</v>
      </c>
      <c r="BR89" s="25" t="s">
        <v>265</v>
      </c>
      <c r="BS89" s="25" t="s">
        <v>265</v>
      </c>
      <c r="BT89" s="25" t="s">
        <v>265</v>
      </c>
      <c r="BU89" s="25" t="s">
        <v>265</v>
      </c>
      <c r="BV89" s="25" t="s">
        <v>265</v>
      </c>
      <c r="BW89" s="25" t="s">
        <v>265</v>
      </c>
      <c r="BX89" s="25" t="s">
        <v>265</v>
      </c>
      <c r="BY89" s="25" t="s">
        <v>265</v>
      </c>
      <c r="BZ89" s="25" t="s">
        <v>265</v>
      </c>
      <c r="CA89" s="25" t="s">
        <v>265</v>
      </c>
      <c r="CB89" s="25" t="s">
        <v>265</v>
      </c>
      <c r="CC89" s="25" t="s">
        <v>265</v>
      </c>
      <c r="CD89" s="25" t="s">
        <v>265</v>
      </c>
      <c r="CE89" s="25" t="s">
        <v>265</v>
      </c>
      <c r="CF89" s="25" t="s">
        <v>265</v>
      </c>
      <c r="CG89" s="25" t="s">
        <v>265</v>
      </c>
      <c r="CH89" s="25" t="s">
        <v>265</v>
      </c>
      <c r="CI89" s="24" t="s">
        <v>260</v>
      </c>
      <c r="CJ89" s="24" t="s">
        <v>260</v>
      </c>
      <c r="CK89" s="24" t="s">
        <v>260</v>
      </c>
      <c r="CL89" s="24" t="s">
        <v>260</v>
      </c>
    </row>
    <row r="90" spans="2:97" ht="13.35" customHeight="1" x14ac:dyDescent="0.25">
      <c r="B90" s="2">
        <f t="shared" si="3"/>
        <v>88</v>
      </c>
      <c r="C90" s="21">
        <v>13</v>
      </c>
      <c r="D90" s="19" t="s">
        <v>268</v>
      </c>
      <c r="E90" s="19" t="s">
        <v>268</v>
      </c>
      <c r="F90" s="19" t="s">
        <v>268</v>
      </c>
      <c r="G90" s="19" t="s">
        <v>268</v>
      </c>
      <c r="H90" s="19" t="s">
        <v>268</v>
      </c>
      <c r="I90" s="19" t="s">
        <v>268</v>
      </c>
      <c r="J90" s="19" t="s">
        <v>268</v>
      </c>
      <c r="K90" s="19" t="s">
        <v>268</v>
      </c>
      <c r="L90" s="19" t="s">
        <v>268</v>
      </c>
      <c r="M90" s="19" t="s">
        <v>268</v>
      </c>
      <c r="N90" s="19" t="s">
        <v>268</v>
      </c>
      <c r="O90" s="19" t="s">
        <v>268</v>
      </c>
      <c r="P90" s="19" t="s">
        <v>268</v>
      </c>
      <c r="Q90" s="19" t="s">
        <v>268</v>
      </c>
      <c r="R90" s="19" t="s">
        <v>268</v>
      </c>
      <c r="S90" s="19" t="s">
        <v>268</v>
      </c>
      <c r="T90" s="19" t="s">
        <v>268</v>
      </c>
      <c r="U90" s="19" t="s">
        <v>268</v>
      </c>
      <c r="V90" s="19" t="s">
        <v>268</v>
      </c>
      <c r="W90" s="19" t="s">
        <v>268</v>
      </c>
      <c r="X90" s="19" t="s">
        <v>268</v>
      </c>
      <c r="Y90" s="19" t="s">
        <v>268</v>
      </c>
      <c r="Z90" s="19" t="s">
        <v>268</v>
      </c>
      <c r="AA90" s="19" t="s">
        <v>268</v>
      </c>
      <c r="AB90" s="19" t="s">
        <v>268</v>
      </c>
      <c r="AC90" s="19" t="s">
        <v>268</v>
      </c>
      <c r="AD90" s="19" t="s">
        <v>268</v>
      </c>
      <c r="AE90" s="19" t="s">
        <v>268</v>
      </c>
      <c r="AF90" s="19" t="s">
        <v>268</v>
      </c>
      <c r="AG90" s="19" t="s">
        <v>268</v>
      </c>
      <c r="AH90" s="19" t="s">
        <v>268</v>
      </c>
      <c r="AI90" s="19" t="s">
        <v>268</v>
      </c>
      <c r="AJ90" s="19" t="s">
        <v>268</v>
      </c>
      <c r="AK90" s="19" t="s">
        <v>268</v>
      </c>
      <c r="AL90" s="19" t="s">
        <v>268</v>
      </c>
      <c r="AM90" s="19" t="s">
        <v>268</v>
      </c>
      <c r="AN90" s="19" t="s">
        <v>268</v>
      </c>
      <c r="AO90" s="19" t="s">
        <v>268</v>
      </c>
      <c r="AP90" t="s">
        <v>17</v>
      </c>
      <c r="AQ90" t="s">
        <v>17</v>
      </c>
      <c r="AR90" t="s">
        <v>17</v>
      </c>
      <c r="AS90" t="s">
        <v>17</v>
      </c>
      <c r="AT90" t="s">
        <v>17</v>
      </c>
      <c r="AU90" t="s">
        <v>17</v>
      </c>
      <c r="AV90" t="s">
        <v>17</v>
      </c>
      <c r="AW90" t="s">
        <v>17</v>
      </c>
      <c r="AX90" t="s">
        <v>17</v>
      </c>
      <c r="AY90" t="s">
        <v>17</v>
      </c>
      <c r="AZ90" t="s">
        <v>17</v>
      </c>
      <c r="BA90" t="s">
        <v>17</v>
      </c>
      <c r="BB90" t="s">
        <v>17</v>
      </c>
      <c r="BC90" t="s">
        <v>17</v>
      </c>
      <c r="BD90" t="s">
        <v>17</v>
      </c>
      <c r="BE90" t="s">
        <v>17</v>
      </c>
      <c r="BF90" s="25" t="s">
        <v>265</v>
      </c>
      <c r="BG90" s="25" t="s">
        <v>265</v>
      </c>
      <c r="BH90" s="25" t="s">
        <v>265</v>
      </c>
      <c r="BI90" s="25" t="s">
        <v>265</v>
      </c>
      <c r="BJ90" s="25" t="s">
        <v>265</v>
      </c>
      <c r="BK90" s="25" t="s">
        <v>265</v>
      </c>
      <c r="BL90" s="25" t="s">
        <v>265</v>
      </c>
      <c r="BM90" s="25" t="s">
        <v>265</v>
      </c>
      <c r="BN90" s="25" t="s">
        <v>265</v>
      </c>
      <c r="BO90" s="25" t="s">
        <v>265</v>
      </c>
      <c r="BP90" s="25" t="s">
        <v>265</v>
      </c>
      <c r="BQ90" s="25" t="s">
        <v>265</v>
      </c>
      <c r="BR90" s="25" t="s">
        <v>265</v>
      </c>
      <c r="BS90" s="25" t="s">
        <v>265</v>
      </c>
      <c r="BT90" s="25" t="s">
        <v>265</v>
      </c>
      <c r="BU90" s="25" t="s">
        <v>265</v>
      </c>
      <c r="BV90" s="25" t="s">
        <v>265</v>
      </c>
      <c r="BW90" s="25" t="s">
        <v>265</v>
      </c>
      <c r="BX90" s="25" t="s">
        <v>265</v>
      </c>
      <c r="BY90" s="25" t="s">
        <v>265</v>
      </c>
      <c r="BZ90" s="25" t="s">
        <v>265</v>
      </c>
      <c r="CA90" s="25" t="s">
        <v>265</v>
      </c>
      <c r="CB90" s="25" t="s">
        <v>265</v>
      </c>
      <c r="CC90" s="25" t="s">
        <v>265</v>
      </c>
      <c r="CD90" s="25" t="s">
        <v>265</v>
      </c>
      <c r="CE90" s="25" t="s">
        <v>265</v>
      </c>
      <c r="CF90" s="25" t="s">
        <v>265</v>
      </c>
      <c r="CG90" s="25" t="s">
        <v>265</v>
      </c>
      <c r="CH90" s="24" t="s">
        <v>260</v>
      </c>
      <c r="CI90" s="24" t="s">
        <v>260</v>
      </c>
      <c r="CJ90" s="24" t="s">
        <v>260</v>
      </c>
      <c r="CK90" s="24" t="s">
        <v>260</v>
      </c>
      <c r="CL90" s="24" t="s">
        <v>260</v>
      </c>
      <c r="CM90" s="24" t="s">
        <v>260</v>
      </c>
    </row>
    <row r="91" spans="2:97" ht="13.35" customHeight="1" x14ac:dyDescent="0.25">
      <c r="B91" s="2">
        <f t="shared" si="3"/>
        <v>89</v>
      </c>
      <c r="C91" s="21">
        <v>12</v>
      </c>
      <c r="D91" s="18" t="s">
        <v>262</v>
      </c>
      <c r="E91" s="18" t="s">
        <v>262</v>
      </c>
      <c r="F91" s="18" t="s">
        <v>262</v>
      </c>
      <c r="G91" s="18" t="s">
        <v>262</v>
      </c>
      <c r="H91" s="18" t="s">
        <v>262</v>
      </c>
      <c r="I91" s="18" t="s">
        <v>262</v>
      </c>
      <c r="J91" s="18" t="s">
        <v>262</v>
      </c>
      <c r="K91" s="18" t="s">
        <v>262</v>
      </c>
      <c r="L91" s="18" t="s">
        <v>262</v>
      </c>
      <c r="M91" s="19" t="s">
        <v>268</v>
      </c>
      <c r="N91" s="19" t="s">
        <v>268</v>
      </c>
      <c r="O91" s="19" t="s">
        <v>268</v>
      </c>
      <c r="P91" s="19" t="s">
        <v>268</v>
      </c>
      <c r="Q91" s="19" t="s">
        <v>268</v>
      </c>
      <c r="R91" s="19" t="s">
        <v>268</v>
      </c>
      <c r="S91" s="19" t="s">
        <v>268</v>
      </c>
      <c r="T91" s="19" t="s">
        <v>268</v>
      </c>
      <c r="U91" s="19" t="s">
        <v>268</v>
      </c>
      <c r="V91" s="19" t="s">
        <v>268</v>
      </c>
      <c r="W91" s="19" t="s">
        <v>268</v>
      </c>
      <c r="X91" s="19" t="s">
        <v>268</v>
      </c>
      <c r="Y91" s="19" t="s">
        <v>268</v>
      </c>
      <c r="Z91" s="19" t="s">
        <v>268</v>
      </c>
      <c r="AA91" s="19" t="s">
        <v>268</v>
      </c>
      <c r="AB91" s="19" t="s">
        <v>268</v>
      </c>
      <c r="AC91" s="19" t="s">
        <v>268</v>
      </c>
      <c r="AD91" s="19" t="s">
        <v>268</v>
      </c>
      <c r="AE91" s="19" t="s">
        <v>268</v>
      </c>
      <c r="AF91" s="19" t="s">
        <v>268</v>
      </c>
      <c r="AG91" s="19" t="s">
        <v>268</v>
      </c>
      <c r="AH91" s="19" t="s">
        <v>268</v>
      </c>
      <c r="AI91" s="19" t="s">
        <v>268</v>
      </c>
      <c r="AJ91" s="19" t="s">
        <v>268</v>
      </c>
      <c r="AK91" s="19" t="s">
        <v>268</v>
      </c>
      <c r="AL91" s="19" t="s">
        <v>268</v>
      </c>
      <c r="AM91" s="19" t="s">
        <v>268</v>
      </c>
      <c r="AN91" s="19" t="s">
        <v>268</v>
      </c>
      <c r="AO91" s="19" t="s">
        <v>268</v>
      </c>
      <c r="AP91" s="19" t="s">
        <v>268</v>
      </c>
      <c r="AQ91" t="s">
        <v>17</v>
      </c>
      <c r="AR91" t="s">
        <v>17</v>
      </c>
      <c r="AS91" t="s">
        <v>17</v>
      </c>
      <c r="AT91" t="s">
        <v>17</v>
      </c>
      <c r="AU91" t="s">
        <v>17</v>
      </c>
      <c r="AV91" t="s">
        <v>17</v>
      </c>
      <c r="AW91" t="s">
        <v>17</v>
      </c>
      <c r="AX91" t="s">
        <v>17</v>
      </c>
      <c r="AY91" t="s">
        <v>17</v>
      </c>
      <c r="AZ91" t="s">
        <v>17</v>
      </c>
      <c r="BA91" t="s">
        <v>17</v>
      </c>
      <c r="BB91" t="s">
        <v>17</v>
      </c>
      <c r="BC91" t="s">
        <v>17</v>
      </c>
      <c r="BD91" t="s">
        <v>17</v>
      </c>
      <c r="BE91" t="s">
        <v>17</v>
      </c>
      <c r="BF91" s="25" t="s">
        <v>265</v>
      </c>
      <c r="BG91" s="25" t="s">
        <v>265</v>
      </c>
      <c r="BH91" s="25" t="s">
        <v>265</v>
      </c>
      <c r="BI91" s="25" t="s">
        <v>265</v>
      </c>
      <c r="BJ91" s="25" t="s">
        <v>265</v>
      </c>
      <c r="BK91" s="25" t="s">
        <v>265</v>
      </c>
      <c r="BL91" s="25" t="s">
        <v>265</v>
      </c>
      <c r="BM91" s="25" t="s">
        <v>265</v>
      </c>
      <c r="BN91" s="25" t="s">
        <v>265</v>
      </c>
      <c r="BO91" s="25" t="s">
        <v>265</v>
      </c>
      <c r="BP91" s="25" t="s">
        <v>265</v>
      </c>
      <c r="BQ91" s="25" t="s">
        <v>265</v>
      </c>
      <c r="BR91" s="25" t="s">
        <v>265</v>
      </c>
      <c r="BS91" s="25" t="s">
        <v>265</v>
      </c>
      <c r="BT91" s="25" t="s">
        <v>265</v>
      </c>
      <c r="BU91" s="25" t="s">
        <v>265</v>
      </c>
      <c r="BV91" s="25" t="s">
        <v>265</v>
      </c>
      <c r="BW91" s="25" t="s">
        <v>265</v>
      </c>
      <c r="BX91" s="25" t="s">
        <v>265</v>
      </c>
      <c r="BY91" s="25" t="s">
        <v>265</v>
      </c>
      <c r="BZ91" s="25" t="s">
        <v>265</v>
      </c>
      <c r="CA91" s="25" t="s">
        <v>265</v>
      </c>
      <c r="CB91" s="25" t="s">
        <v>265</v>
      </c>
      <c r="CC91" s="25" t="s">
        <v>265</v>
      </c>
      <c r="CD91" s="25" t="s">
        <v>265</v>
      </c>
      <c r="CE91" s="25" t="s">
        <v>265</v>
      </c>
      <c r="CF91" s="25" t="s">
        <v>265</v>
      </c>
      <c r="CG91" s="24" t="s">
        <v>260</v>
      </c>
      <c r="CH91" s="24" t="s">
        <v>260</v>
      </c>
      <c r="CI91" s="24" t="s">
        <v>260</v>
      </c>
      <c r="CJ91" s="24" t="s">
        <v>260</v>
      </c>
      <c r="CK91" s="24" t="s">
        <v>260</v>
      </c>
      <c r="CL91" s="24" t="s">
        <v>260</v>
      </c>
      <c r="CM91" s="24" t="s">
        <v>260</v>
      </c>
      <c r="CN91" s="24" t="s">
        <v>260</v>
      </c>
    </row>
    <row r="92" spans="2:97" ht="13.35" customHeight="1" x14ac:dyDescent="0.25">
      <c r="B92" s="2">
        <f t="shared" si="3"/>
        <v>90</v>
      </c>
      <c r="C92" s="21">
        <v>11</v>
      </c>
      <c r="D92" s="18" t="s">
        <v>262</v>
      </c>
      <c r="E92" s="18" t="s">
        <v>262</v>
      </c>
      <c r="F92" s="18" t="s">
        <v>262</v>
      </c>
      <c r="G92" s="18" t="s">
        <v>262</v>
      </c>
      <c r="H92" s="18" t="s">
        <v>262</v>
      </c>
      <c r="I92" s="18" t="s">
        <v>262</v>
      </c>
      <c r="J92" s="18" t="s">
        <v>262</v>
      </c>
      <c r="K92" s="18" t="s">
        <v>262</v>
      </c>
      <c r="L92" s="18" t="s">
        <v>262</v>
      </c>
      <c r="M92" s="18" t="s">
        <v>262</v>
      </c>
      <c r="N92" s="19" t="s">
        <v>268</v>
      </c>
      <c r="O92" s="19" t="s">
        <v>268</v>
      </c>
      <c r="P92" s="19" t="s">
        <v>268</v>
      </c>
      <c r="Q92" s="19" t="s">
        <v>268</v>
      </c>
      <c r="R92" s="19" t="s">
        <v>268</v>
      </c>
      <c r="S92" s="19" t="s">
        <v>268</v>
      </c>
      <c r="T92" s="19" t="s">
        <v>268</v>
      </c>
      <c r="U92" s="19" t="s">
        <v>268</v>
      </c>
      <c r="V92" s="19" t="s">
        <v>268</v>
      </c>
      <c r="W92" s="19" t="s">
        <v>268</v>
      </c>
      <c r="X92" s="19" t="s">
        <v>268</v>
      </c>
      <c r="Y92" s="19" t="s">
        <v>268</v>
      </c>
      <c r="Z92" s="19" t="s">
        <v>268</v>
      </c>
      <c r="AA92" s="19" t="s">
        <v>268</v>
      </c>
      <c r="AB92" s="19" t="s">
        <v>268</v>
      </c>
      <c r="AC92" s="19" t="s">
        <v>268</v>
      </c>
      <c r="AD92" s="19" t="s">
        <v>268</v>
      </c>
      <c r="AE92" s="19" t="s">
        <v>268</v>
      </c>
      <c r="AF92" s="19" t="s">
        <v>268</v>
      </c>
      <c r="AG92" s="19" t="s">
        <v>268</v>
      </c>
      <c r="AH92" s="19" t="s">
        <v>268</v>
      </c>
      <c r="AI92" s="19" t="s">
        <v>268</v>
      </c>
      <c r="AJ92" s="19" t="s">
        <v>268</v>
      </c>
      <c r="AK92" s="19" t="s">
        <v>268</v>
      </c>
      <c r="AL92" s="19" t="s">
        <v>268</v>
      </c>
      <c r="AM92" s="19" t="s">
        <v>268</v>
      </c>
      <c r="AN92" s="19" t="s">
        <v>268</v>
      </c>
      <c r="AO92" s="19" t="s">
        <v>268</v>
      </c>
      <c r="AP92" s="19" t="s">
        <v>268</v>
      </c>
      <c r="AQ92" s="19" t="s">
        <v>268</v>
      </c>
      <c r="AR92" t="s">
        <v>17</v>
      </c>
      <c r="AS92" t="s">
        <v>17</v>
      </c>
      <c r="AT92" t="s">
        <v>17</v>
      </c>
      <c r="AU92" t="s">
        <v>17</v>
      </c>
      <c r="AV92" t="s">
        <v>17</v>
      </c>
      <c r="AW92" t="s">
        <v>17</v>
      </c>
      <c r="AX92" t="s">
        <v>17</v>
      </c>
      <c r="AY92" t="s">
        <v>17</v>
      </c>
      <c r="AZ92" t="s">
        <v>17</v>
      </c>
      <c r="BA92" t="s">
        <v>17</v>
      </c>
      <c r="BB92" t="s">
        <v>17</v>
      </c>
      <c r="BC92" t="s">
        <v>17</v>
      </c>
      <c r="BD92" t="s">
        <v>17</v>
      </c>
      <c r="BE92" t="s">
        <v>17</v>
      </c>
      <c r="BF92" s="25" t="s">
        <v>265</v>
      </c>
      <c r="BG92" s="25" t="s">
        <v>265</v>
      </c>
      <c r="BH92" s="25" t="s">
        <v>265</v>
      </c>
      <c r="BI92" s="25" t="s">
        <v>265</v>
      </c>
      <c r="BJ92" s="25" t="s">
        <v>265</v>
      </c>
      <c r="BK92" s="25" t="s">
        <v>265</v>
      </c>
      <c r="BL92" s="25" t="s">
        <v>265</v>
      </c>
      <c r="BM92" s="25" t="s">
        <v>265</v>
      </c>
      <c r="BN92" s="25" t="s">
        <v>265</v>
      </c>
      <c r="BO92" s="25" t="s">
        <v>265</v>
      </c>
      <c r="BP92" s="25" t="s">
        <v>265</v>
      </c>
      <c r="BQ92" s="25" t="s">
        <v>265</v>
      </c>
      <c r="BR92" s="25" t="s">
        <v>265</v>
      </c>
      <c r="BS92" s="25" t="s">
        <v>265</v>
      </c>
      <c r="BT92" s="25" t="s">
        <v>265</v>
      </c>
      <c r="BU92" s="25" t="s">
        <v>265</v>
      </c>
      <c r="BV92" s="25" t="s">
        <v>265</v>
      </c>
      <c r="BW92" s="25" t="s">
        <v>265</v>
      </c>
      <c r="BX92" s="25" t="s">
        <v>265</v>
      </c>
      <c r="BY92" s="25" t="s">
        <v>265</v>
      </c>
      <c r="BZ92" s="25" t="s">
        <v>265</v>
      </c>
      <c r="CA92" s="25" t="s">
        <v>265</v>
      </c>
      <c r="CB92" s="25" t="s">
        <v>265</v>
      </c>
      <c r="CC92" s="25" t="s">
        <v>265</v>
      </c>
      <c r="CD92" s="25" t="s">
        <v>265</v>
      </c>
      <c r="CE92" s="25" t="s">
        <v>265</v>
      </c>
      <c r="CF92" s="25" t="s">
        <v>265</v>
      </c>
      <c r="CG92" s="24" t="s">
        <v>260</v>
      </c>
      <c r="CH92" s="24" t="s">
        <v>260</v>
      </c>
      <c r="CI92" s="24" t="s">
        <v>260</v>
      </c>
      <c r="CJ92" s="24" t="s">
        <v>260</v>
      </c>
      <c r="CK92" s="24" t="s">
        <v>260</v>
      </c>
      <c r="CL92" s="24" t="s">
        <v>260</v>
      </c>
      <c r="CM92" s="24" t="s">
        <v>260</v>
      </c>
      <c r="CN92" s="24" t="s">
        <v>260</v>
      </c>
      <c r="CO92" s="24" t="s">
        <v>260</v>
      </c>
    </row>
    <row r="93" spans="2:97" ht="13.35" customHeight="1" x14ac:dyDescent="0.25">
      <c r="B93" s="2">
        <f t="shared" si="3"/>
        <v>91</v>
      </c>
      <c r="C93" s="21">
        <v>10</v>
      </c>
      <c r="D93" s="18" t="s">
        <v>262</v>
      </c>
      <c r="E93" s="18" t="s">
        <v>262</v>
      </c>
      <c r="F93" s="18" t="s">
        <v>262</v>
      </c>
      <c r="G93" s="18" t="s">
        <v>262</v>
      </c>
      <c r="H93" s="18" t="s">
        <v>262</v>
      </c>
      <c r="I93" s="18" t="s">
        <v>262</v>
      </c>
      <c r="J93" s="18" t="s">
        <v>262</v>
      </c>
      <c r="K93" s="18" t="s">
        <v>262</v>
      </c>
      <c r="L93" s="18" t="s">
        <v>262</v>
      </c>
      <c r="M93" s="18" t="s">
        <v>262</v>
      </c>
      <c r="N93" s="18" t="s">
        <v>262</v>
      </c>
      <c r="O93" s="19" t="s">
        <v>268</v>
      </c>
      <c r="P93" s="19" t="s">
        <v>268</v>
      </c>
      <c r="Q93" s="19" t="s">
        <v>268</v>
      </c>
      <c r="R93" s="19" t="s">
        <v>268</v>
      </c>
      <c r="S93" s="19" t="s">
        <v>268</v>
      </c>
      <c r="T93" s="19" t="s">
        <v>268</v>
      </c>
      <c r="U93" s="19" t="s">
        <v>268</v>
      </c>
      <c r="V93" s="19" t="s">
        <v>268</v>
      </c>
      <c r="W93" s="19" t="s">
        <v>268</v>
      </c>
      <c r="X93" s="19" t="s">
        <v>268</v>
      </c>
      <c r="Y93" s="19" t="s">
        <v>268</v>
      </c>
      <c r="Z93" s="19" t="s">
        <v>268</v>
      </c>
      <c r="AA93" s="19" t="s">
        <v>268</v>
      </c>
      <c r="AB93" s="19" t="s">
        <v>268</v>
      </c>
      <c r="AC93" s="19" t="s">
        <v>268</v>
      </c>
      <c r="AD93" s="19" t="s">
        <v>268</v>
      </c>
      <c r="AE93" s="19" t="s">
        <v>268</v>
      </c>
      <c r="AF93" s="19" t="s">
        <v>268</v>
      </c>
      <c r="AG93" s="19" t="s">
        <v>268</v>
      </c>
      <c r="AH93" s="19" t="s">
        <v>268</v>
      </c>
      <c r="AI93" s="19" t="s">
        <v>268</v>
      </c>
      <c r="AJ93" s="19" t="s">
        <v>268</v>
      </c>
      <c r="AK93" s="19" t="s">
        <v>268</v>
      </c>
      <c r="AL93" s="19" t="s">
        <v>268</v>
      </c>
      <c r="AM93" s="19" t="s">
        <v>268</v>
      </c>
      <c r="AN93" s="19" t="s">
        <v>268</v>
      </c>
      <c r="AO93" s="19" t="s">
        <v>268</v>
      </c>
      <c r="AP93" s="19" t="s">
        <v>268</v>
      </c>
      <c r="AQ93" s="19" t="s">
        <v>268</v>
      </c>
      <c r="AR93" s="19" t="s">
        <v>268</v>
      </c>
      <c r="AS93" t="s">
        <v>17</v>
      </c>
      <c r="AT93" t="s">
        <v>17</v>
      </c>
      <c r="AU93" t="s">
        <v>17</v>
      </c>
      <c r="AV93" t="s">
        <v>17</v>
      </c>
      <c r="AW93" t="s">
        <v>17</v>
      </c>
      <c r="AX93" t="s">
        <v>17</v>
      </c>
      <c r="AY93" t="s">
        <v>17</v>
      </c>
      <c r="AZ93" t="s">
        <v>17</v>
      </c>
      <c r="BA93" t="s">
        <v>17</v>
      </c>
      <c r="BB93" t="s">
        <v>17</v>
      </c>
      <c r="BC93" t="s">
        <v>17</v>
      </c>
      <c r="BD93" t="s">
        <v>17</v>
      </c>
      <c r="BE93" t="s">
        <v>17</v>
      </c>
      <c r="BF93" s="25" t="s">
        <v>265</v>
      </c>
      <c r="BG93" s="25" t="s">
        <v>265</v>
      </c>
      <c r="BH93" s="25" t="s">
        <v>265</v>
      </c>
      <c r="BI93" s="25" t="s">
        <v>265</v>
      </c>
      <c r="BJ93" s="25" t="s">
        <v>265</v>
      </c>
      <c r="BK93" s="25" t="s">
        <v>265</v>
      </c>
      <c r="BL93" s="25" t="s">
        <v>265</v>
      </c>
      <c r="BM93" s="25" t="s">
        <v>265</v>
      </c>
      <c r="BN93" s="25" t="s">
        <v>265</v>
      </c>
      <c r="BO93" s="25" t="s">
        <v>265</v>
      </c>
      <c r="BP93" s="25" t="s">
        <v>265</v>
      </c>
      <c r="BQ93" s="25" t="s">
        <v>265</v>
      </c>
      <c r="BR93" s="25" t="s">
        <v>265</v>
      </c>
      <c r="BS93" s="25" t="s">
        <v>265</v>
      </c>
      <c r="BT93" s="25" t="s">
        <v>265</v>
      </c>
      <c r="BU93" s="25" t="s">
        <v>265</v>
      </c>
      <c r="BV93" s="25" t="s">
        <v>265</v>
      </c>
      <c r="BW93" s="25" t="s">
        <v>265</v>
      </c>
      <c r="BX93" s="25" t="s">
        <v>265</v>
      </c>
      <c r="BY93" s="25" t="s">
        <v>265</v>
      </c>
      <c r="BZ93" s="25" t="s">
        <v>265</v>
      </c>
      <c r="CA93" s="25" t="s">
        <v>265</v>
      </c>
      <c r="CB93" s="25" t="s">
        <v>265</v>
      </c>
      <c r="CC93" s="25" t="s">
        <v>265</v>
      </c>
      <c r="CD93" s="25" t="s">
        <v>265</v>
      </c>
      <c r="CE93" s="25" t="s">
        <v>265</v>
      </c>
      <c r="CF93" s="24" t="s">
        <v>260</v>
      </c>
      <c r="CG93" s="24" t="s">
        <v>260</v>
      </c>
      <c r="CH93" s="24" t="s">
        <v>260</v>
      </c>
      <c r="CI93" s="24" t="s">
        <v>260</v>
      </c>
      <c r="CJ93" s="24" t="s">
        <v>260</v>
      </c>
      <c r="CK93" s="24" t="s">
        <v>260</v>
      </c>
      <c r="CL93" s="24" t="s">
        <v>260</v>
      </c>
      <c r="CM93" s="24" t="s">
        <v>260</v>
      </c>
      <c r="CN93" s="24" t="s">
        <v>260</v>
      </c>
      <c r="CO93" s="24" t="s">
        <v>260</v>
      </c>
      <c r="CP93" s="20" t="s">
        <v>20</v>
      </c>
    </row>
    <row r="94" spans="2:97" ht="13.35" customHeight="1" x14ac:dyDescent="0.25">
      <c r="B94" s="2">
        <f t="shared" si="3"/>
        <v>92</v>
      </c>
      <c r="C94" s="21">
        <v>9</v>
      </c>
      <c r="D94" s="18" t="s">
        <v>262</v>
      </c>
      <c r="E94" s="18" t="s">
        <v>262</v>
      </c>
      <c r="F94" s="18" t="s">
        <v>262</v>
      </c>
      <c r="G94" s="18" t="s">
        <v>262</v>
      </c>
      <c r="H94" s="18" t="s">
        <v>262</v>
      </c>
      <c r="I94" s="18" t="s">
        <v>262</v>
      </c>
      <c r="J94" s="18" t="s">
        <v>262</v>
      </c>
      <c r="K94" s="18" t="s">
        <v>262</v>
      </c>
      <c r="L94" s="18" t="s">
        <v>262</v>
      </c>
      <c r="M94" s="18" t="s">
        <v>262</v>
      </c>
      <c r="N94" s="18" t="s">
        <v>262</v>
      </c>
      <c r="O94" s="18" t="s">
        <v>262</v>
      </c>
      <c r="P94" s="19" t="s">
        <v>268</v>
      </c>
      <c r="Q94" s="19" t="s">
        <v>268</v>
      </c>
      <c r="R94" s="19" t="s">
        <v>268</v>
      </c>
      <c r="S94" s="19" t="s">
        <v>268</v>
      </c>
      <c r="T94" s="19" t="s">
        <v>268</v>
      </c>
      <c r="U94" s="19" t="s">
        <v>268</v>
      </c>
      <c r="V94" s="19" t="s">
        <v>268</v>
      </c>
      <c r="W94" s="19" t="s">
        <v>268</v>
      </c>
      <c r="X94" s="19" t="s">
        <v>268</v>
      </c>
      <c r="Y94" s="19" t="s">
        <v>268</v>
      </c>
      <c r="Z94" s="19" t="s">
        <v>268</v>
      </c>
      <c r="AA94" s="19" t="s">
        <v>268</v>
      </c>
      <c r="AB94" s="19" t="s">
        <v>268</v>
      </c>
      <c r="AC94" s="19" t="s">
        <v>268</v>
      </c>
      <c r="AD94" s="19" t="s">
        <v>268</v>
      </c>
      <c r="AE94" s="19" t="s">
        <v>268</v>
      </c>
      <c r="AF94" s="19" t="s">
        <v>268</v>
      </c>
      <c r="AG94" s="19" t="s">
        <v>268</v>
      </c>
      <c r="AH94" s="19" t="s">
        <v>268</v>
      </c>
      <c r="AI94" s="19" t="s">
        <v>268</v>
      </c>
      <c r="AJ94" s="19" t="s">
        <v>268</v>
      </c>
      <c r="AK94" s="19" t="s">
        <v>268</v>
      </c>
      <c r="AL94" s="19" t="s">
        <v>268</v>
      </c>
      <c r="AM94" s="19" t="s">
        <v>268</v>
      </c>
      <c r="AN94" s="19" t="s">
        <v>268</v>
      </c>
      <c r="AO94" s="19" t="s">
        <v>268</v>
      </c>
      <c r="AP94" s="19" t="s">
        <v>268</v>
      </c>
      <c r="AQ94" s="19" t="s">
        <v>268</v>
      </c>
      <c r="AR94" s="19" t="s">
        <v>268</v>
      </c>
      <c r="AS94" s="19" t="s">
        <v>268</v>
      </c>
      <c r="AT94" t="s">
        <v>17</v>
      </c>
      <c r="AU94" t="s">
        <v>17</v>
      </c>
      <c r="AV94" t="s">
        <v>17</v>
      </c>
      <c r="AW94" t="s">
        <v>17</v>
      </c>
      <c r="AX94" t="s">
        <v>17</v>
      </c>
      <c r="AY94" t="s">
        <v>17</v>
      </c>
      <c r="AZ94" t="s">
        <v>17</v>
      </c>
      <c r="BA94" t="s">
        <v>17</v>
      </c>
      <c r="BB94" t="s">
        <v>17</v>
      </c>
      <c r="BC94" t="s">
        <v>17</v>
      </c>
      <c r="BD94" t="s">
        <v>17</v>
      </c>
      <c r="BE94" t="s">
        <v>17</v>
      </c>
      <c r="BF94" s="25" t="s">
        <v>265</v>
      </c>
      <c r="BG94" s="25" t="s">
        <v>265</v>
      </c>
      <c r="BH94" s="25" t="s">
        <v>265</v>
      </c>
      <c r="BI94" s="25" t="s">
        <v>265</v>
      </c>
      <c r="BJ94" s="25" t="s">
        <v>265</v>
      </c>
      <c r="BK94" s="25" t="s">
        <v>265</v>
      </c>
      <c r="BL94" s="25" t="s">
        <v>265</v>
      </c>
      <c r="BM94" s="25" t="s">
        <v>265</v>
      </c>
      <c r="BN94" s="25" t="s">
        <v>265</v>
      </c>
      <c r="BO94" s="25" t="s">
        <v>265</v>
      </c>
      <c r="BP94" s="25" t="s">
        <v>265</v>
      </c>
      <c r="BQ94" s="25" t="s">
        <v>265</v>
      </c>
      <c r="BR94" s="25" t="s">
        <v>265</v>
      </c>
      <c r="BS94" s="25" t="s">
        <v>265</v>
      </c>
      <c r="BT94" s="25" t="s">
        <v>265</v>
      </c>
      <c r="BU94" s="25" t="s">
        <v>265</v>
      </c>
      <c r="BV94" s="25" t="s">
        <v>265</v>
      </c>
      <c r="BW94" s="25" t="s">
        <v>265</v>
      </c>
      <c r="BX94" s="25" t="s">
        <v>265</v>
      </c>
      <c r="BY94" s="25" t="s">
        <v>265</v>
      </c>
      <c r="BZ94" s="25" t="s">
        <v>265</v>
      </c>
      <c r="CA94" s="25" t="s">
        <v>265</v>
      </c>
      <c r="CB94" s="25" t="s">
        <v>265</v>
      </c>
      <c r="CC94" s="25" t="s">
        <v>265</v>
      </c>
      <c r="CD94" s="25" t="s">
        <v>265</v>
      </c>
      <c r="CE94" s="24" t="s">
        <v>260</v>
      </c>
      <c r="CF94" s="24" t="s">
        <v>260</v>
      </c>
      <c r="CG94" s="24" t="s">
        <v>260</v>
      </c>
      <c r="CH94" s="24" t="s">
        <v>260</v>
      </c>
      <c r="CI94" s="24" t="s">
        <v>260</v>
      </c>
      <c r="CJ94" s="24" t="s">
        <v>260</v>
      </c>
      <c r="CK94" s="24" t="s">
        <v>260</v>
      </c>
      <c r="CL94" s="24" t="s">
        <v>260</v>
      </c>
      <c r="CM94" s="24" t="s">
        <v>260</v>
      </c>
      <c r="CN94" s="24" t="s">
        <v>260</v>
      </c>
      <c r="CO94" s="20" t="s">
        <v>20</v>
      </c>
      <c r="CP94" s="20" t="s">
        <v>20</v>
      </c>
      <c r="CQ94" s="20" t="s">
        <v>20</v>
      </c>
    </row>
    <row r="95" spans="2:97" ht="13.35" customHeight="1" x14ac:dyDescent="0.25">
      <c r="B95" s="2">
        <f t="shared" si="3"/>
        <v>93</v>
      </c>
      <c r="C95" s="21">
        <v>8</v>
      </c>
      <c r="D95" s="18" t="s">
        <v>262</v>
      </c>
      <c r="E95" s="18" t="s">
        <v>262</v>
      </c>
      <c r="F95" s="18" t="s">
        <v>262</v>
      </c>
      <c r="G95" s="18" t="s">
        <v>262</v>
      </c>
      <c r="H95" s="18" t="s">
        <v>262</v>
      </c>
      <c r="I95" s="18" t="s">
        <v>262</v>
      </c>
      <c r="J95" s="18" t="s">
        <v>262</v>
      </c>
      <c r="K95" s="18" t="s">
        <v>262</v>
      </c>
      <c r="L95" s="18" t="s">
        <v>262</v>
      </c>
      <c r="M95" s="18" t="s">
        <v>262</v>
      </c>
      <c r="N95" s="18" t="s">
        <v>262</v>
      </c>
      <c r="O95" s="18" t="s">
        <v>262</v>
      </c>
      <c r="P95" s="18" t="s">
        <v>262</v>
      </c>
      <c r="Q95" s="19" t="s">
        <v>268</v>
      </c>
      <c r="R95" s="19" t="s">
        <v>268</v>
      </c>
      <c r="S95" s="19" t="s">
        <v>268</v>
      </c>
      <c r="T95" s="19" t="s">
        <v>268</v>
      </c>
      <c r="U95" s="19" t="s">
        <v>268</v>
      </c>
      <c r="V95" s="19" t="s">
        <v>268</v>
      </c>
      <c r="W95" s="19" t="s">
        <v>268</v>
      </c>
      <c r="X95" s="19" t="s">
        <v>268</v>
      </c>
      <c r="Y95" s="19" t="s">
        <v>268</v>
      </c>
      <c r="Z95" s="19" t="s">
        <v>268</v>
      </c>
      <c r="AA95" s="19" t="s">
        <v>268</v>
      </c>
      <c r="AB95" s="19" t="s">
        <v>268</v>
      </c>
      <c r="AC95" s="19" t="s">
        <v>268</v>
      </c>
      <c r="AD95" s="19" t="s">
        <v>268</v>
      </c>
      <c r="AE95" s="19" t="s">
        <v>268</v>
      </c>
      <c r="AF95" s="19" t="s">
        <v>268</v>
      </c>
      <c r="AG95" s="19" t="s">
        <v>268</v>
      </c>
      <c r="AH95" s="19" t="s">
        <v>268</v>
      </c>
      <c r="AI95" s="19" t="s">
        <v>268</v>
      </c>
      <c r="AJ95" s="19" t="s">
        <v>268</v>
      </c>
      <c r="AK95" s="19" t="s">
        <v>268</v>
      </c>
      <c r="AL95" s="19" t="s">
        <v>268</v>
      </c>
      <c r="AM95" s="19" t="s">
        <v>268</v>
      </c>
      <c r="AN95" s="19" t="s">
        <v>268</v>
      </c>
      <c r="AO95" s="19" t="s">
        <v>268</v>
      </c>
      <c r="AP95" s="19" t="s">
        <v>268</v>
      </c>
      <c r="AQ95" s="19" t="s">
        <v>268</v>
      </c>
      <c r="AR95" s="19" t="s">
        <v>268</v>
      </c>
      <c r="AS95" s="19" t="s">
        <v>268</v>
      </c>
      <c r="AT95" s="19" t="s">
        <v>268</v>
      </c>
      <c r="AU95" t="s">
        <v>17</v>
      </c>
      <c r="AV95" t="s">
        <v>17</v>
      </c>
      <c r="AW95" t="s">
        <v>17</v>
      </c>
      <c r="AX95" t="s">
        <v>17</v>
      </c>
      <c r="AY95" t="s">
        <v>17</v>
      </c>
      <c r="AZ95" t="s">
        <v>17</v>
      </c>
      <c r="BA95" t="s">
        <v>17</v>
      </c>
      <c r="BB95" t="s">
        <v>17</v>
      </c>
      <c r="BC95" t="s">
        <v>17</v>
      </c>
      <c r="BD95" t="s">
        <v>17</v>
      </c>
      <c r="BE95" t="s">
        <v>17</v>
      </c>
      <c r="BF95" s="25" t="s">
        <v>265</v>
      </c>
      <c r="BG95" s="25" t="s">
        <v>265</v>
      </c>
      <c r="BH95" s="25" t="s">
        <v>265</v>
      </c>
      <c r="BI95" s="25" t="s">
        <v>265</v>
      </c>
      <c r="BJ95" s="25" t="s">
        <v>265</v>
      </c>
      <c r="BK95" s="25" t="s">
        <v>265</v>
      </c>
      <c r="BL95" s="25" t="s">
        <v>265</v>
      </c>
      <c r="BM95" s="25" t="s">
        <v>265</v>
      </c>
      <c r="BN95" s="25" t="s">
        <v>265</v>
      </c>
      <c r="BO95" s="25" t="s">
        <v>265</v>
      </c>
      <c r="BP95" s="25" t="s">
        <v>265</v>
      </c>
      <c r="BQ95" s="25" t="s">
        <v>265</v>
      </c>
      <c r="BR95" s="25" t="s">
        <v>265</v>
      </c>
      <c r="BS95" s="25" t="s">
        <v>265</v>
      </c>
      <c r="BT95" s="25" t="s">
        <v>265</v>
      </c>
      <c r="BU95" s="25" t="s">
        <v>265</v>
      </c>
      <c r="BV95" s="25" t="s">
        <v>265</v>
      </c>
      <c r="BW95" s="25" t="s">
        <v>265</v>
      </c>
      <c r="BX95" s="25" t="s">
        <v>265</v>
      </c>
      <c r="BY95" s="25" t="s">
        <v>265</v>
      </c>
      <c r="BZ95" s="25" t="s">
        <v>265</v>
      </c>
      <c r="CA95" s="25" t="s">
        <v>265</v>
      </c>
      <c r="CB95" s="25" t="s">
        <v>265</v>
      </c>
      <c r="CC95" s="25" t="s">
        <v>265</v>
      </c>
      <c r="CD95" s="24" t="s">
        <v>260</v>
      </c>
      <c r="CE95" s="24" t="s">
        <v>260</v>
      </c>
      <c r="CF95" s="24" t="s">
        <v>260</v>
      </c>
      <c r="CG95" s="24" t="s">
        <v>260</v>
      </c>
      <c r="CH95" s="24" t="s">
        <v>260</v>
      </c>
      <c r="CI95" s="24" t="s">
        <v>260</v>
      </c>
      <c r="CJ95" s="24" t="s">
        <v>260</v>
      </c>
      <c r="CK95" s="24" t="s">
        <v>260</v>
      </c>
      <c r="CL95" s="24" t="s">
        <v>260</v>
      </c>
      <c r="CM95" s="24" t="s">
        <v>260</v>
      </c>
      <c r="CN95" s="24" t="s">
        <v>260</v>
      </c>
      <c r="CO95" s="20" t="s">
        <v>20</v>
      </c>
      <c r="CP95" s="20" t="s">
        <v>20</v>
      </c>
      <c r="CQ95" s="20" t="s">
        <v>20</v>
      </c>
      <c r="CR95" s="20" t="s">
        <v>20</v>
      </c>
    </row>
    <row r="96" spans="2:97" ht="13.35" customHeight="1" x14ac:dyDescent="0.25">
      <c r="B96" s="2">
        <f t="shared" si="3"/>
        <v>94</v>
      </c>
      <c r="C96" s="21">
        <v>7</v>
      </c>
      <c r="D96" s="18" t="s">
        <v>262</v>
      </c>
      <c r="E96" s="18" t="s">
        <v>262</v>
      </c>
      <c r="F96" s="18" t="s">
        <v>262</v>
      </c>
      <c r="G96" s="18" t="s">
        <v>262</v>
      </c>
      <c r="H96" s="18" t="s">
        <v>262</v>
      </c>
      <c r="I96" s="18" t="s">
        <v>262</v>
      </c>
      <c r="J96" s="18" t="s">
        <v>262</v>
      </c>
      <c r="K96" s="18" t="s">
        <v>262</v>
      </c>
      <c r="L96" s="18" t="s">
        <v>262</v>
      </c>
      <c r="M96" s="18" t="s">
        <v>262</v>
      </c>
      <c r="N96" s="18" t="s">
        <v>262</v>
      </c>
      <c r="O96" s="18" t="s">
        <v>262</v>
      </c>
      <c r="P96" s="18" t="s">
        <v>262</v>
      </c>
      <c r="Q96" s="18" t="s">
        <v>262</v>
      </c>
      <c r="R96" s="19" t="s">
        <v>268</v>
      </c>
      <c r="S96" s="19" t="s">
        <v>268</v>
      </c>
      <c r="T96" s="19" t="s">
        <v>268</v>
      </c>
      <c r="U96" s="19" t="s">
        <v>268</v>
      </c>
      <c r="V96" s="19" t="s">
        <v>268</v>
      </c>
      <c r="W96" s="19" t="s">
        <v>268</v>
      </c>
      <c r="X96" s="19" t="s">
        <v>268</v>
      </c>
      <c r="Y96" s="19" t="s">
        <v>268</v>
      </c>
      <c r="Z96" s="19" t="s">
        <v>268</v>
      </c>
      <c r="AA96" s="19" t="s">
        <v>268</v>
      </c>
      <c r="AB96" s="19" t="s">
        <v>268</v>
      </c>
      <c r="AC96" s="19" t="s">
        <v>268</v>
      </c>
      <c r="AD96" s="19" t="s">
        <v>268</v>
      </c>
      <c r="AE96" s="19" t="s">
        <v>268</v>
      </c>
      <c r="AF96" s="19" t="s">
        <v>268</v>
      </c>
      <c r="AG96" s="19" t="s">
        <v>268</v>
      </c>
      <c r="AH96" s="19" t="s">
        <v>268</v>
      </c>
      <c r="AI96" s="19" t="s">
        <v>268</v>
      </c>
      <c r="AJ96" s="19" t="s">
        <v>268</v>
      </c>
      <c r="AK96" s="19" t="s">
        <v>268</v>
      </c>
      <c r="AL96" s="19" t="s">
        <v>268</v>
      </c>
      <c r="AM96" s="19" t="s">
        <v>268</v>
      </c>
      <c r="AN96" s="19" t="s">
        <v>268</v>
      </c>
      <c r="AO96" s="19" t="s">
        <v>268</v>
      </c>
      <c r="AP96" s="19" t="s">
        <v>268</v>
      </c>
      <c r="AQ96" s="19" t="s">
        <v>268</v>
      </c>
      <c r="AR96" s="19" t="s">
        <v>268</v>
      </c>
      <c r="AS96" s="19" t="s">
        <v>268</v>
      </c>
      <c r="AT96" s="19" t="s">
        <v>268</v>
      </c>
      <c r="AU96" s="19" t="s">
        <v>268</v>
      </c>
      <c r="AV96" s="25" t="s">
        <v>265</v>
      </c>
      <c r="AW96" s="25" t="s">
        <v>265</v>
      </c>
      <c r="AX96" s="25" t="s">
        <v>265</v>
      </c>
      <c r="AY96" s="25" t="s">
        <v>265</v>
      </c>
      <c r="AZ96" s="25" t="s">
        <v>265</v>
      </c>
      <c r="BA96" s="25" t="s">
        <v>265</v>
      </c>
      <c r="BB96" s="25" t="s">
        <v>265</v>
      </c>
      <c r="BC96" s="25" t="s">
        <v>265</v>
      </c>
      <c r="BD96" s="25" t="s">
        <v>265</v>
      </c>
      <c r="BE96" s="25" t="s">
        <v>265</v>
      </c>
      <c r="BF96" s="25" t="s">
        <v>265</v>
      </c>
      <c r="BG96" s="25" t="s">
        <v>265</v>
      </c>
      <c r="BH96" s="25" t="s">
        <v>265</v>
      </c>
      <c r="BI96" s="25" t="s">
        <v>265</v>
      </c>
      <c r="BJ96" s="25" t="s">
        <v>265</v>
      </c>
      <c r="BK96" s="25" t="s">
        <v>265</v>
      </c>
      <c r="BL96" s="25" t="s">
        <v>265</v>
      </c>
      <c r="BM96" s="25" t="s">
        <v>265</v>
      </c>
      <c r="BN96" s="25" t="s">
        <v>265</v>
      </c>
      <c r="BO96" s="25" t="s">
        <v>265</v>
      </c>
      <c r="BP96" s="25" t="s">
        <v>265</v>
      </c>
      <c r="BQ96" s="25" t="s">
        <v>265</v>
      </c>
      <c r="BR96" s="25" t="s">
        <v>265</v>
      </c>
      <c r="BS96" s="25" t="s">
        <v>265</v>
      </c>
      <c r="BT96" s="25" t="s">
        <v>265</v>
      </c>
      <c r="BU96" s="25" t="s">
        <v>265</v>
      </c>
      <c r="BV96" s="25" t="s">
        <v>265</v>
      </c>
      <c r="BW96" s="25" t="s">
        <v>265</v>
      </c>
      <c r="BX96" s="25" t="s">
        <v>265</v>
      </c>
      <c r="BY96" s="25" t="s">
        <v>265</v>
      </c>
      <c r="BZ96" s="25" t="s">
        <v>265</v>
      </c>
      <c r="CA96" s="25" t="s">
        <v>265</v>
      </c>
      <c r="CB96" s="25" t="s">
        <v>265</v>
      </c>
      <c r="CC96" s="24" t="s">
        <v>260</v>
      </c>
      <c r="CD96" s="24" t="s">
        <v>260</v>
      </c>
      <c r="CE96" s="24" t="s">
        <v>260</v>
      </c>
      <c r="CF96" s="24" t="s">
        <v>260</v>
      </c>
      <c r="CG96" s="24" t="s">
        <v>260</v>
      </c>
      <c r="CH96" s="24" t="s">
        <v>260</v>
      </c>
      <c r="CI96" s="24" t="s">
        <v>260</v>
      </c>
      <c r="CJ96" s="24" t="s">
        <v>260</v>
      </c>
      <c r="CK96" s="24" t="s">
        <v>260</v>
      </c>
      <c r="CL96" s="24" t="s">
        <v>260</v>
      </c>
      <c r="CM96" s="24" t="s">
        <v>260</v>
      </c>
      <c r="CN96" s="20" t="s">
        <v>20</v>
      </c>
      <c r="CO96" s="20" t="s">
        <v>20</v>
      </c>
      <c r="CP96" s="20" t="s">
        <v>20</v>
      </c>
      <c r="CQ96" s="20" t="s">
        <v>20</v>
      </c>
      <c r="CR96" s="20" t="s">
        <v>20</v>
      </c>
      <c r="CS96" s="20" t="s">
        <v>20</v>
      </c>
    </row>
    <row r="97" spans="1:104" ht="13.35" customHeight="1" x14ac:dyDescent="0.25">
      <c r="A97" s="21" t="s">
        <v>15</v>
      </c>
      <c r="B97" s="2">
        <f t="shared" si="3"/>
        <v>95</v>
      </c>
      <c r="C97" s="21">
        <v>6</v>
      </c>
      <c r="D97" s="18" t="s">
        <v>262</v>
      </c>
      <c r="E97" s="18" t="s">
        <v>262</v>
      </c>
      <c r="F97" s="18" t="s">
        <v>262</v>
      </c>
      <c r="G97" s="18" t="s">
        <v>262</v>
      </c>
      <c r="H97" s="18" t="s">
        <v>262</v>
      </c>
      <c r="I97" s="18" t="s">
        <v>262</v>
      </c>
      <c r="J97" s="18" t="s">
        <v>262</v>
      </c>
      <c r="K97" s="18" t="s">
        <v>262</v>
      </c>
      <c r="L97" s="18" t="s">
        <v>262</v>
      </c>
      <c r="M97" s="18" t="s">
        <v>262</v>
      </c>
      <c r="N97" s="18" t="s">
        <v>262</v>
      </c>
      <c r="O97" s="18" t="s">
        <v>262</v>
      </c>
      <c r="P97" s="18" t="s">
        <v>262</v>
      </c>
      <c r="Q97" s="18" t="s">
        <v>262</v>
      </c>
      <c r="R97" s="18" t="s">
        <v>262</v>
      </c>
      <c r="S97" s="19" t="s">
        <v>268</v>
      </c>
      <c r="T97" s="19" t="s">
        <v>268</v>
      </c>
      <c r="U97" s="19" t="s">
        <v>268</v>
      </c>
      <c r="V97" s="19" t="s">
        <v>268</v>
      </c>
      <c r="W97" s="19" t="s">
        <v>268</v>
      </c>
      <c r="X97" s="19" t="s">
        <v>268</v>
      </c>
      <c r="Y97" s="19" t="s">
        <v>268</v>
      </c>
      <c r="Z97" s="19" t="s">
        <v>268</v>
      </c>
      <c r="AA97" s="19" t="s">
        <v>268</v>
      </c>
      <c r="AB97" s="19" t="s">
        <v>268</v>
      </c>
      <c r="AC97" s="19" t="s">
        <v>268</v>
      </c>
      <c r="AD97" s="19" t="s">
        <v>268</v>
      </c>
      <c r="AE97" s="19" t="s">
        <v>268</v>
      </c>
      <c r="AF97" s="19" t="s">
        <v>268</v>
      </c>
      <c r="AG97" s="19" t="s">
        <v>268</v>
      </c>
      <c r="AH97" s="19" t="s">
        <v>268</v>
      </c>
      <c r="AI97" s="19" t="s">
        <v>268</v>
      </c>
      <c r="AJ97" s="19" t="s">
        <v>268</v>
      </c>
      <c r="AK97" s="19" t="s">
        <v>268</v>
      </c>
      <c r="AL97" s="19" t="s">
        <v>268</v>
      </c>
      <c r="AM97" s="19" t="s">
        <v>268</v>
      </c>
      <c r="AN97" s="19" t="s">
        <v>268</v>
      </c>
      <c r="AO97" s="19" t="s">
        <v>268</v>
      </c>
      <c r="AP97" s="19" t="s">
        <v>268</v>
      </c>
      <c r="AQ97" s="19" t="s">
        <v>268</v>
      </c>
      <c r="AR97" s="19" t="s">
        <v>268</v>
      </c>
      <c r="AS97" s="19" t="s">
        <v>268</v>
      </c>
      <c r="AT97" s="19" t="s">
        <v>268</v>
      </c>
      <c r="AU97" s="19" t="s">
        <v>268</v>
      </c>
      <c r="AV97" s="19" t="s">
        <v>268</v>
      </c>
      <c r="AW97" s="25" t="s">
        <v>265</v>
      </c>
      <c r="AX97" s="25" t="s">
        <v>265</v>
      </c>
      <c r="AY97" s="25" t="s">
        <v>265</v>
      </c>
      <c r="AZ97" s="25" t="s">
        <v>265</v>
      </c>
      <c r="BA97" s="25" t="s">
        <v>265</v>
      </c>
      <c r="BB97" s="25" t="s">
        <v>265</v>
      </c>
      <c r="BC97" s="25" t="s">
        <v>265</v>
      </c>
      <c r="BD97" s="25" t="s">
        <v>265</v>
      </c>
      <c r="BE97" s="25" t="s">
        <v>265</v>
      </c>
      <c r="BF97" s="25" t="s">
        <v>265</v>
      </c>
      <c r="BG97" s="25" t="s">
        <v>265</v>
      </c>
      <c r="BH97" s="25" t="s">
        <v>265</v>
      </c>
      <c r="BI97" s="25" t="s">
        <v>265</v>
      </c>
      <c r="BJ97" s="25" t="s">
        <v>265</v>
      </c>
      <c r="BK97" s="25" t="s">
        <v>265</v>
      </c>
      <c r="BL97" s="25" t="s">
        <v>265</v>
      </c>
      <c r="BM97" s="25" t="s">
        <v>265</v>
      </c>
      <c r="BN97" s="25" t="s">
        <v>265</v>
      </c>
      <c r="BO97" s="25" t="s">
        <v>265</v>
      </c>
      <c r="BP97" s="25" t="s">
        <v>265</v>
      </c>
      <c r="BQ97" s="25" t="s">
        <v>265</v>
      </c>
      <c r="BR97" s="25" t="s">
        <v>265</v>
      </c>
      <c r="BS97" s="25" t="s">
        <v>265</v>
      </c>
      <c r="BT97" s="25" t="s">
        <v>265</v>
      </c>
      <c r="BU97" s="25" t="s">
        <v>265</v>
      </c>
      <c r="BV97" s="25" t="s">
        <v>265</v>
      </c>
      <c r="BW97" s="25" t="s">
        <v>265</v>
      </c>
      <c r="BX97" s="25" t="s">
        <v>265</v>
      </c>
      <c r="BY97" s="25" t="s">
        <v>265</v>
      </c>
      <c r="BZ97" s="25" t="s">
        <v>265</v>
      </c>
      <c r="CA97" s="25" t="s">
        <v>265</v>
      </c>
      <c r="CB97" s="24" t="s">
        <v>260</v>
      </c>
      <c r="CC97" s="24" t="s">
        <v>260</v>
      </c>
      <c r="CD97" s="24" t="s">
        <v>260</v>
      </c>
      <c r="CE97" s="24" t="s">
        <v>260</v>
      </c>
      <c r="CF97" s="24" t="s">
        <v>260</v>
      </c>
      <c r="CG97" s="24" t="s">
        <v>260</v>
      </c>
      <c r="CH97" s="24" t="s">
        <v>260</v>
      </c>
      <c r="CI97" s="24" t="s">
        <v>260</v>
      </c>
      <c r="CJ97" s="24" t="s">
        <v>260</v>
      </c>
      <c r="CK97" s="24" t="s">
        <v>260</v>
      </c>
      <c r="CL97" s="24" t="s">
        <v>260</v>
      </c>
      <c r="CM97" s="24" t="s">
        <v>260</v>
      </c>
      <c r="CN97" s="20" t="s">
        <v>20</v>
      </c>
      <c r="CO97" s="20" t="s">
        <v>20</v>
      </c>
      <c r="CP97" s="20" t="s">
        <v>20</v>
      </c>
      <c r="CQ97" s="20" t="s">
        <v>20</v>
      </c>
      <c r="CR97" s="20" t="s">
        <v>20</v>
      </c>
      <c r="CS97" s="20" t="s">
        <v>20</v>
      </c>
      <c r="CT97" s="20" t="s">
        <v>20</v>
      </c>
    </row>
    <row r="98" spans="1:104" ht="13.35" customHeight="1" x14ac:dyDescent="0.25">
      <c r="A98" s="21" t="s">
        <v>262</v>
      </c>
      <c r="B98" s="2">
        <f t="shared" si="3"/>
        <v>96</v>
      </c>
      <c r="C98" s="21">
        <v>5</v>
      </c>
      <c r="D98" s="18" t="s">
        <v>262</v>
      </c>
      <c r="E98" s="18" t="s">
        <v>262</v>
      </c>
      <c r="F98" s="18" t="s">
        <v>262</v>
      </c>
      <c r="G98" s="18" t="s">
        <v>262</v>
      </c>
      <c r="H98" s="18" t="s">
        <v>262</v>
      </c>
      <c r="I98" s="18" t="s">
        <v>262</v>
      </c>
      <c r="J98" s="18" t="s">
        <v>262</v>
      </c>
      <c r="K98" s="18" t="s">
        <v>262</v>
      </c>
      <c r="L98" s="18" t="s">
        <v>262</v>
      </c>
      <c r="M98" s="18" t="s">
        <v>262</v>
      </c>
      <c r="N98" s="18" t="s">
        <v>262</v>
      </c>
      <c r="O98" s="18" t="s">
        <v>262</v>
      </c>
      <c r="P98" s="18" t="s">
        <v>262</v>
      </c>
      <c r="Q98" s="18" t="s">
        <v>262</v>
      </c>
      <c r="R98" s="18" t="s">
        <v>262</v>
      </c>
      <c r="S98" s="18" t="s">
        <v>262</v>
      </c>
      <c r="T98" s="19" t="s">
        <v>268</v>
      </c>
      <c r="U98" s="19" t="s">
        <v>268</v>
      </c>
      <c r="V98" s="19" t="s">
        <v>268</v>
      </c>
      <c r="W98" s="19" t="s">
        <v>268</v>
      </c>
      <c r="X98" s="19" t="s">
        <v>268</v>
      </c>
      <c r="Y98" s="19" t="s">
        <v>268</v>
      </c>
      <c r="Z98" s="19" t="s">
        <v>268</v>
      </c>
      <c r="AA98" s="19" t="s">
        <v>268</v>
      </c>
      <c r="AB98" s="19" t="s">
        <v>268</v>
      </c>
      <c r="AC98" s="19" t="s">
        <v>268</v>
      </c>
      <c r="AD98" s="19" t="s">
        <v>268</v>
      </c>
      <c r="AE98" s="19" t="s">
        <v>268</v>
      </c>
      <c r="AF98" s="19" t="s">
        <v>268</v>
      </c>
      <c r="AG98" s="19" t="s">
        <v>268</v>
      </c>
      <c r="AH98" s="19" t="s">
        <v>268</v>
      </c>
      <c r="AI98" s="19" t="s">
        <v>268</v>
      </c>
      <c r="AJ98" s="19" t="s">
        <v>268</v>
      </c>
      <c r="AK98" s="19" t="s">
        <v>268</v>
      </c>
      <c r="AL98" s="19" t="s">
        <v>268</v>
      </c>
      <c r="AM98" s="19" t="s">
        <v>268</v>
      </c>
      <c r="AN98" s="19" t="s">
        <v>268</v>
      </c>
      <c r="AO98" s="19" t="s">
        <v>268</v>
      </c>
      <c r="AP98" s="19" t="s">
        <v>268</v>
      </c>
      <c r="AQ98" s="19" t="s">
        <v>268</v>
      </c>
      <c r="AR98" s="19" t="s">
        <v>268</v>
      </c>
      <c r="AS98" s="19" t="s">
        <v>268</v>
      </c>
      <c r="AT98" s="19" t="s">
        <v>268</v>
      </c>
      <c r="AU98" s="19" t="s">
        <v>268</v>
      </c>
      <c r="AV98" s="19" t="s">
        <v>268</v>
      </c>
      <c r="AW98" s="19" t="s">
        <v>268</v>
      </c>
      <c r="AX98" s="25" t="s">
        <v>265</v>
      </c>
      <c r="AY98" s="25" t="s">
        <v>265</v>
      </c>
      <c r="AZ98" s="25" t="s">
        <v>265</v>
      </c>
      <c r="BA98" s="25" t="s">
        <v>265</v>
      </c>
      <c r="BB98" s="25" t="s">
        <v>265</v>
      </c>
      <c r="BC98" s="25" t="s">
        <v>265</v>
      </c>
      <c r="BD98" s="25" t="s">
        <v>265</v>
      </c>
      <c r="BE98" s="25" t="s">
        <v>265</v>
      </c>
      <c r="BF98" s="25" t="s">
        <v>265</v>
      </c>
      <c r="BG98" s="25" t="s">
        <v>265</v>
      </c>
      <c r="BH98" s="25" t="s">
        <v>265</v>
      </c>
      <c r="BI98" s="25" t="s">
        <v>265</v>
      </c>
      <c r="BJ98" s="25" t="s">
        <v>265</v>
      </c>
      <c r="BK98" s="25" t="s">
        <v>265</v>
      </c>
      <c r="BL98" s="25" t="s">
        <v>265</v>
      </c>
      <c r="BM98" s="25" t="s">
        <v>265</v>
      </c>
      <c r="BN98" s="25" t="s">
        <v>265</v>
      </c>
      <c r="BO98" s="25" t="s">
        <v>265</v>
      </c>
      <c r="BP98" s="25" t="s">
        <v>265</v>
      </c>
      <c r="BQ98" s="25" t="s">
        <v>265</v>
      </c>
      <c r="BR98" s="25" t="s">
        <v>265</v>
      </c>
      <c r="BS98" s="25" t="s">
        <v>265</v>
      </c>
      <c r="BT98" s="25" t="s">
        <v>265</v>
      </c>
      <c r="BU98" s="25" t="s">
        <v>265</v>
      </c>
      <c r="BV98" s="25" t="s">
        <v>265</v>
      </c>
      <c r="BW98" s="25" t="s">
        <v>265</v>
      </c>
      <c r="BX98" s="25" t="s">
        <v>265</v>
      </c>
      <c r="BY98" s="25" t="s">
        <v>265</v>
      </c>
      <c r="BZ98" s="25" t="s">
        <v>265</v>
      </c>
      <c r="CA98" s="24" t="s">
        <v>260</v>
      </c>
      <c r="CB98" s="24" t="s">
        <v>260</v>
      </c>
      <c r="CC98" s="24" t="s">
        <v>260</v>
      </c>
      <c r="CD98" s="24" t="s">
        <v>260</v>
      </c>
      <c r="CE98" s="24" t="s">
        <v>260</v>
      </c>
      <c r="CF98" s="24" t="s">
        <v>260</v>
      </c>
      <c r="CG98" s="24" t="s">
        <v>260</v>
      </c>
      <c r="CH98" s="24" t="s">
        <v>260</v>
      </c>
      <c r="CI98" s="24" t="s">
        <v>260</v>
      </c>
      <c r="CJ98" s="24" t="s">
        <v>260</v>
      </c>
      <c r="CK98" s="24" t="s">
        <v>260</v>
      </c>
      <c r="CL98" s="24" t="s">
        <v>260</v>
      </c>
      <c r="CM98" s="20" t="s">
        <v>20</v>
      </c>
      <c r="CN98" s="20" t="s">
        <v>20</v>
      </c>
      <c r="CO98" s="20" t="s">
        <v>20</v>
      </c>
      <c r="CP98" s="20" t="s">
        <v>20</v>
      </c>
      <c r="CQ98" s="20" t="s">
        <v>20</v>
      </c>
      <c r="CR98" s="20" t="s">
        <v>20</v>
      </c>
      <c r="CS98" s="20" t="s">
        <v>20</v>
      </c>
      <c r="CT98" s="20" t="s">
        <v>20</v>
      </c>
      <c r="CU98" s="20" t="s">
        <v>20</v>
      </c>
    </row>
    <row r="99" spans="1:104" ht="13.35" customHeight="1" x14ac:dyDescent="0.25">
      <c r="A99" s="21" t="s">
        <v>262</v>
      </c>
      <c r="B99" s="2">
        <f t="shared" si="3"/>
        <v>97</v>
      </c>
      <c r="C99" s="21">
        <v>4</v>
      </c>
      <c r="D99" s="18" t="s">
        <v>262</v>
      </c>
      <c r="E99" s="18" t="s">
        <v>262</v>
      </c>
      <c r="F99" s="18" t="s">
        <v>262</v>
      </c>
      <c r="G99" s="18" t="s">
        <v>262</v>
      </c>
      <c r="H99" s="18" t="s">
        <v>262</v>
      </c>
      <c r="I99" s="18" t="s">
        <v>262</v>
      </c>
      <c r="J99" s="18" t="s">
        <v>262</v>
      </c>
      <c r="K99" s="18" t="s">
        <v>262</v>
      </c>
      <c r="L99" s="18" t="s">
        <v>262</v>
      </c>
      <c r="M99" s="18" t="s">
        <v>262</v>
      </c>
      <c r="N99" s="18" t="s">
        <v>262</v>
      </c>
      <c r="O99" s="18" t="s">
        <v>262</v>
      </c>
      <c r="P99" s="18" t="s">
        <v>262</v>
      </c>
      <c r="Q99" s="18" t="s">
        <v>262</v>
      </c>
      <c r="R99" s="18" t="s">
        <v>262</v>
      </c>
      <c r="S99" s="18" t="s">
        <v>262</v>
      </c>
      <c r="T99" s="18" t="s">
        <v>262</v>
      </c>
      <c r="U99" s="19" t="s">
        <v>268</v>
      </c>
      <c r="V99" s="19" t="s">
        <v>268</v>
      </c>
      <c r="W99" s="19" t="s">
        <v>268</v>
      </c>
      <c r="X99" s="19" t="s">
        <v>268</v>
      </c>
      <c r="Y99" s="19" t="s">
        <v>268</v>
      </c>
      <c r="Z99" s="19" t="s">
        <v>268</v>
      </c>
      <c r="AA99" s="19" t="s">
        <v>268</v>
      </c>
      <c r="AB99" s="19" t="s">
        <v>268</v>
      </c>
      <c r="AC99" s="19" t="s">
        <v>268</v>
      </c>
      <c r="AD99" s="19" t="s">
        <v>268</v>
      </c>
      <c r="AE99" s="19" t="s">
        <v>268</v>
      </c>
      <c r="AF99" s="19" t="s">
        <v>268</v>
      </c>
      <c r="AG99" s="19" t="s">
        <v>268</v>
      </c>
      <c r="AH99" s="19" t="s">
        <v>268</v>
      </c>
      <c r="AI99" s="19" t="s">
        <v>268</v>
      </c>
      <c r="AJ99" s="19" t="s">
        <v>268</v>
      </c>
      <c r="AK99" s="19" t="s">
        <v>268</v>
      </c>
      <c r="AL99" s="19" t="s">
        <v>268</v>
      </c>
      <c r="AM99" s="19" t="s">
        <v>268</v>
      </c>
      <c r="AN99" s="19" t="s">
        <v>268</v>
      </c>
      <c r="AO99" s="19" t="s">
        <v>268</v>
      </c>
      <c r="AP99" s="19" t="s">
        <v>268</v>
      </c>
      <c r="AQ99" s="19" t="s">
        <v>268</v>
      </c>
      <c r="AR99" s="19" t="s">
        <v>268</v>
      </c>
      <c r="AS99" s="19" t="s">
        <v>268</v>
      </c>
      <c r="AT99" s="19" t="s">
        <v>268</v>
      </c>
      <c r="AU99" s="19" t="s">
        <v>268</v>
      </c>
      <c r="AV99" s="19" t="s">
        <v>268</v>
      </c>
      <c r="AW99" s="19" t="s">
        <v>268</v>
      </c>
      <c r="AX99" s="19" t="s">
        <v>268</v>
      </c>
      <c r="AY99" s="25" t="s">
        <v>265</v>
      </c>
      <c r="AZ99" s="25" t="s">
        <v>265</v>
      </c>
      <c r="BA99" s="25" t="s">
        <v>265</v>
      </c>
      <c r="BB99" s="25" t="s">
        <v>265</v>
      </c>
      <c r="BC99" s="25" t="s">
        <v>265</v>
      </c>
      <c r="BD99" s="25" t="s">
        <v>265</v>
      </c>
      <c r="BE99" s="25" t="s">
        <v>265</v>
      </c>
      <c r="BF99" s="25" t="s">
        <v>265</v>
      </c>
      <c r="BG99" s="25" t="s">
        <v>265</v>
      </c>
      <c r="BH99" s="25" t="s">
        <v>265</v>
      </c>
      <c r="BI99" s="25" t="s">
        <v>265</v>
      </c>
      <c r="BJ99" s="25" t="s">
        <v>265</v>
      </c>
      <c r="BK99" s="25" t="s">
        <v>265</v>
      </c>
      <c r="BL99" s="25" t="s">
        <v>265</v>
      </c>
      <c r="BM99" s="25" t="s">
        <v>265</v>
      </c>
      <c r="BN99" s="25" t="s">
        <v>265</v>
      </c>
      <c r="BO99" s="25" t="s">
        <v>265</v>
      </c>
      <c r="BP99" s="25" t="s">
        <v>265</v>
      </c>
      <c r="BQ99" s="25" t="s">
        <v>265</v>
      </c>
      <c r="BR99" s="25" t="s">
        <v>265</v>
      </c>
      <c r="BS99" s="25" t="s">
        <v>265</v>
      </c>
      <c r="BT99" s="25" t="s">
        <v>265</v>
      </c>
      <c r="BU99" s="25" t="s">
        <v>265</v>
      </c>
      <c r="BV99" s="25" t="s">
        <v>265</v>
      </c>
      <c r="BW99" s="25" t="s">
        <v>265</v>
      </c>
      <c r="BX99" s="25" t="s">
        <v>265</v>
      </c>
      <c r="BY99" s="25" t="s">
        <v>265</v>
      </c>
      <c r="BZ99" s="24" t="s">
        <v>260</v>
      </c>
      <c r="CA99" s="24" t="s">
        <v>260</v>
      </c>
      <c r="CB99" s="24" t="s">
        <v>260</v>
      </c>
      <c r="CC99" s="24" t="s">
        <v>260</v>
      </c>
      <c r="CD99" s="24" t="s">
        <v>260</v>
      </c>
      <c r="CE99" s="24" t="s">
        <v>260</v>
      </c>
      <c r="CF99" s="24" t="s">
        <v>260</v>
      </c>
      <c r="CG99" s="24" t="s">
        <v>260</v>
      </c>
      <c r="CH99" s="24" t="s">
        <v>260</v>
      </c>
      <c r="CI99" s="24" t="s">
        <v>260</v>
      </c>
      <c r="CJ99" s="24" t="s">
        <v>260</v>
      </c>
      <c r="CK99" s="24" t="s">
        <v>260</v>
      </c>
      <c r="CL99" s="24" t="s">
        <v>260</v>
      </c>
      <c r="CM99" s="20" t="s">
        <v>20</v>
      </c>
      <c r="CN99" s="20" t="s">
        <v>20</v>
      </c>
      <c r="CO99" s="20" t="s">
        <v>20</v>
      </c>
      <c r="CP99" s="20" t="s">
        <v>20</v>
      </c>
      <c r="CQ99" s="20" t="s">
        <v>20</v>
      </c>
      <c r="CR99" s="20" t="s">
        <v>20</v>
      </c>
      <c r="CS99" s="20" t="s">
        <v>20</v>
      </c>
      <c r="CT99" s="20" t="s">
        <v>20</v>
      </c>
      <c r="CU99" s="20" t="s">
        <v>20</v>
      </c>
      <c r="CV99" s="20" t="s">
        <v>20</v>
      </c>
    </row>
    <row r="100" spans="1:104" ht="13.35" customHeight="1" x14ac:dyDescent="0.25">
      <c r="A100" s="21" t="s">
        <v>287</v>
      </c>
      <c r="B100" s="2">
        <f t="shared" si="3"/>
        <v>98</v>
      </c>
      <c r="C100" s="21">
        <v>3</v>
      </c>
      <c r="D100" s="18" t="s">
        <v>262</v>
      </c>
      <c r="E100" s="18" t="s">
        <v>262</v>
      </c>
      <c r="F100" s="18" t="s">
        <v>262</v>
      </c>
      <c r="G100" s="18" t="s">
        <v>262</v>
      </c>
      <c r="H100" s="18" t="s">
        <v>262</v>
      </c>
      <c r="I100" s="18" t="s">
        <v>262</v>
      </c>
      <c r="J100" s="18" t="s">
        <v>262</v>
      </c>
      <c r="K100" s="18" t="s">
        <v>262</v>
      </c>
      <c r="L100" s="18" t="s">
        <v>262</v>
      </c>
      <c r="M100" s="18" t="s">
        <v>262</v>
      </c>
      <c r="N100" s="18" t="s">
        <v>262</v>
      </c>
      <c r="O100" s="18" t="s">
        <v>262</v>
      </c>
      <c r="P100" s="18" t="s">
        <v>262</v>
      </c>
      <c r="Q100" s="18" t="s">
        <v>262</v>
      </c>
      <c r="R100" s="18" t="s">
        <v>262</v>
      </c>
      <c r="S100" s="18" t="s">
        <v>262</v>
      </c>
      <c r="T100" s="18" t="s">
        <v>262</v>
      </c>
      <c r="U100" s="18" t="s">
        <v>262</v>
      </c>
      <c r="V100" s="19" t="s">
        <v>268</v>
      </c>
      <c r="W100" s="19" t="s">
        <v>268</v>
      </c>
      <c r="X100" s="19" t="s">
        <v>268</v>
      </c>
      <c r="Y100" s="19" t="s">
        <v>268</v>
      </c>
      <c r="Z100" s="19" t="s">
        <v>268</v>
      </c>
      <c r="AA100" s="19" t="s">
        <v>268</v>
      </c>
      <c r="AB100" s="19" t="s">
        <v>268</v>
      </c>
      <c r="AC100" s="19" t="s">
        <v>268</v>
      </c>
      <c r="AD100" s="19" t="s">
        <v>268</v>
      </c>
      <c r="AE100" s="19" t="s">
        <v>268</v>
      </c>
      <c r="AF100" s="19" t="s">
        <v>268</v>
      </c>
      <c r="AG100" s="19" t="s">
        <v>268</v>
      </c>
      <c r="AH100" s="19" t="s">
        <v>268</v>
      </c>
      <c r="AI100" s="19" t="s">
        <v>268</v>
      </c>
      <c r="AJ100" s="19" t="s">
        <v>268</v>
      </c>
      <c r="AK100" s="19" t="s">
        <v>268</v>
      </c>
      <c r="AL100" s="19" t="s">
        <v>268</v>
      </c>
      <c r="AM100" s="19" t="s">
        <v>268</v>
      </c>
      <c r="AN100" s="19" t="s">
        <v>268</v>
      </c>
      <c r="AO100" s="19" t="s">
        <v>268</v>
      </c>
      <c r="AP100" s="19" t="s">
        <v>268</v>
      </c>
      <c r="AQ100" s="19" t="s">
        <v>268</v>
      </c>
      <c r="AR100" s="19" t="s">
        <v>268</v>
      </c>
      <c r="AS100" s="19" t="s">
        <v>268</v>
      </c>
      <c r="AT100" s="19" t="s">
        <v>268</v>
      </c>
      <c r="AU100" s="19" t="s">
        <v>268</v>
      </c>
      <c r="AV100" s="19" t="s">
        <v>268</v>
      </c>
      <c r="AW100" s="19" t="s">
        <v>268</v>
      </c>
      <c r="AX100" s="19" t="s">
        <v>268</v>
      </c>
      <c r="AY100" s="19" t="s">
        <v>268</v>
      </c>
      <c r="AZ100" s="25" t="s">
        <v>265</v>
      </c>
      <c r="BA100" s="25" t="s">
        <v>265</v>
      </c>
      <c r="BB100" s="25" t="s">
        <v>265</v>
      </c>
      <c r="BC100" s="25" t="s">
        <v>265</v>
      </c>
      <c r="BD100" s="25" t="s">
        <v>265</v>
      </c>
      <c r="BE100" s="25" t="s">
        <v>265</v>
      </c>
      <c r="BF100" s="25" t="s">
        <v>265</v>
      </c>
      <c r="BG100" s="25" t="s">
        <v>265</v>
      </c>
      <c r="BH100" s="25" t="s">
        <v>265</v>
      </c>
      <c r="BI100" s="25" t="s">
        <v>265</v>
      </c>
      <c r="BJ100" s="25" t="s">
        <v>265</v>
      </c>
      <c r="BK100" s="25" t="s">
        <v>265</v>
      </c>
      <c r="BL100" s="25" t="s">
        <v>265</v>
      </c>
      <c r="BM100" s="25" t="s">
        <v>265</v>
      </c>
      <c r="BN100" s="25" t="s">
        <v>265</v>
      </c>
      <c r="BO100" s="25" t="s">
        <v>265</v>
      </c>
      <c r="BP100" s="25" t="s">
        <v>265</v>
      </c>
      <c r="BQ100" s="25" t="s">
        <v>265</v>
      </c>
      <c r="BR100" s="25" t="s">
        <v>265</v>
      </c>
      <c r="BS100" s="25" t="s">
        <v>265</v>
      </c>
      <c r="BT100" s="25" t="s">
        <v>265</v>
      </c>
      <c r="BU100" s="25" t="s">
        <v>265</v>
      </c>
      <c r="BV100" s="25" t="s">
        <v>265</v>
      </c>
      <c r="BW100" s="25" t="s">
        <v>265</v>
      </c>
      <c r="BX100" s="25" t="s">
        <v>265</v>
      </c>
      <c r="BY100" s="24" t="s">
        <v>260</v>
      </c>
      <c r="BZ100" s="24" t="s">
        <v>260</v>
      </c>
      <c r="CA100" s="24" t="s">
        <v>260</v>
      </c>
      <c r="CB100" s="24" t="s">
        <v>260</v>
      </c>
      <c r="CC100" s="24" t="s">
        <v>260</v>
      </c>
      <c r="CD100" s="24" t="s">
        <v>260</v>
      </c>
      <c r="CE100" s="24" t="s">
        <v>260</v>
      </c>
      <c r="CF100" s="24" t="s">
        <v>260</v>
      </c>
      <c r="CG100" s="24" t="s">
        <v>260</v>
      </c>
      <c r="CH100" s="24" t="s">
        <v>260</v>
      </c>
      <c r="CI100" s="24" t="s">
        <v>260</v>
      </c>
      <c r="CJ100" s="24" t="s">
        <v>260</v>
      </c>
      <c r="CK100" s="24" t="s">
        <v>260</v>
      </c>
      <c r="CL100" s="20" t="s">
        <v>20</v>
      </c>
      <c r="CM100" s="20" t="s">
        <v>20</v>
      </c>
      <c r="CN100" s="20" t="s">
        <v>20</v>
      </c>
      <c r="CO100" s="20" t="s">
        <v>20</v>
      </c>
      <c r="CP100" s="20" t="s">
        <v>20</v>
      </c>
      <c r="CQ100" s="20" t="s">
        <v>20</v>
      </c>
      <c r="CR100" s="20" t="s">
        <v>20</v>
      </c>
      <c r="CS100" s="20" t="s">
        <v>20</v>
      </c>
      <c r="CT100" s="20" t="s">
        <v>20</v>
      </c>
      <c r="CU100" s="20" t="s">
        <v>20</v>
      </c>
      <c r="CV100" s="20" t="s">
        <v>20</v>
      </c>
      <c r="CW100" s="20" t="s">
        <v>20</v>
      </c>
    </row>
    <row r="101" spans="1:104" ht="13.35" customHeight="1" x14ac:dyDescent="0.25">
      <c r="A101" s="21" t="s">
        <v>286</v>
      </c>
      <c r="B101" s="2">
        <f t="shared" si="3"/>
        <v>99</v>
      </c>
      <c r="C101" s="21">
        <v>2</v>
      </c>
      <c r="D101" s="18" t="s">
        <v>262</v>
      </c>
      <c r="E101" s="18" t="s">
        <v>262</v>
      </c>
      <c r="F101" s="18" t="s">
        <v>262</v>
      </c>
      <c r="G101" s="18" t="s">
        <v>262</v>
      </c>
      <c r="H101" s="18" t="s">
        <v>262</v>
      </c>
      <c r="I101" s="18" t="s">
        <v>262</v>
      </c>
      <c r="J101" s="18" t="s">
        <v>262</v>
      </c>
      <c r="K101" s="18" t="s">
        <v>262</v>
      </c>
      <c r="L101" s="18" t="s">
        <v>262</v>
      </c>
      <c r="M101" s="18" t="s">
        <v>262</v>
      </c>
      <c r="N101" s="18" t="s">
        <v>262</v>
      </c>
      <c r="O101" s="18" t="s">
        <v>262</v>
      </c>
      <c r="P101" s="18" t="s">
        <v>262</v>
      </c>
      <c r="Q101" s="18" t="s">
        <v>262</v>
      </c>
      <c r="R101" s="18" t="s">
        <v>262</v>
      </c>
      <c r="S101" s="18" t="s">
        <v>262</v>
      </c>
      <c r="T101" s="18" t="s">
        <v>262</v>
      </c>
      <c r="U101" s="18" t="s">
        <v>262</v>
      </c>
      <c r="V101" s="18" t="s">
        <v>262</v>
      </c>
      <c r="W101" s="19" t="s">
        <v>268</v>
      </c>
      <c r="X101" s="19" t="s">
        <v>268</v>
      </c>
      <c r="Y101" s="19" t="s">
        <v>268</v>
      </c>
      <c r="Z101" s="19" t="s">
        <v>268</v>
      </c>
      <c r="AA101" s="19" t="s">
        <v>268</v>
      </c>
      <c r="AB101" s="19" t="s">
        <v>268</v>
      </c>
      <c r="AC101" s="19" t="s">
        <v>268</v>
      </c>
      <c r="AD101" s="19" t="s">
        <v>268</v>
      </c>
      <c r="AE101" s="19" t="s">
        <v>268</v>
      </c>
      <c r="AF101" s="19" t="s">
        <v>268</v>
      </c>
      <c r="AG101" s="19" t="s">
        <v>268</v>
      </c>
      <c r="AH101" s="19" t="s">
        <v>268</v>
      </c>
      <c r="AI101" s="19" t="s">
        <v>268</v>
      </c>
      <c r="AJ101" s="19" t="s">
        <v>268</v>
      </c>
      <c r="AK101" s="19" t="s">
        <v>268</v>
      </c>
      <c r="AL101" s="19" t="s">
        <v>268</v>
      </c>
      <c r="AM101" s="19" t="s">
        <v>268</v>
      </c>
      <c r="AN101" s="19" t="s">
        <v>268</v>
      </c>
      <c r="AO101" s="19" t="s">
        <v>268</v>
      </c>
      <c r="AP101" s="19" t="s">
        <v>268</v>
      </c>
      <c r="AQ101" s="19" t="s">
        <v>268</v>
      </c>
      <c r="AR101" s="19" t="s">
        <v>268</v>
      </c>
      <c r="AS101" s="19" t="s">
        <v>268</v>
      </c>
      <c r="AT101" s="19" t="s">
        <v>268</v>
      </c>
      <c r="AU101" s="19" t="s">
        <v>268</v>
      </c>
      <c r="AV101" s="19" t="s">
        <v>268</v>
      </c>
      <c r="AW101" s="19" t="s">
        <v>268</v>
      </c>
      <c r="AX101" s="19" t="s">
        <v>268</v>
      </c>
      <c r="AY101" s="19" t="s">
        <v>268</v>
      </c>
      <c r="AZ101" s="19" t="s">
        <v>268</v>
      </c>
      <c r="BA101" s="25" t="s">
        <v>265</v>
      </c>
      <c r="BB101" s="25" t="s">
        <v>265</v>
      </c>
      <c r="BC101" s="25" t="s">
        <v>265</v>
      </c>
      <c r="BD101" s="25" t="s">
        <v>265</v>
      </c>
      <c r="BE101" s="25" t="s">
        <v>265</v>
      </c>
      <c r="BF101" s="25" t="s">
        <v>265</v>
      </c>
      <c r="BG101" s="25" t="s">
        <v>265</v>
      </c>
      <c r="BH101" s="25" t="s">
        <v>265</v>
      </c>
      <c r="BI101" s="25" t="s">
        <v>265</v>
      </c>
      <c r="BJ101" s="25" t="s">
        <v>265</v>
      </c>
      <c r="BK101" s="25" t="s">
        <v>265</v>
      </c>
      <c r="BL101" s="25" t="s">
        <v>265</v>
      </c>
      <c r="BM101" s="25" t="s">
        <v>265</v>
      </c>
      <c r="BN101" s="25" t="s">
        <v>265</v>
      </c>
      <c r="BO101" s="25" t="s">
        <v>265</v>
      </c>
      <c r="BP101" s="25" t="s">
        <v>265</v>
      </c>
      <c r="BQ101" s="25" t="s">
        <v>265</v>
      </c>
      <c r="BR101" s="25" t="s">
        <v>265</v>
      </c>
      <c r="BS101" s="25" t="s">
        <v>265</v>
      </c>
      <c r="BT101" s="25" t="s">
        <v>265</v>
      </c>
      <c r="BU101" s="25" t="s">
        <v>265</v>
      </c>
      <c r="BV101" s="25" t="s">
        <v>265</v>
      </c>
      <c r="BW101" s="25" t="s">
        <v>265</v>
      </c>
      <c r="BX101" s="24" t="s">
        <v>260</v>
      </c>
      <c r="BY101" s="24" t="s">
        <v>260</v>
      </c>
      <c r="BZ101" s="24" t="s">
        <v>260</v>
      </c>
      <c r="CA101" s="24" t="s">
        <v>260</v>
      </c>
      <c r="CB101" s="24" t="s">
        <v>260</v>
      </c>
      <c r="CC101" s="24" t="s">
        <v>260</v>
      </c>
      <c r="CD101" s="24" t="s">
        <v>260</v>
      </c>
      <c r="CE101" s="24" t="s">
        <v>260</v>
      </c>
      <c r="CF101" s="24" t="s">
        <v>260</v>
      </c>
      <c r="CG101" s="24" t="s">
        <v>260</v>
      </c>
      <c r="CH101" s="24" t="s">
        <v>260</v>
      </c>
      <c r="CI101" s="24" t="s">
        <v>260</v>
      </c>
      <c r="CJ101" s="24" t="s">
        <v>260</v>
      </c>
      <c r="CK101" s="24" t="s">
        <v>260</v>
      </c>
      <c r="CL101" s="20" t="s">
        <v>20</v>
      </c>
      <c r="CM101" s="20" t="s">
        <v>20</v>
      </c>
      <c r="CN101" s="20" t="s">
        <v>20</v>
      </c>
      <c r="CO101" s="20" t="s">
        <v>20</v>
      </c>
      <c r="CP101" s="20" t="s">
        <v>20</v>
      </c>
      <c r="CQ101" s="20" t="s">
        <v>20</v>
      </c>
      <c r="CR101" s="20" t="s">
        <v>20</v>
      </c>
      <c r="CS101" s="20" t="s">
        <v>20</v>
      </c>
      <c r="CT101" s="20" t="s">
        <v>20</v>
      </c>
      <c r="CU101" s="20" t="s">
        <v>20</v>
      </c>
      <c r="CV101" s="20" t="s">
        <v>20</v>
      </c>
      <c r="CW101" s="20" t="s">
        <v>20</v>
      </c>
      <c r="CX101" s="20" t="s">
        <v>20</v>
      </c>
    </row>
    <row r="102" spans="1:104" ht="13.35" customHeight="1" x14ac:dyDescent="0.25">
      <c r="A102" s="21" t="s">
        <v>285</v>
      </c>
      <c r="B102" s="2">
        <f t="shared" si="3"/>
        <v>100</v>
      </c>
      <c r="C102" s="21">
        <v>1</v>
      </c>
      <c r="D102" s="18" t="s">
        <v>262</v>
      </c>
      <c r="E102" s="18" t="s">
        <v>262</v>
      </c>
      <c r="F102" s="18" t="s">
        <v>262</v>
      </c>
      <c r="G102" s="18" t="s">
        <v>262</v>
      </c>
      <c r="H102" s="18" t="s">
        <v>262</v>
      </c>
      <c r="I102" s="18" t="s">
        <v>262</v>
      </c>
      <c r="J102" s="18" t="s">
        <v>262</v>
      </c>
      <c r="K102" s="18" t="s">
        <v>262</v>
      </c>
      <c r="L102" s="18" t="s">
        <v>262</v>
      </c>
      <c r="M102" s="18" t="s">
        <v>262</v>
      </c>
      <c r="N102" s="18" t="s">
        <v>262</v>
      </c>
      <c r="O102" s="18" t="s">
        <v>262</v>
      </c>
      <c r="P102" s="18" t="s">
        <v>262</v>
      </c>
      <c r="Q102" s="18" t="s">
        <v>262</v>
      </c>
      <c r="R102" s="18" t="s">
        <v>262</v>
      </c>
      <c r="S102" s="18" t="s">
        <v>262</v>
      </c>
      <c r="T102" s="18" t="s">
        <v>262</v>
      </c>
      <c r="U102" s="18" t="s">
        <v>262</v>
      </c>
      <c r="V102" s="18" t="s">
        <v>262</v>
      </c>
      <c r="W102" s="18" t="s">
        <v>262</v>
      </c>
      <c r="X102" s="19" t="s">
        <v>268</v>
      </c>
      <c r="Y102" s="19" t="s">
        <v>268</v>
      </c>
      <c r="Z102" s="19" t="s">
        <v>268</v>
      </c>
      <c r="AA102" s="19" t="s">
        <v>268</v>
      </c>
      <c r="AB102" s="19" t="s">
        <v>268</v>
      </c>
      <c r="AC102" s="19" t="s">
        <v>268</v>
      </c>
      <c r="AD102" s="19" t="s">
        <v>268</v>
      </c>
      <c r="AE102" s="19" t="s">
        <v>268</v>
      </c>
      <c r="AF102" s="19" t="s">
        <v>268</v>
      </c>
      <c r="AG102" s="19" t="s">
        <v>268</v>
      </c>
      <c r="AH102" s="19" t="s">
        <v>268</v>
      </c>
      <c r="AI102" s="19" t="s">
        <v>268</v>
      </c>
      <c r="AJ102" s="19" t="s">
        <v>268</v>
      </c>
      <c r="AK102" s="19" t="s">
        <v>268</v>
      </c>
      <c r="AL102" s="19" t="s">
        <v>268</v>
      </c>
      <c r="AM102" s="19" t="s">
        <v>268</v>
      </c>
      <c r="AN102" s="19" t="s">
        <v>268</v>
      </c>
      <c r="AO102" s="19" t="s">
        <v>268</v>
      </c>
      <c r="AP102" s="19" t="s">
        <v>268</v>
      </c>
      <c r="AQ102" s="19" t="s">
        <v>268</v>
      </c>
      <c r="AR102" s="19" t="s">
        <v>268</v>
      </c>
      <c r="AS102" s="19" t="s">
        <v>268</v>
      </c>
      <c r="AT102" s="19" t="s">
        <v>268</v>
      </c>
      <c r="AU102" s="19" t="s">
        <v>268</v>
      </c>
      <c r="AV102" s="19" t="s">
        <v>268</v>
      </c>
      <c r="AW102" s="19" t="s">
        <v>268</v>
      </c>
      <c r="AX102" s="19" t="s">
        <v>268</v>
      </c>
      <c r="AY102" s="19" t="s">
        <v>268</v>
      </c>
      <c r="AZ102" s="19" t="s">
        <v>268</v>
      </c>
      <c r="BA102" s="19" t="s">
        <v>268</v>
      </c>
      <c r="BB102" s="25" t="s">
        <v>265</v>
      </c>
      <c r="BC102" s="25" t="s">
        <v>265</v>
      </c>
      <c r="BD102" s="25" t="s">
        <v>265</v>
      </c>
      <c r="BE102" s="25" t="s">
        <v>265</v>
      </c>
      <c r="BF102" s="25" t="s">
        <v>265</v>
      </c>
      <c r="BG102" s="25" t="s">
        <v>265</v>
      </c>
      <c r="BH102" s="25" t="s">
        <v>265</v>
      </c>
      <c r="BI102" s="25" t="s">
        <v>265</v>
      </c>
      <c r="BJ102" s="25" t="s">
        <v>265</v>
      </c>
      <c r="BK102" s="25" t="s">
        <v>265</v>
      </c>
      <c r="BL102" s="25" t="s">
        <v>265</v>
      </c>
      <c r="BM102" s="25" t="s">
        <v>265</v>
      </c>
      <c r="BN102" s="25" t="s">
        <v>265</v>
      </c>
      <c r="BO102" s="25" t="s">
        <v>265</v>
      </c>
      <c r="BP102" s="25" t="s">
        <v>265</v>
      </c>
      <c r="BQ102" s="25" t="s">
        <v>265</v>
      </c>
      <c r="BR102" s="25" t="s">
        <v>265</v>
      </c>
      <c r="BS102" s="25" t="s">
        <v>265</v>
      </c>
      <c r="BT102" s="25" t="s">
        <v>265</v>
      </c>
      <c r="BU102" s="25" t="s">
        <v>265</v>
      </c>
      <c r="BV102" s="25" t="s">
        <v>265</v>
      </c>
      <c r="BW102" s="25" t="s">
        <v>265</v>
      </c>
      <c r="BX102" s="24" t="s">
        <v>260</v>
      </c>
      <c r="BY102" s="24" t="s">
        <v>260</v>
      </c>
      <c r="BZ102" s="24" t="s">
        <v>260</v>
      </c>
      <c r="CA102" s="24" t="s">
        <v>260</v>
      </c>
      <c r="CB102" s="24" t="s">
        <v>260</v>
      </c>
      <c r="CC102" s="24" t="s">
        <v>260</v>
      </c>
      <c r="CD102" s="24" t="s">
        <v>260</v>
      </c>
      <c r="CE102" s="24" t="s">
        <v>260</v>
      </c>
      <c r="CF102" s="24" t="s">
        <v>260</v>
      </c>
      <c r="CG102" s="24" t="s">
        <v>260</v>
      </c>
      <c r="CH102" s="24" t="s">
        <v>260</v>
      </c>
      <c r="CI102" s="24" t="s">
        <v>260</v>
      </c>
      <c r="CJ102" s="24" t="s">
        <v>260</v>
      </c>
      <c r="CK102" s="20" t="s">
        <v>20</v>
      </c>
      <c r="CL102" s="20" t="s">
        <v>20</v>
      </c>
      <c r="CM102" s="20" t="s">
        <v>20</v>
      </c>
      <c r="CN102" s="20" t="s">
        <v>20</v>
      </c>
      <c r="CO102" s="20" t="s">
        <v>20</v>
      </c>
      <c r="CP102" s="20" t="s">
        <v>20</v>
      </c>
      <c r="CQ102" s="20" t="s">
        <v>20</v>
      </c>
      <c r="CR102" s="20" t="s">
        <v>20</v>
      </c>
      <c r="CS102" s="20" t="s">
        <v>20</v>
      </c>
      <c r="CT102" s="20" t="s">
        <v>20</v>
      </c>
      <c r="CU102" s="20" t="s">
        <v>20</v>
      </c>
      <c r="CV102" s="20" t="s">
        <v>20</v>
      </c>
      <c r="CW102" s="20" t="s">
        <v>20</v>
      </c>
      <c r="CX102" s="20" t="s">
        <v>20</v>
      </c>
      <c r="CY102" s="20" t="s">
        <v>20</v>
      </c>
    </row>
    <row r="103" spans="1:104" ht="13.35" customHeight="1" thickBot="1" x14ac:dyDescent="0.3">
      <c r="A103" s="334" t="s">
        <v>15</v>
      </c>
      <c r="B103" s="335">
        <f t="shared" si="3"/>
        <v>101</v>
      </c>
      <c r="C103" s="334">
        <v>0</v>
      </c>
      <c r="D103" s="18" t="s">
        <v>262</v>
      </c>
      <c r="E103" s="18" t="s">
        <v>262</v>
      </c>
      <c r="F103" s="18" t="s">
        <v>262</v>
      </c>
      <c r="G103" s="18" t="s">
        <v>262</v>
      </c>
      <c r="H103" s="18" t="s">
        <v>262</v>
      </c>
      <c r="I103" s="18" t="s">
        <v>262</v>
      </c>
      <c r="J103" s="18" t="s">
        <v>262</v>
      </c>
      <c r="K103" s="18" t="s">
        <v>262</v>
      </c>
      <c r="L103" s="18" t="s">
        <v>262</v>
      </c>
      <c r="M103" s="18" t="s">
        <v>262</v>
      </c>
      <c r="N103" s="18" t="s">
        <v>262</v>
      </c>
      <c r="O103" s="18" t="s">
        <v>262</v>
      </c>
      <c r="P103" s="18" t="s">
        <v>262</v>
      </c>
      <c r="Q103" s="18" t="s">
        <v>262</v>
      </c>
      <c r="R103" s="18" t="s">
        <v>262</v>
      </c>
      <c r="S103" s="18" t="s">
        <v>262</v>
      </c>
      <c r="T103" s="18" t="s">
        <v>262</v>
      </c>
      <c r="U103" s="18" t="s">
        <v>262</v>
      </c>
      <c r="V103" s="18" t="s">
        <v>262</v>
      </c>
      <c r="W103" s="18" t="s">
        <v>262</v>
      </c>
      <c r="X103" s="18" t="s">
        <v>262</v>
      </c>
      <c r="Y103" s="19" t="s">
        <v>268</v>
      </c>
      <c r="Z103" s="19" t="s">
        <v>268</v>
      </c>
      <c r="AA103" s="19" t="s">
        <v>268</v>
      </c>
      <c r="AB103" s="19" t="s">
        <v>268</v>
      </c>
      <c r="AC103" s="19" t="s">
        <v>268</v>
      </c>
      <c r="AD103" s="19" t="s">
        <v>268</v>
      </c>
      <c r="AE103" s="19" t="s">
        <v>268</v>
      </c>
      <c r="AF103" s="19" t="s">
        <v>268</v>
      </c>
      <c r="AG103" s="19" t="s">
        <v>268</v>
      </c>
      <c r="AH103" s="19" t="s">
        <v>268</v>
      </c>
      <c r="AI103" s="19" t="s">
        <v>268</v>
      </c>
      <c r="AJ103" s="19" t="s">
        <v>268</v>
      </c>
      <c r="AK103" s="19" t="s">
        <v>268</v>
      </c>
      <c r="AL103" s="19" t="s">
        <v>268</v>
      </c>
      <c r="AM103" s="19" t="s">
        <v>268</v>
      </c>
      <c r="AN103" s="19" t="s">
        <v>268</v>
      </c>
      <c r="AO103" s="19" t="s">
        <v>268</v>
      </c>
      <c r="AP103" s="19" t="s">
        <v>268</v>
      </c>
      <c r="AQ103" s="19" t="s">
        <v>268</v>
      </c>
      <c r="AR103" s="19" t="s">
        <v>268</v>
      </c>
      <c r="AS103" s="19" t="s">
        <v>268</v>
      </c>
      <c r="AT103" s="19" t="s">
        <v>268</v>
      </c>
      <c r="AU103" s="19" t="s">
        <v>268</v>
      </c>
      <c r="AV103" s="19" t="s">
        <v>268</v>
      </c>
      <c r="AW103" s="19" t="s">
        <v>268</v>
      </c>
      <c r="AX103" s="19" t="s">
        <v>268</v>
      </c>
      <c r="AY103" s="19" t="s">
        <v>268</v>
      </c>
      <c r="AZ103" s="19" t="s">
        <v>268</v>
      </c>
      <c r="BA103" s="19" t="s">
        <v>268</v>
      </c>
      <c r="BB103" s="19" t="s">
        <v>268</v>
      </c>
      <c r="BC103" s="25" t="s">
        <v>265</v>
      </c>
      <c r="BD103" s="25" t="s">
        <v>265</v>
      </c>
      <c r="BE103" s="25" t="s">
        <v>265</v>
      </c>
      <c r="BF103" s="25" t="s">
        <v>265</v>
      </c>
      <c r="BG103" s="25" t="s">
        <v>265</v>
      </c>
      <c r="BH103" s="25" t="s">
        <v>265</v>
      </c>
      <c r="BI103" s="25" t="s">
        <v>265</v>
      </c>
      <c r="BJ103" s="25" t="s">
        <v>265</v>
      </c>
      <c r="BK103" s="25" t="s">
        <v>265</v>
      </c>
      <c r="BL103" s="25" t="s">
        <v>265</v>
      </c>
      <c r="BM103" s="25" t="s">
        <v>265</v>
      </c>
      <c r="BN103" s="25" t="s">
        <v>265</v>
      </c>
      <c r="BO103" s="25" t="s">
        <v>265</v>
      </c>
      <c r="BP103" s="25" t="s">
        <v>265</v>
      </c>
      <c r="BQ103" s="25" t="s">
        <v>265</v>
      </c>
      <c r="BR103" s="25" t="s">
        <v>265</v>
      </c>
      <c r="BS103" s="25" t="s">
        <v>265</v>
      </c>
      <c r="BT103" s="25" t="s">
        <v>265</v>
      </c>
      <c r="BU103" s="25" t="s">
        <v>265</v>
      </c>
      <c r="BV103" s="25" t="s">
        <v>265</v>
      </c>
      <c r="BW103" s="24" t="s">
        <v>260</v>
      </c>
      <c r="BX103" s="24" t="s">
        <v>260</v>
      </c>
      <c r="BY103" s="24" t="s">
        <v>260</v>
      </c>
      <c r="BZ103" s="24" t="s">
        <v>260</v>
      </c>
      <c r="CA103" s="24" t="s">
        <v>260</v>
      </c>
      <c r="CB103" s="24" t="s">
        <v>260</v>
      </c>
      <c r="CC103" s="24" t="s">
        <v>260</v>
      </c>
      <c r="CD103" s="24" t="s">
        <v>260</v>
      </c>
      <c r="CE103" s="24" t="s">
        <v>260</v>
      </c>
      <c r="CF103" s="24" t="s">
        <v>260</v>
      </c>
      <c r="CG103" s="24" t="s">
        <v>260</v>
      </c>
      <c r="CH103" s="24" t="s">
        <v>260</v>
      </c>
      <c r="CI103" s="24" t="s">
        <v>260</v>
      </c>
      <c r="CJ103" s="24" t="s">
        <v>260</v>
      </c>
      <c r="CK103" s="20" t="s">
        <v>20</v>
      </c>
      <c r="CL103" s="20" t="s">
        <v>20</v>
      </c>
      <c r="CM103" s="20" t="s">
        <v>20</v>
      </c>
      <c r="CN103" s="20" t="s">
        <v>20</v>
      </c>
      <c r="CO103" s="20" t="s">
        <v>20</v>
      </c>
      <c r="CP103" s="20" t="s">
        <v>20</v>
      </c>
      <c r="CQ103" s="20" t="s">
        <v>20</v>
      </c>
      <c r="CR103" s="20" t="s">
        <v>20</v>
      </c>
      <c r="CS103" s="20" t="s">
        <v>20</v>
      </c>
      <c r="CT103" s="20" t="s">
        <v>20</v>
      </c>
      <c r="CU103" s="20" t="s">
        <v>20</v>
      </c>
      <c r="CV103" s="20" t="s">
        <v>20</v>
      </c>
      <c r="CW103" s="20" t="s">
        <v>20</v>
      </c>
      <c r="CX103" s="20" t="s">
        <v>20</v>
      </c>
      <c r="CY103" s="20" t="s">
        <v>20</v>
      </c>
      <c r="CZ103" s="20" t="s">
        <v>20</v>
      </c>
    </row>
    <row r="104" spans="1:104" x14ac:dyDescent="0.25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5">
      <c r="A105" s="131" t="s">
        <v>1065</v>
      </c>
      <c r="D105">
        <v>1</v>
      </c>
      <c r="E105" s="2">
        <f>(D105+1)</f>
        <v>2</v>
      </c>
      <c r="F105" s="2">
        <f t="shared" ref="F105:BQ105" si="4">(E105+1)</f>
        <v>3</v>
      </c>
      <c r="G105" s="2">
        <f t="shared" si="4"/>
        <v>4</v>
      </c>
      <c r="H105" s="2">
        <f t="shared" si="4"/>
        <v>5</v>
      </c>
      <c r="I105" s="2">
        <f t="shared" si="4"/>
        <v>6</v>
      </c>
      <c r="J105" s="2">
        <f t="shared" si="4"/>
        <v>7</v>
      </c>
      <c r="K105" s="2">
        <f t="shared" si="4"/>
        <v>8</v>
      </c>
      <c r="L105" s="2">
        <f t="shared" si="4"/>
        <v>9</v>
      </c>
      <c r="M105" s="2">
        <f t="shared" si="4"/>
        <v>10</v>
      </c>
      <c r="N105" s="2">
        <f t="shared" si="4"/>
        <v>11</v>
      </c>
      <c r="O105" s="2">
        <f t="shared" si="4"/>
        <v>12</v>
      </c>
      <c r="P105" s="2">
        <f t="shared" si="4"/>
        <v>13</v>
      </c>
      <c r="Q105" s="2">
        <f t="shared" si="4"/>
        <v>14</v>
      </c>
      <c r="R105" s="2">
        <f t="shared" si="4"/>
        <v>15</v>
      </c>
      <c r="S105" s="2">
        <f t="shared" si="4"/>
        <v>16</v>
      </c>
      <c r="T105" s="2">
        <f t="shared" si="4"/>
        <v>17</v>
      </c>
      <c r="U105" s="2">
        <f t="shared" si="4"/>
        <v>18</v>
      </c>
      <c r="V105" s="2">
        <f t="shared" si="4"/>
        <v>19</v>
      </c>
      <c r="W105" s="2">
        <f t="shared" si="4"/>
        <v>20</v>
      </c>
      <c r="X105" s="2">
        <f t="shared" si="4"/>
        <v>21</v>
      </c>
      <c r="Y105" s="2">
        <f t="shared" si="4"/>
        <v>22</v>
      </c>
      <c r="Z105" s="2">
        <f t="shared" si="4"/>
        <v>23</v>
      </c>
      <c r="AA105" s="2">
        <f t="shared" si="4"/>
        <v>24</v>
      </c>
      <c r="AB105" s="2">
        <f t="shared" si="4"/>
        <v>25</v>
      </c>
      <c r="AC105" s="2">
        <f t="shared" si="4"/>
        <v>26</v>
      </c>
      <c r="AD105" s="2">
        <f t="shared" si="4"/>
        <v>27</v>
      </c>
      <c r="AE105" s="2">
        <f t="shared" si="4"/>
        <v>28</v>
      </c>
      <c r="AF105" s="2">
        <f t="shared" si="4"/>
        <v>29</v>
      </c>
      <c r="AG105" s="2">
        <f t="shared" si="4"/>
        <v>30</v>
      </c>
      <c r="AH105" s="2">
        <f t="shared" si="4"/>
        <v>31</v>
      </c>
      <c r="AI105" s="2">
        <f t="shared" si="4"/>
        <v>32</v>
      </c>
      <c r="AJ105" s="2">
        <f t="shared" si="4"/>
        <v>33</v>
      </c>
      <c r="AK105" s="2">
        <f t="shared" si="4"/>
        <v>34</v>
      </c>
      <c r="AL105" s="2">
        <f t="shared" si="4"/>
        <v>35</v>
      </c>
      <c r="AM105" s="2">
        <f t="shared" si="4"/>
        <v>36</v>
      </c>
      <c r="AN105" s="2">
        <f t="shared" si="4"/>
        <v>37</v>
      </c>
      <c r="AO105" s="2">
        <f t="shared" si="4"/>
        <v>38</v>
      </c>
      <c r="AP105" s="2">
        <f t="shared" si="4"/>
        <v>39</v>
      </c>
      <c r="AQ105" s="2">
        <f t="shared" si="4"/>
        <v>40</v>
      </c>
      <c r="AR105" s="2">
        <f t="shared" si="4"/>
        <v>41</v>
      </c>
      <c r="AS105" s="2">
        <f t="shared" si="4"/>
        <v>42</v>
      </c>
      <c r="AT105" s="2">
        <f t="shared" si="4"/>
        <v>43</v>
      </c>
      <c r="AU105" s="2">
        <f t="shared" si="4"/>
        <v>44</v>
      </c>
      <c r="AV105" s="2">
        <f t="shared" si="4"/>
        <v>45</v>
      </c>
      <c r="AW105" s="2">
        <f t="shared" si="4"/>
        <v>46</v>
      </c>
      <c r="AX105" s="2">
        <f t="shared" si="4"/>
        <v>47</v>
      </c>
      <c r="AY105" s="2">
        <f t="shared" si="4"/>
        <v>48</v>
      </c>
      <c r="AZ105" s="2">
        <f t="shared" si="4"/>
        <v>49</v>
      </c>
      <c r="BA105" s="2">
        <f t="shared" si="4"/>
        <v>50</v>
      </c>
      <c r="BB105" s="2">
        <f t="shared" si="4"/>
        <v>51</v>
      </c>
      <c r="BC105" s="2">
        <f t="shared" si="4"/>
        <v>52</v>
      </c>
      <c r="BD105" s="2">
        <f t="shared" si="4"/>
        <v>53</v>
      </c>
      <c r="BE105" s="2">
        <f t="shared" si="4"/>
        <v>54</v>
      </c>
      <c r="BF105" s="2">
        <f t="shared" si="4"/>
        <v>55</v>
      </c>
      <c r="BG105" s="2">
        <f t="shared" si="4"/>
        <v>56</v>
      </c>
      <c r="BH105" s="2">
        <f t="shared" si="4"/>
        <v>57</v>
      </c>
      <c r="BI105" s="2">
        <f t="shared" si="4"/>
        <v>58</v>
      </c>
      <c r="BJ105" s="2">
        <f t="shared" si="4"/>
        <v>59</v>
      </c>
      <c r="BK105" s="2">
        <f t="shared" si="4"/>
        <v>60</v>
      </c>
      <c r="BL105" s="2">
        <f t="shared" si="4"/>
        <v>61</v>
      </c>
      <c r="BM105" s="2">
        <f t="shared" si="4"/>
        <v>62</v>
      </c>
      <c r="BN105" s="2">
        <f t="shared" si="4"/>
        <v>63</v>
      </c>
      <c r="BO105" s="2">
        <f t="shared" si="4"/>
        <v>64</v>
      </c>
      <c r="BP105" s="2">
        <f t="shared" si="4"/>
        <v>65</v>
      </c>
      <c r="BQ105" s="2">
        <f t="shared" si="4"/>
        <v>66</v>
      </c>
      <c r="BR105" s="2">
        <f t="shared" ref="BR105:CZ105" si="5">(BQ105+1)</f>
        <v>67</v>
      </c>
      <c r="BS105" s="2">
        <f t="shared" si="5"/>
        <v>68</v>
      </c>
      <c r="BT105" s="2">
        <f t="shared" si="5"/>
        <v>69</v>
      </c>
      <c r="BU105" s="2">
        <f t="shared" si="5"/>
        <v>70</v>
      </c>
      <c r="BV105" s="2">
        <f t="shared" si="5"/>
        <v>71</v>
      </c>
      <c r="BW105" s="2">
        <f t="shared" si="5"/>
        <v>72</v>
      </c>
      <c r="BX105" s="2">
        <f t="shared" si="5"/>
        <v>73</v>
      </c>
      <c r="BY105" s="2">
        <f t="shared" si="5"/>
        <v>74</v>
      </c>
      <c r="BZ105" s="2">
        <f t="shared" si="5"/>
        <v>75</v>
      </c>
      <c r="CA105" s="2">
        <f t="shared" si="5"/>
        <v>76</v>
      </c>
      <c r="CB105" s="2">
        <f t="shared" si="5"/>
        <v>77</v>
      </c>
      <c r="CC105" s="2">
        <f t="shared" si="5"/>
        <v>78</v>
      </c>
      <c r="CD105" s="2">
        <f t="shared" si="5"/>
        <v>79</v>
      </c>
      <c r="CE105" s="2">
        <f t="shared" si="5"/>
        <v>80</v>
      </c>
      <c r="CF105" s="2">
        <f t="shared" si="5"/>
        <v>81</v>
      </c>
      <c r="CG105" s="2">
        <f t="shared" si="5"/>
        <v>82</v>
      </c>
      <c r="CH105" s="2">
        <f t="shared" si="5"/>
        <v>83</v>
      </c>
      <c r="CI105" s="2">
        <f t="shared" si="5"/>
        <v>84</v>
      </c>
      <c r="CJ105" s="2">
        <f t="shared" si="5"/>
        <v>85</v>
      </c>
      <c r="CK105" s="2">
        <f t="shared" si="5"/>
        <v>86</v>
      </c>
      <c r="CL105" s="2">
        <f t="shared" si="5"/>
        <v>87</v>
      </c>
      <c r="CM105" s="2">
        <f t="shared" si="5"/>
        <v>88</v>
      </c>
      <c r="CN105" s="2">
        <f t="shared" si="5"/>
        <v>89</v>
      </c>
      <c r="CO105" s="2">
        <f t="shared" si="5"/>
        <v>90</v>
      </c>
      <c r="CP105" s="2">
        <f t="shared" si="5"/>
        <v>91</v>
      </c>
      <c r="CQ105" s="2">
        <f t="shared" si="5"/>
        <v>92</v>
      </c>
      <c r="CR105" s="2">
        <f t="shared" si="5"/>
        <v>93</v>
      </c>
      <c r="CS105" s="2">
        <f t="shared" si="5"/>
        <v>94</v>
      </c>
      <c r="CT105" s="2">
        <f t="shared" si="5"/>
        <v>95</v>
      </c>
      <c r="CU105" s="2">
        <f t="shared" si="5"/>
        <v>96</v>
      </c>
      <c r="CV105" s="2">
        <f t="shared" si="5"/>
        <v>97</v>
      </c>
      <c r="CW105" s="2">
        <f t="shared" si="5"/>
        <v>98</v>
      </c>
      <c r="CX105" s="2">
        <f t="shared" si="5"/>
        <v>99</v>
      </c>
      <c r="CY105" s="2">
        <f t="shared" si="5"/>
        <v>100</v>
      </c>
      <c r="CZ105" s="2">
        <f t="shared" si="5"/>
        <v>101</v>
      </c>
    </row>
    <row r="106" spans="1:104" x14ac:dyDescent="0.25">
      <c r="A106">
        <v>1</v>
      </c>
      <c r="B106" s="2">
        <f>(A106+1)</f>
        <v>2</v>
      </c>
      <c r="C106" s="2">
        <f t="shared" ref="C106:BN106" si="6">(B106+1)</f>
        <v>3</v>
      </c>
      <c r="D106" s="2">
        <f t="shared" si="6"/>
        <v>4</v>
      </c>
      <c r="E106" s="2">
        <f t="shared" si="6"/>
        <v>5</v>
      </c>
      <c r="F106" s="2">
        <f t="shared" si="6"/>
        <v>6</v>
      </c>
      <c r="G106" s="2">
        <f t="shared" si="6"/>
        <v>7</v>
      </c>
      <c r="H106" s="2">
        <f t="shared" si="6"/>
        <v>8</v>
      </c>
      <c r="I106" s="2">
        <f t="shared" si="6"/>
        <v>9</v>
      </c>
      <c r="J106" s="2">
        <f t="shared" si="6"/>
        <v>10</v>
      </c>
      <c r="K106" s="2">
        <f t="shared" si="6"/>
        <v>11</v>
      </c>
      <c r="L106" s="2">
        <f t="shared" si="6"/>
        <v>12</v>
      </c>
      <c r="M106" s="2">
        <f t="shared" si="6"/>
        <v>13</v>
      </c>
      <c r="N106" s="2">
        <f t="shared" si="6"/>
        <v>14</v>
      </c>
      <c r="O106" s="2">
        <f t="shared" si="6"/>
        <v>15</v>
      </c>
      <c r="P106" s="2">
        <f t="shared" si="6"/>
        <v>16</v>
      </c>
      <c r="Q106" s="2">
        <f t="shared" si="6"/>
        <v>17</v>
      </c>
      <c r="R106" s="2">
        <f t="shared" si="6"/>
        <v>18</v>
      </c>
      <c r="S106" s="2">
        <f t="shared" si="6"/>
        <v>19</v>
      </c>
      <c r="T106" s="2">
        <f t="shared" si="6"/>
        <v>20</v>
      </c>
      <c r="U106" s="2">
        <f t="shared" si="6"/>
        <v>21</v>
      </c>
      <c r="V106" s="2">
        <f t="shared" si="6"/>
        <v>22</v>
      </c>
      <c r="W106" s="2">
        <f t="shared" si="6"/>
        <v>23</v>
      </c>
      <c r="X106" s="2">
        <f t="shared" si="6"/>
        <v>24</v>
      </c>
      <c r="Y106" s="2">
        <f t="shared" si="6"/>
        <v>25</v>
      </c>
      <c r="Z106" s="2">
        <f t="shared" si="6"/>
        <v>26</v>
      </c>
      <c r="AA106" s="2">
        <f t="shared" si="6"/>
        <v>27</v>
      </c>
      <c r="AB106" s="2">
        <f t="shared" si="6"/>
        <v>28</v>
      </c>
      <c r="AC106" s="2">
        <f t="shared" si="6"/>
        <v>29</v>
      </c>
      <c r="AD106" s="2">
        <f t="shared" si="6"/>
        <v>30</v>
      </c>
      <c r="AE106" s="2">
        <f t="shared" si="6"/>
        <v>31</v>
      </c>
      <c r="AF106" s="2">
        <f t="shared" si="6"/>
        <v>32</v>
      </c>
      <c r="AG106" s="2">
        <f t="shared" si="6"/>
        <v>33</v>
      </c>
      <c r="AH106" s="2">
        <f t="shared" si="6"/>
        <v>34</v>
      </c>
      <c r="AI106" s="2">
        <f t="shared" si="6"/>
        <v>35</v>
      </c>
      <c r="AJ106" s="2">
        <f t="shared" si="6"/>
        <v>36</v>
      </c>
      <c r="AK106" s="2">
        <f t="shared" si="6"/>
        <v>37</v>
      </c>
      <c r="AL106" s="2">
        <f t="shared" si="6"/>
        <v>38</v>
      </c>
      <c r="AM106" s="2">
        <f t="shared" si="6"/>
        <v>39</v>
      </c>
      <c r="AN106" s="2">
        <f t="shared" si="6"/>
        <v>40</v>
      </c>
      <c r="AO106" s="2">
        <f t="shared" si="6"/>
        <v>41</v>
      </c>
      <c r="AP106" s="2">
        <f t="shared" si="6"/>
        <v>42</v>
      </c>
      <c r="AQ106" s="2">
        <f t="shared" si="6"/>
        <v>43</v>
      </c>
      <c r="AR106" s="2">
        <f t="shared" si="6"/>
        <v>44</v>
      </c>
      <c r="AS106" s="2">
        <f t="shared" si="6"/>
        <v>45</v>
      </c>
      <c r="AT106" s="2">
        <f t="shared" si="6"/>
        <v>46</v>
      </c>
      <c r="AU106" s="2">
        <f t="shared" si="6"/>
        <v>47</v>
      </c>
      <c r="AV106" s="2">
        <f t="shared" si="6"/>
        <v>48</v>
      </c>
      <c r="AW106" s="2">
        <f t="shared" si="6"/>
        <v>49</v>
      </c>
      <c r="AX106" s="2">
        <f t="shared" si="6"/>
        <v>50</v>
      </c>
      <c r="AY106" s="2">
        <f t="shared" si="6"/>
        <v>51</v>
      </c>
      <c r="AZ106" s="2">
        <f t="shared" si="6"/>
        <v>52</v>
      </c>
      <c r="BA106" s="2">
        <f t="shared" si="6"/>
        <v>53</v>
      </c>
      <c r="BB106" s="2">
        <f t="shared" si="6"/>
        <v>54</v>
      </c>
      <c r="BC106" s="2">
        <f t="shared" si="6"/>
        <v>55</v>
      </c>
      <c r="BD106" s="2">
        <f t="shared" si="6"/>
        <v>56</v>
      </c>
      <c r="BE106" s="2">
        <f t="shared" si="6"/>
        <v>57</v>
      </c>
      <c r="BF106" s="2">
        <f t="shared" si="6"/>
        <v>58</v>
      </c>
      <c r="BG106" s="2">
        <f t="shared" si="6"/>
        <v>59</v>
      </c>
      <c r="BH106" s="2">
        <f t="shared" si="6"/>
        <v>60</v>
      </c>
      <c r="BI106" s="2">
        <f t="shared" si="6"/>
        <v>61</v>
      </c>
      <c r="BJ106" s="2">
        <f t="shared" si="6"/>
        <v>62</v>
      </c>
      <c r="BK106" s="2">
        <f t="shared" si="6"/>
        <v>63</v>
      </c>
      <c r="BL106" s="2">
        <f t="shared" si="6"/>
        <v>64</v>
      </c>
      <c r="BM106" s="2">
        <f t="shared" si="6"/>
        <v>65</v>
      </c>
      <c r="BN106" s="2">
        <f t="shared" si="6"/>
        <v>66</v>
      </c>
      <c r="BO106" s="2">
        <f t="shared" ref="BO106:CZ106" si="7">(BN106+1)</f>
        <v>67</v>
      </c>
      <c r="BP106" s="2">
        <f t="shared" si="7"/>
        <v>68</v>
      </c>
      <c r="BQ106" s="2">
        <f t="shared" si="7"/>
        <v>69</v>
      </c>
      <c r="BR106" s="2">
        <f t="shared" si="7"/>
        <v>70</v>
      </c>
      <c r="BS106" s="2">
        <f t="shared" si="7"/>
        <v>71</v>
      </c>
      <c r="BT106" s="2">
        <f t="shared" si="7"/>
        <v>72</v>
      </c>
      <c r="BU106" s="2">
        <f t="shared" si="7"/>
        <v>73</v>
      </c>
      <c r="BV106" s="2">
        <f t="shared" si="7"/>
        <v>74</v>
      </c>
      <c r="BW106" s="2">
        <f t="shared" si="7"/>
        <v>75</v>
      </c>
      <c r="BX106" s="2">
        <f t="shared" si="7"/>
        <v>76</v>
      </c>
      <c r="BY106" s="2">
        <f t="shared" si="7"/>
        <v>77</v>
      </c>
      <c r="BZ106" s="2">
        <f t="shared" si="7"/>
        <v>78</v>
      </c>
      <c r="CA106" s="2">
        <f t="shared" si="7"/>
        <v>79</v>
      </c>
      <c r="CB106" s="2">
        <f t="shared" si="7"/>
        <v>80</v>
      </c>
      <c r="CC106" s="2">
        <f t="shared" si="7"/>
        <v>81</v>
      </c>
      <c r="CD106" s="2">
        <f t="shared" si="7"/>
        <v>82</v>
      </c>
      <c r="CE106" s="2">
        <f t="shared" si="7"/>
        <v>83</v>
      </c>
      <c r="CF106" s="2">
        <f t="shared" si="7"/>
        <v>84</v>
      </c>
      <c r="CG106" s="2">
        <f t="shared" si="7"/>
        <v>85</v>
      </c>
      <c r="CH106" s="2">
        <f t="shared" si="7"/>
        <v>86</v>
      </c>
      <c r="CI106" s="2">
        <f t="shared" si="7"/>
        <v>87</v>
      </c>
      <c r="CJ106" s="2">
        <f t="shared" si="7"/>
        <v>88</v>
      </c>
      <c r="CK106" s="2">
        <f t="shared" si="7"/>
        <v>89</v>
      </c>
      <c r="CL106" s="2">
        <f t="shared" si="7"/>
        <v>90</v>
      </c>
      <c r="CM106" s="2">
        <f t="shared" si="7"/>
        <v>91</v>
      </c>
      <c r="CN106" s="2">
        <f t="shared" si="7"/>
        <v>92</v>
      </c>
      <c r="CO106" s="2">
        <f t="shared" si="7"/>
        <v>93</v>
      </c>
      <c r="CP106" s="2">
        <f t="shared" si="7"/>
        <v>94</v>
      </c>
      <c r="CQ106" s="2">
        <f t="shared" si="7"/>
        <v>95</v>
      </c>
      <c r="CR106" s="2">
        <f t="shared" si="7"/>
        <v>96</v>
      </c>
      <c r="CS106" s="2">
        <f t="shared" si="7"/>
        <v>97</v>
      </c>
      <c r="CT106" s="2">
        <f t="shared" si="7"/>
        <v>98</v>
      </c>
      <c r="CU106" s="2">
        <f t="shared" si="7"/>
        <v>99</v>
      </c>
      <c r="CV106" s="2">
        <f t="shared" si="7"/>
        <v>100</v>
      </c>
      <c r="CW106" s="2">
        <f t="shared" si="7"/>
        <v>101</v>
      </c>
      <c r="CX106" s="2">
        <f t="shared" si="7"/>
        <v>102</v>
      </c>
      <c r="CY106" s="2">
        <f t="shared" si="7"/>
        <v>103</v>
      </c>
      <c r="CZ106" s="2">
        <f t="shared" si="7"/>
        <v>104</v>
      </c>
    </row>
    <row r="108" spans="1:104" x14ac:dyDescent="0.25">
      <c r="E108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oglio16"/>
  <dimension ref="A1:F18"/>
  <sheetViews>
    <sheetView workbookViewId="0">
      <selection activeCell="G19" sqref="G19"/>
    </sheetView>
  </sheetViews>
  <sheetFormatPr defaultRowHeight="13.2" x14ac:dyDescent="0.25"/>
  <cols>
    <col min="2" max="2" width="15.33203125" bestFit="1" customWidth="1"/>
    <col min="3" max="3" width="16.6640625" bestFit="1" customWidth="1"/>
    <col min="4" max="4" width="15.44140625" bestFit="1" customWidth="1"/>
    <col min="5" max="5" width="28.44140625" bestFit="1" customWidth="1"/>
    <col min="6" max="6" width="15.6640625" bestFit="1" customWidth="1"/>
  </cols>
  <sheetData>
    <row r="1" spans="1:6" x14ac:dyDescent="0.25">
      <c r="E1" s="34" t="s">
        <v>1277</v>
      </c>
    </row>
    <row r="2" spans="1:6" x14ac:dyDescent="0.25">
      <c r="A2" t="s">
        <v>414</v>
      </c>
    </row>
    <row r="3" spans="1:6" x14ac:dyDescent="0.25">
      <c r="A3" t="s">
        <v>295</v>
      </c>
      <c r="B3" t="s">
        <v>255</v>
      </c>
      <c r="C3" t="s">
        <v>1278</v>
      </c>
      <c r="D3" t="s">
        <v>1279</v>
      </c>
      <c r="E3" t="s">
        <v>1280</v>
      </c>
      <c r="F3" t="s">
        <v>1281</v>
      </c>
    </row>
    <row r="4" spans="1:6" x14ac:dyDescent="0.25">
      <c r="A4">
        <v>1</v>
      </c>
      <c r="B4" t="s">
        <v>359</v>
      </c>
      <c r="C4" t="s">
        <v>357</v>
      </c>
      <c r="D4" t="s">
        <v>1282</v>
      </c>
      <c r="E4" t="s">
        <v>1283</v>
      </c>
      <c r="F4" t="s">
        <v>1284</v>
      </c>
    </row>
    <row r="5" spans="1:6" x14ac:dyDescent="0.25">
      <c r="A5">
        <v>2</v>
      </c>
      <c r="B5" t="s">
        <v>359</v>
      </c>
      <c r="C5" t="s">
        <v>346</v>
      </c>
      <c r="D5" t="s">
        <v>1282</v>
      </c>
      <c r="E5" t="s">
        <v>423</v>
      </c>
      <c r="F5">
        <v>9</v>
      </c>
    </row>
    <row r="6" spans="1:6" x14ac:dyDescent="0.25">
      <c r="A6">
        <v>3</v>
      </c>
      <c r="B6" t="s">
        <v>359</v>
      </c>
      <c r="C6" t="s">
        <v>347</v>
      </c>
      <c r="D6" t="s">
        <v>1285</v>
      </c>
      <c r="E6" t="s">
        <v>1285</v>
      </c>
      <c r="F6">
        <v>11</v>
      </c>
    </row>
    <row r="7" spans="1:6" x14ac:dyDescent="0.25">
      <c r="A7">
        <v>4</v>
      </c>
      <c r="B7" t="s">
        <v>359</v>
      </c>
      <c r="C7" t="s">
        <v>348</v>
      </c>
      <c r="D7" t="s">
        <v>423</v>
      </c>
      <c r="E7" t="s">
        <v>1282</v>
      </c>
      <c r="F7">
        <v>13</v>
      </c>
    </row>
    <row r="8" spans="1:6" x14ac:dyDescent="0.25">
      <c r="A8">
        <v>5</v>
      </c>
      <c r="B8" t="s">
        <v>360</v>
      </c>
      <c r="C8" t="s">
        <v>357</v>
      </c>
      <c r="D8" t="s">
        <v>1282</v>
      </c>
    </row>
    <row r="9" spans="1:6" x14ac:dyDescent="0.25">
      <c r="A9">
        <v>6</v>
      </c>
      <c r="B9" t="s">
        <v>360</v>
      </c>
      <c r="C9" t="s">
        <v>346</v>
      </c>
      <c r="D9" t="s">
        <v>1282</v>
      </c>
      <c r="E9" t="s">
        <v>1286</v>
      </c>
      <c r="F9" s="470">
        <f ca="1">VLOOKUP(D18,E5:F7,2)</f>
        <v>11</v>
      </c>
    </row>
    <row r="10" spans="1:6" x14ac:dyDescent="0.25">
      <c r="A10">
        <v>7</v>
      </c>
      <c r="B10" t="s">
        <v>360</v>
      </c>
      <c r="C10" t="s">
        <v>347</v>
      </c>
      <c r="D10" t="s">
        <v>1285</v>
      </c>
    </row>
    <row r="11" spans="1:6" x14ac:dyDescent="0.25">
      <c r="A11">
        <v>8</v>
      </c>
      <c r="B11" t="s">
        <v>360</v>
      </c>
      <c r="C11" t="s">
        <v>348</v>
      </c>
      <c r="D11" t="s">
        <v>423</v>
      </c>
    </row>
    <row r="12" spans="1:6" x14ac:dyDescent="0.25">
      <c r="A12">
        <v>9</v>
      </c>
      <c r="B12" t="s">
        <v>361</v>
      </c>
      <c r="C12" t="s">
        <v>357</v>
      </c>
      <c r="D12" t="s">
        <v>1282</v>
      </c>
    </row>
    <row r="13" spans="1:6" x14ac:dyDescent="0.25">
      <c r="A13">
        <v>10</v>
      </c>
      <c r="B13" t="s">
        <v>361</v>
      </c>
      <c r="C13" t="s">
        <v>346</v>
      </c>
      <c r="D13" t="s">
        <v>1282</v>
      </c>
    </row>
    <row r="14" spans="1:6" x14ac:dyDescent="0.25">
      <c r="A14">
        <v>11</v>
      </c>
      <c r="B14" t="s">
        <v>361</v>
      </c>
      <c r="C14" t="s">
        <v>347</v>
      </c>
      <c r="D14" t="s">
        <v>1285</v>
      </c>
    </row>
    <row r="15" spans="1:6" x14ac:dyDescent="0.25">
      <c r="A15">
        <v>12</v>
      </c>
      <c r="B15" t="s">
        <v>361</v>
      </c>
      <c r="C15" t="s">
        <v>348</v>
      </c>
      <c r="D15" t="s">
        <v>423</v>
      </c>
    </row>
    <row r="17" spans="1:4" x14ac:dyDescent="0.25">
      <c r="A17" t="s">
        <v>295</v>
      </c>
      <c r="B17" t="s">
        <v>255</v>
      </c>
      <c r="C17" t="s">
        <v>1278</v>
      </c>
      <c r="D17" t="s">
        <v>1279</v>
      </c>
    </row>
    <row r="18" spans="1:4" x14ac:dyDescent="0.25">
      <c r="A18" s="468">
        <f ca="1">B!A19</f>
        <v>7</v>
      </c>
      <c r="B18" s="467" t="str">
        <f>B!B19</f>
        <v>Medio impasto</v>
      </c>
      <c r="C18" s="469" t="str">
        <f ca="1">B!E19</f>
        <v>media</v>
      </c>
      <c r="D18" s="471" t="str">
        <f ca="1">DGET(A3:D15,D3,A17:C18)</f>
        <v>Normale</v>
      </c>
    </row>
  </sheetData>
  <sheetProtection password="CC0C" sheet="1" objects="1" scenarios="1"/>
  <sortState xmlns:xlrd2="http://schemas.microsoft.com/office/spreadsheetml/2017/richdata2" ref="E5:F7">
    <sortCondition ref="E5:E7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42</vt:i4>
      </vt:variant>
      <vt:variant>
        <vt:lpstr>Intervalli denominati</vt:lpstr>
      </vt:variant>
      <vt:variant>
        <vt:i4>12</vt:i4>
      </vt:variant>
    </vt:vector>
  </HeadingPairs>
  <TitlesOfParts>
    <vt:vector size="54" baseType="lpstr">
      <vt:lpstr>Istruzioni</vt:lpstr>
      <vt:lpstr>Inserimento</vt:lpstr>
      <vt:lpstr>Coltura</vt:lpstr>
      <vt:lpstr>Gruppo</vt:lpstr>
      <vt:lpstr>A</vt:lpstr>
      <vt:lpstr>MAS</vt:lpstr>
      <vt:lpstr>Valori da riportare</vt:lpstr>
      <vt:lpstr>Bilancio</vt:lpstr>
      <vt:lpstr>Scheda_N</vt:lpstr>
      <vt:lpstr>Scheda_PK</vt:lpstr>
      <vt:lpstr>Standard</vt:lpstr>
      <vt:lpstr>C_tempo</vt:lpstr>
      <vt:lpstr>Distribuz</vt:lpstr>
      <vt:lpstr>Registra_Piano</vt:lpstr>
      <vt:lpstr>Apporti al terreno</vt:lpstr>
      <vt:lpstr>Cicli_Fase</vt:lpstr>
      <vt:lpstr>Metodo</vt:lpstr>
      <vt:lpstr>Ciclo_Modalità</vt:lpstr>
      <vt:lpstr>Concimi</vt:lpstr>
      <vt:lpstr>Mod_distribuz</vt:lpstr>
      <vt:lpstr>Cicli</vt:lpstr>
      <vt:lpstr>Suolo</vt:lpstr>
      <vt:lpstr>Ragg_Tes</vt:lpstr>
      <vt:lpstr>CN</vt:lpstr>
      <vt:lpstr>B</vt:lpstr>
      <vt:lpstr>C&amp;D</vt:lpstr>
      <vt:lpstr>E</vt:lpstr>
      <vt:lpstr>F</vt:lpstr>
      <vt:lpstr>Fert_org</vt:lpstr>
      <vt:lpstr>G</vt:lpstr>
      <vt:lpstr>Efficienza</vt:lpstr>
      <vt:lpstr>Tipo_Fert</vt:lpstr>
      <vt:lpstr>Gri_P</vt:lpstr>
      <vt:lpstr>Gri_K</vt:lpstr>
      <vt:lpstr>Calcare</vt:lpstr>
      <vt:lpstr>pH</vt:lpstr>
      <vt:lpstr>Codici</vt:lpstr>
      <vt:lpstr>Work</vt:lpstr>
      <vt:lpstr>TRI1</vt:lpstr>
      <vt:lpstr>TRI2</vt:lpstr>
      <vt:lpstr>TRI3</vt:lpstr>
      <vt:lpstr>SO</vt:lpstr>
      <vt:lpstr>A!Area_stampa</vt:lpstr>
      <vt:lpstr>'Apporti al terreno'!Area_stampa</vt:lpstr>
      <vt:lpstr>Bilancio!Area_stampa</vt:lpstr>
      <vt:lpstr>Cicli!Area_stampa</vt:lpstr>
      <vt:lpstr>Distribuz!Area_stampa</vt:lpstr>
      <vt:lpstr>Fert_org!Area_stampa</vt:lpstr>
      <vt:lpstr>Gri_K!Area_stampa</vt:lpstr>
      <vt:lpstr>Inserimento!Area_stampa</vt:lpstr>
      <vt:lpstr>Registra_Piano!Area_stampa</vt:lpstr>
      <vt:lpstr>Scheda_N!Area_stampa</vt:lpstr>
      <vt:lpstr>Scheda_PK!Area_stampa</vt:lpstr>
      <vt:lpstr>Tipo_Fert!Area_stampa</vt:lpstr>
    </vt:vector>
  </TitlesOfParts>
  <Company>Regione Emilia-Romagna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carnevali_g</dc:creator>
  <cp:lastModifiedBy>Ferronato Chiara</cp:lastModifiedBy>
  <cp:lastPrinted>2018-12-14T13:08:28Z</cp:lastPrinted>
  <dcterms:created xsi:type="dcterms:W3CDTF">2009-09-23T14:27:42Z</dcterms:created>
  <dcterms:modified xsi:type="dcterms:W3CDTF">2026-02-17T10:30:19Z</dcterms:modified>
</cp:coreProperties>
</file>